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ata 20250321\Result\Summarized data\"/>
    </mc:Choice>
  </mc:AlternateContent>
  <xr:revisionPtr revIDLastSave="0" documentId="13_ncr:1_{4A1421B7-B550-4415-9FA8-9EA46266CC0D}" xr6:coauthVersionLast="47" xr6:coauthVersionMax="47" xr10:uidLastSave="{00000000-0000-0000-0000-000000000000}"/>
  <bookViews>
    <workbookView xWindow="-120" yWindow="-120" windowWidth="29040" windowHeight="15720" tabRatio="556" xr2:uid="{00000000-000D-0000-FFFF-FFFF00000000}"/>
  </bookViews>
  <sheets>
    <sheet name="note" sheetId="4" r:id="rId1"/>
    <sheet name="Area" sheetId="1" r:id="rId2"/>
    <sheet name="Longitude" sheetId="2" r:id="rId3"/>
    <sheet name="Latitude" sheetId="3" r:id="rId4"/>
  </sheets>
  <externalReferences>
    <externalReference r:id="rId5"/>
  </externalReferences>
  <definedNames>
    <definedName name="_xlnm._FilterDatabase" localSheetId="3" hidden="1">Latitude!$I$2:$I$114</definedName>
    <definedName name="_xlnm._FilterDatabase" localSheetId="2" hidden="1">Longitude!$F$2:$F$207</definedName>
    <definedName name="_xlnm.Database">Area!$C$2:$AB$763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AE8" i="1"/>
  <c r="AD12" i="1"/>
  <c r="AD16" i="1"/>
  <c r="AC17" i="1"/>
  <c r="AE19" i="1"/>
  <c r="AC29" i="1"/>
  <c r="AC36" i="1"/>
  <c r="AF36" i="1"/>
  <c r="AC37" i="1"/>
  <c r="AD37" i="1"/>
  <c r="AC38" i="1"/>
  <c r="AC40" i="1"/>
  <c r="AC55" i="1"/>
  <c r="AC61" i="1"/>
  <c r="AD61" i="1"/>
  <c r="AD65" i="1"/>
  <c r="AE65" i="1"/>
  <c r="AC66" i="1"/>
  <c r="AF67" i="1"/>
  <c r="AF69" i="1"/>
  <c r="AF80" i="1"/>
  <c r="AC82" i="1"/>
  <c r="AD82" i="1"/>
  <c r="AF82" i="1"/>
  <c r="AD83" i="1"/>
  <c r="AE83" i="1"/>
  <c r="AC86" i="1"/>
  <c r="AC90" i="1"/>
  <c r="AC106" i="1"/>
  <c r="AC109" i="1"/>
  <c r="AD109" i="1"/>
  <c r="AE112" i="1"/>
  <c r="AF124" i="1"/>
  <c r="AE125" i="1"/>
  <c r="AF125" i="1"/>
  <c r="AE131" i="1"/>
  <c r="AC132" i="1"/>
  <c r="AE132" i="1"/>
  <c r="AF132" i="1"/>
  <c r="AE133" i="1"/>
  <c r="AF133" i="1"/>
  <c r="AC139" i="1"/>
  <c r="AC148" i="1"/>
  <c r="AC152" i="1"/>
  <c r="AE152" i="1"/>
  <c r="AE154" i="1"/>
  <c r="AD155" i="1"/>
  <c r="AC167" i="1"/>
  <c r="AF169" i="1"/>
  <c r="AC170" i="1"/>
  <c r="AC174" i="1"/>
  <c r="AC175" i="1"/>
  <c r="AD175" i="1"/>
  <c r="AE176" i="1"/>
  <c r="AF176" i="1"/>
  <c r="AF177" i="1"/>
  <c r="AC185" i="1"/>
  <c r="AF190" i="1"/>
  <c r="AD191" i="1"/>
  <c r="AE198" i="1"/>
  <c r="AD211" i="1"/>
  <c r="AC215" i="1"/>
  <c r="AC216" i="1"/>
  <c r="AD216" i="1"/>
  <c r="AE216" i="1"/>
  <c r="AF216" i="1"/>
  <c r="AF217" i="1"/>
  <c r="AC218" i="1"/>
  <c r="AC226" i="1"/>
  <c r="AE229" i="1"/>
  <c r="AC230" i="1"/>
  <c r="AD230" i="1"/>
  <c r="AC232" i="1"/>
  <c r="AD232" i="1"/>
  <c r="AC244" i="1"/>
  <c r="AC251" i="1"/>
  <c r="AE254" i="1"/>
  <c r="AF254" i="1"/>
  <c r="AC256" i="1"/>
  <c r="AE256" i="1"/>
  <c r="AF265" i="1"/>
  <c r="AF266" i="1"/>
  <c r="AD268" i="1"/>
  <c r="AE268" i="1"/>
  <c r="AF268" i="1"/>
  <c r="AC269" i="1"/>
  <c r="AF273" i="1"/>
  <c r="AC274" i="1"/>
  <c r="AC275" i="1"/>
  <c r="AC276" i="1"/>
  <c r="AC288" i="1"/>
  <c r="AE288" i="1"/>
  <c r="AF288" i="1"/>
  <c r="AC289" i="1"/>
  <c r="AE290" i="1"/>
  <c r="AE291" i="1"/>
  <c r="AE300" i="1"/>
  <c r="AF301" i="1"/>
  <c r="AD302" i="1"/>
  <c r="AE302" i="1"/>
  <c r="AE303" i="1"/>
  <c r="AF303" i="1"/>
  <c r="AE305" i="1"/>
  <c r="AF305" i="1"/>
  <c r="AC307" i="1"/>
  <c r="AE308" i="1"/>
  <c r="AC310" i="1"/>
  <c r="AC312" i="1"/>
  <c r="AE319" i="1"/>
  <c r="AC320" i="1"/>
  <c r="AE321" i="1"/>
  <c r="AF321" i="1"/>
  <c r="AE322" i="1"/>
  <c r="AC323" i="1"/>
  <c r="AD330" i="1"/>
  <c r="AC331" i="1"/>
  <c r="AD331" i="1"/>
  <c r="AF331" i="1"/>
  <c r="AF333" i="1"/>
  <c r="AC334" i="1"/>
  <c r="AD334" i="1"/>
  <c r="AF336" i="1"/>
  <c r="AC337" i="1"/>
  <c r="AE337" i="1"/>
  <c r="AC347" i="1"/>
  <c r="AC348" i="1"/>
  <c r="AC350" i="1"/>
  <c r="AE351" i="1"/>
  <c r="AF351" i="1"/>
  <c r="AC352" i="1"/>
  <c r="AD352" i="1"/>
  <c r="AC359" i="1"/>
  <c r="AC360" i="1"/>
  <c r="AE360" i="1"/>
  <c r="AF360" i="1"/>
  <c r="AC361" i="1"/>
  <c r="AD361" i="1"/>
  <c r="AC365" i="1"/>
  <c r="AD365" i="1"/>
  <c r="AF365" i="1"/>
  <c r="AC366" i="1"/>
  <c r="AF366" i="1"/>
  <c r="AC370" i="1"/>
  <c r="AC374" i="1"/>
  <c r="AC376" i="1"/>
  <c r="AE377" i="1"/>
  <c r="AC378" i="1"/>
  <c r="AD378" i="1"/>
  <c r="AC385" i="1"/>
  <c r="AD388" i="1"/>
  <c r="AE388" i="1"/>
  <c r="AC389" i="1"/>
  <c r="AC391" i="1"/>
  <c r="AD391" i="1"/>
  <c r="AF391" i="1"/>
  <c r="AC392" i="1"/>
  <c r="AE393" i="1"/>
  <c r="AC397" i="1"/>
  <c r="AF400" i="1"/>
  <c r="AF402" i="1"/>
  <c r="AC403" i="1"/>
  <c r="AE405" i="1"/>
  <c r="AC406" i="1"/>
  <c r="AF413" i="1"/>
  <c r="AE414" i="1"/>
  <c r="AF414" i="1"/>
  <c r="AC415" i="1"/>
  <c r="AC419" i="1"/>
  <c r="AE419" i="1"/>
  <c r="AF419" i="1"/>
  <c r="AE420" i="1"/>
  <c r="AF424" i="1"/>
  <c r="AF427" i="1"/>
  <c r="AE429" i="1"/>
  <c r="AF429" i="1"/>
  <c r="AC430" i="1"/>
  <c r="AC433" i="1"/>
  <c r="AC437" i="1"/>
  <c r="AE441" i="1"/>
  <c r="AC442" i="1"/>
  <c r="AE442" i="1"/>
  <c r="AF442" i="1"/>
  <c r="AD444" i="1"/>
  <c r="AE444" i="1"/>
  <c r="AC445" i="1"/>
  <c r="AE447" i="1"/>
  <c r="AD448" i="1"/>
  <c r="AC450" i="1"/>
  <c r="AF450" i="1"/>
  <c r="AC455" i="1"/>
  <c r="AE455" i="1"/>
  <c r="AE456" i="1"/>
  <c r="AF456" i="1"/>
  <c r="AC457" i="1"/>
  <c r="AC458" i="1"/>
  <c r="AE458" i="1"/>
  <c r="AC464" i="1"/>
  <c r="AC466" i="1"/>
  <c r="AE467" i="1"/>
  <c r="AC468" i="1"/>
  <c r="AE469" i="1"/>
  <c r="AF469" i="1"/>
  <c r="AC472" i="1"/>
  <c r="AD472" i="1"/>
  <c r="AF472" i="1"/>
  <c r="AE473" i="1"/>
  <c r="AD474" i="1"/>
  <c r="AE478" i="1"/>
  <c r="AD481" i="1"/>
  <c r="AD482" i="1"/>
  <c r="AD484" i="1"/>
  <c r="AE484" i="1"/>
  <c r="AC485" i="1"/>
  <c r="AC486" i="1"/>
  <c r="AC492" i="1"/>
  <c r="AC493" i="1"/>
  <c r="AC494" i="1"/>
  <c r="AE494" i="1"/>
  <c r="AC496" i="1"/>
  <c r="AD496" i="1"/>
  <c r="AD497" i="1"/>
  <c r="AC498" i="1"/>
  <c r="AC500" i="1"/>
  <c r="AF500" i="1"/>
  <c r="AD503" i="1"/>
  <c r="AD504" i="1"/>
  <c r="AE504" i="1"/>
  <c r="AF504" i="1"/>
  <c r="AC505" i="1"/>
  <c r="AC506" i="1"/>
  <c r="AC511" i="1"/>
  <c r="AC512" i="1"/>
  <c r="AC513" i="1"/>
  <c r="AE513" i="1"/>
  <c r="AC515" i="1"/>
  <c r="AD515" i="1"/>
  <c r="AC516" i="1"/>
  <c r="AF516" i="1"/>
  <c r="AE519" i="1"/>
  <c r="AC522" i="1"/>
  <c r="AC523" i="1"/>
  <c r="AE523" i="1"/>
  <c r="AF523" i="1"/>
  <c r="AC524" i="1"/>
  <c r="AD524" i="1"/>
  <c r="AC525" i="1"/>
  <c r="AC530" i="1"/>
  <c r="AC531" i="1"/>
  <c r="AE531" i="1"/>
  <c r="AC532" i="1"/>
  <c r="AD532" i="1"/>
  <c r="AC534" i="1"/>
  <c r="AE534" i="1"/>
  <c r="AF534" i="1"/>
  <c r="AD538" i="1"/>
  <c r="AF540" i="1"/>
  <c r="AC542" i="1"/>
  <c r="AD542" i="1"/>
  <c r="AE542" i="1"/>
  <c r="AF542" i="1"/>
  <c r="AC543" i="1"/>
  <c r="AD543" i="1"/>
  <c r="AE543" i="1"/>
  <c r="AC544" i="1"/>
  <c r="AE550" i="1"/>
  <c r="AC551" i="1"/>
  <c r="AE552" i="1"/>
  <c r="AF552" i="1"/>
  <c r="AE553" i="1"/>
  <c r="AE554" i="1"/>
  <c r="AC557" i="1"/>
  <c r="AC559" i="1"/>
  <c r="AF559" i="1"/>
  <c r="AF560" i="1"/>
  <c r="AC561" i="1"/>
  <c r="AD561" i="1"/>
  <c r="AE561" i="1"/>
  <c r="AF561" i="1"/>
  <c r="AC562" i="1"/>
  <c r="AD562" i="1"/>
  <c r="AE562" i="1"/>
  <c r="AC569" i="1"/>
  <c r="AE569" i="1"/>
  <c r="AD572" i="1"/>
  <c r="AE572" i="1"/>
  <c r="AD573" i="1"/>
  <c r="AC575" i="1"/>
  <c r="AF575" i="1"/>
  <c r="AC578" i="1"/>
  <c r="AE578" i="1"/>
  <c r="AE579" i="1"/>
  <c r="AF579" i="1"/>
  <c r="AC580" i="1"/>
  <c r="AD580" i="1"/>
  <c r="AE580" i="1"/>
  <c r="AF580" i="1"/>
  <c r="AC581" i="1"/>
  <c r="AD581" i="1"/>
  <c r="AC585" i="1"/>
  <c r="AC587" i="1"/>
  <c r="AC588" i="1"/>
  <c r="AE588" i="1"/>
  <c r="AD590" i="1"/>
  <c r="AE590" i="1"/>
  <c r="AC591" i="1"/>
  <c r="AD591" i="1"/>
  <c r="AC592" i="1"/>
  <c r="AE594" i="1"/>
  <c r="AD597" i="1"/>
  <c r="AD598" i="1"/>
  <c r="AE598" i="1"/>
  <c r="AF598" i="1"/>
  <c r="AC599" i="1"/>
  <c r="AD599" i="1"/>
  <c r="AE599" i="1"/>
  <c r="AF599" i="1"/>
  <c r="AC600" i="1"/>
  <c r="AC603" i="1"/>
  <c r="AE606" i="1"/>
  <c r="AC607" i="1"/>
  <c r="AE607" i="1"/>
  <c r="AF608" i="1"/>
  <c r="AC609" i="1"/>
  <c r="AD609" i="1"/>
  <c r="AF609" i="1"/>
  <c r="AC612" i="1"/>
  <c r="AF614" i="1"/>
  <c r="AD615" i="1"/>
  <c r="AF615" i="1"/>
  <c r="AC616" i="1"/>
  <c r="AF616" i="1"/>
  <c r="AC617" i="1"/>
  <c r="AD617" i="1"/>
  <c r="AE617" i="1"/>
  <c r="AF617" i="1"/>
  <c r="AC618" i="1"/>
  <c r="AC623" i="1"/>
  <c r="AC624" i="1"/>
  <c r="AC625" i="1"/>
  <c r="AE625" i="1"/>
  <c r="AE629" i="1"/>
  <c r="AE630" i="1"/>
  <c r="AC631" i="1"/>
  <c r="AD631" i="1"/>
  <c r="AE631" i="1"/>
  <c r="AF632" i="1"/>
  <c r="AC633" i="1"/>
  <c r="AD633" i="1"/>
  <c r="AF633" i="1"/>
  <c r="AC634" i="1"/>
  <c r="AE634" i="1"/>
  <c r="AC637" i="1"/>
  <c r="AC639" i="1"/>
  <c r="AC640" i="1"/>
  <c r="AC641" i="1"/>
  <c r="AC642" i="1"/>
  <c r="AC647" i="1"/>
  <c r="AE647" i="1"/>
  <c r="AC648" i="1"/>
  <c r="AD648" i="1"/>
  <c r="AE648" i="1"/>
  <c r="AF648" i="1"/>
  <c r="AC649" i="1"/>
  <c r="AD649" i="1"/>
  <c r="AE649" i="1"/>
  <c r="AE653" i="1"/>
  <c r="AE654" i="1"/>
  <c r="AC655" i="1"/>
  <c r="AC657" i="1"/>
  <c r="AC658" i="1"/>
  <c r="AE658" i="1"/>
  <c r="AD660" i="1"/>
  <c r="AC661" i="1"/>
  <c r="AC663" i="1"/>
  <c r="AF663" i="1"/>
  <c r="AC664" i="1"/>
  <c r="AE664" i="1"/>
  <c r="AF664" i="1"/>
  <c r="AC665" i="1"/>
  <c r="AD665" i="1"/>
  <c r="AE665" i="1"/>
  <c r="AF665" i="1"/>
  <c r="AC666" i="1"/>
  <c r="AF668" i="1"/>
  <c r="AF669" i="1"/>
  <c r="AC671" i="1"/>
  <c r="AC672" i="1"/>
  <c r="AC673" i="1"/>
  <c r="AE673" i="1"/>
  <c r="AF676" i="1"/>
  <c r="AE677" i="1"/>
  <c r="AE678" i="1"/>
  <c r="AC679" i="1"/>
  <c r="AD679" i="1"/>
  <c r="AE679" i="1"/>
  <c r="AF680" i="1"/>
  <c r="AC681" i="1"/>
  <c r="AD681" i="1"/>
  <c r="AF681" i="1"/>
  <c r="AC682" i="1"/>
  <c r="AE682" i="1"/>
  <c r="AD684" i="1"/>
  <c r="AC685" i="1"/>
  <c r="AC687" i="1"/>
  <c r="AC688" i="1"/>
  <c r="AC689" i="1"/>
  <c r="AE689" i="1"/>
  <c r="AC690" i="1"/>
  <c r="AF692" i="1"/>
  <c r="AC695" i="1"/>
  <c r="AE695" i="1"/>
  <c r="AF695" i="1"/>
  <c r="AC696" i="1"/>
  <c r="AD696" i="1"/>
  <c r="AE696" i="1"/>
  <c r="AF696" i="1"/>
  <c r="AC697" i="1"/>
  <c r="AD697" i="1"/>
  <c r="AE697" i="1"/>
  <c r="AF700" i="1"/>
  <c r="AE701" i="1"/>
  <c r="AE702" i="1"/>
  <c r="AC703" i="1"/>
  <c r="AC705" i="1"/>
  <c r="AC706" i="1"/>
  <c r="AE706" i="1"/>
  <c r="AD708" i="1"/>
  <c r="AC709" i="1"/>
  <c r="AC711" i="1"/>
  <c r="AF711" i="1"/>
  <c r="AC712" i="1"/>
  <c r="AE712" i="1"/>
  <c r="AF712" i="1"/>
  <c r="AC713" i="1"/>
  <c r="AD713" i="1"/>
  <c r="AE713" i="1"/>
  <c r="AF713" i="1"/>
  <c r="AC714" i="1"/>
  <c r="AF716" i="1"/>
  <c r="AF717" i="1"/>
  <c r="AC719" i="1"/>
  <c r="AC720" i="1"/>
  <c r="AC721" i="1"/>
  <c r="AE721" i="1"/>
  <c r="AF724" i="1"/>
  <c r="AE725" i="1"/>
  <c r="AE726" i="1"/>
  <c r="AC727" i="1"/>
  <c r="AD727" i="1"/>
  <c r="AE727" i="1"/>
  <c r="AF728" i="1"/>
  <c r="AC729" i="1"/>
  <c r="AD729" i="1"/>
  <c r="AF729" i="1"/>
  <c r="AC730" i="1"/>
  <c r="AE730" i="1"/>
  <c r="AD732" i="1"/>
  <c r="AC733" i="1"/>
  <c r="AC735" i="1"/>
  <c r="AC736" i="1"/>
  <c r="AC737" i="1"/>
  <c r="AE737" i="1"/>
  <c r="AC738" i="1"/>
  <c r="AF740" i="1"/>
  <c r="AC743" i="1"/>
  <c r="AE743" i="1"/>
  <c r="AF743" i="1"/>
  <c r="AC744" i="1"/>
  <c r="AD744" i="1"/>
  <c r="AE744" i="1"/>
  <c r="AF744" i="1"/>
  <c r="AC745" i="1"/>
  <c r="AD745" i="1"/>
  <c r="AE745" i="1"/>
  <c r="AF748" i="1"/>
  <c r="AE749" i="1"/>
  <c r="AE750" i="1"/>
  <c r="AC751" i="1"/>
  <c r="AC753" i="1"/>
  <c r="AC754" i="1"/>
  <c r="AE754" i="1"/>
  <c r="AD756" i="1"/>
  <c r="AC757" i="1"/>
  <c r="AC759" i="1"/>
  <c r="AF759" i="1"/>
  <c r="AC760" i="1"/>
  <c r="AE760" i="1"/>
  <c r="AF760" i="1"/>
  <c r="AC761" i="1"/>
  <c r="AD761" i="1"/>
  <c r="AE761" i="1"/>
  <c r="AF761" i="1"/>
  <c r="AC762" i="1"/>
  <c r="AC3" i="1"/>
  <c r="Y764" i="1"/>
  <c r="AC79" i="1" s="1"/>
  <c r="U764" i="1"/>
  <c r="V764" i="1"/>
  <c r="W764" i="1"/>
  <c r="X764" i="1"/>
  <c r="Z764" i="1"/>
  <c r="AD193" i="1" s="1"/>
  <c r="AA764" i="1"/>
  <c r="AB764" i="1"/>
  <c r="AF7" i="1" s="1"/>
  <c r="U765" i="1"/>
  <c r="V765" i="1"/>
  <c r="W765" i="1"/>
  <c r="X765" i="1"/>
  <c r="Y765" i="1"/>
  <c r="Z765" i="1"/>
  <c r="AA765" i="1"/>
  <c r="AB765" i="1"/>
  <c r="U766" i="1"/>
  <c r="V766" i="1"/>
  <c r="W766" i="1"/>
  <c r="X766" i="1"/>
  <c r="Y766" i="1"/>
  <c r="Z766" i="1"/>
  <c r="AA766" i="1"/>
  <c r="AB766" i="1"/>
  <c r="U767" i="1"/>
  <c r="U769" i="1" s="1"/>
  <c r="U770" i="1" s="1"/>
  <c r="U772" i="1" s="1"/>
  <c r="V767" i="1"/>
  <c r="V769" i="1" s="1"/>
  <c r="V770" i="1" s="1"/>
  <c r="W767" i="1"/>
  <c r="X767" i="1"/>
  <c r="X769" i="1" s="1"/>
  <c r="X770" i="1" s="1"/>
  <c r="Y767" i="1"/>
  <c r="Z767" i="1"/>
  <c r="AA767" i="1"/>
  <c r="AB767" i="1"/>
  <c r="U768" i="1"/>
  <c r="V768" i="1"/>
  <c r="W768" i="1"/>
  <c r="X768" i="1"/>
  <c r="Y768" i="1"/>
  <c r="Z768" i="1"/>
  <c r="AA768" i="1"/>
  <c r="AB768" i="1"/>
  <c r="AF337" i="1" l="1"/>
  <c r="AF14" i="1"/>
  <c r="AF647" i="1"/>
  <c r="AF612" i="1"/>
  <c r="AF535" i="1"/>
  <c r="AF515" i="1"/>
  <c r="AF496" i="1"/>
  <c r="AF418" i="1"/>
  <c r="AF388" i="1"/>
  <c r="AD256" i="1"/>
  <c r="AF173" i="1"/>
  <c r="AD125" i="1"/>
  <c r="AF12" i="1"/>
  <c r="AF645" i="1"/>
  <c r="AF553" i="1"/>
  <c r="AD469" i="1"/>
  <c r="AF387" i="1"/>
  <c r="AD289" i="1"/>
  <c r="AD215" i="1"/>
  <c r="AD167" i="1"/>
  <c r="AF111" i="1"/>
  <c r="AD64" i="1"/>
  <c r="AD8" i="1"/>
  <c r="AF741" i="1"/>
  <c r="AF693" i="1"/>
  <c r="AF644" i="1"/>
  <c r="AD625" i="1"/>
  <c r="AF533" i="1"/>
  <c r="AD513" i="1"/>
  <c r="AD494" i="1"/>
  <c r="AD442" i="1"/>
  <c r="AD414" i="1"/>
  <c r="AD322" i="1"/>
  <c r="AD254" i="1"/>
  <c r="AF109" i="1"/>
  <c r="AD62" i="1"/>
  <c r="AF4" i="1"/>
  <c r="AF31" i="1"/>
  <c r="AF52" i="1"/>
  <c r="AF79" i="1"/>
  <c r="AF100" i="1"/>
  <c r="AF127" i="1"/>
  <c r="AF148" i="1"/>
  <c r="AF175" i="1"/>
  <c r="AF196" i="1"/>
  <c r="AF223" i="1"/>
  <c r="AF244" i="1"/>
  <c r="AF271" i="1"/>
  <c r="AF290" i="1"/>
  <c r="AF296" i="1"/>
  <c r="AF302" i="1"/>
  <c r="AF308" i="1"/>
  <c r="AF314" i="1"/>
  <c r="AF320" i="1"/>
  <c r="AF326" i="1"/>
  <c r="AF332" i="1"/>
  <c r="AF338" i="1"/>
  <c r="AF344" i="1"/>
  <c r="AF350" i="1"/>
  <c r="AF356" i="1"/>
  <c r="AF362" i="1"/>
  <c r="AF368" i="1"/>
  <c r="AF374" i="1"/>
  <c r="AF380" i="1"/>
  <c r="AF386" i="1"/>
  <c r="AF392" i="1"/>
  <c r="AF398" i="1"/>
  <c r="AF404" i="1"/>
  <c r="AF410" i="1"/>
  <c r="AF416" i="1"/>
  <c r="AF422" i="1"/>
  <c r="AF428" i="1"/>
  <c r="AF434" i="1"/>
  <c r="AF440" i="1"/>
  <c r="AF446" i="1"/>
  <c r="AF452" i="1"/>
  <c r="AF458" i="1"/>
  <c r="AF464" i="1"/>
  <c r="AF470" i="1"/>
  <c r="AF476" i="1"/>
  <c r="AF482" i="1"/>
  <c r="AF488" i="1"/>
  <c r="AF11" i="1"/>
  <c r="AF38" i="1"/>
  <c r="AF59" i="1"/>
  <c r="AF86" i="1"/>
  <c r="AF107" i="1"/>
  <c r="AF134" i="1"/>
  <c r="AF155" i="1"/>
  <c r="AF182" i="1"/>
  <c r="AF203" i="1"/>
  <c r="AF230" i="1"/>
  <c r="AF251" i="1"/>
  <c r="AF284" i="1"/>
  <c r="AF18" i="1"/>
  <c r="AF39" i="1"/>
  <c r="AF66" i="1"/>
  <c r="AF87" i="1"/>
  <c r="AF114" i="1"/>
  <c r="AF135" i="1"/>
  <c r="AF162" i="1"/>
  <c r="AF183" i="1"/>
  <c r="AF210" i="1"/>
  <c r="AF231" i="1"/>
  <c r="AF258" i="1"/>
  <c r="AF278" i="1"/>
  <c r="AF32" i="1"/>
  <c r="AF27" i="1"/>
  <c r="AF54" i="1"/>
  <c r="AF75" i="1"/>
  <c r="AF102" i="1"/>
  <c r="AF123" i="1"/>
  <c r="AF150" i="1"/>
  <c r="AF171" i="1"/>
  <c r="AF198" i="1"/>
  <c r="AF219" i="1"/>
  <c r="AF246" i="1"/>
  <c r="AF267" i="1"/>
  <c r="AF286" i="1"/>
  <c r="AF292" i="1"/>
  <c r="AF298" i="1"/>
  <c r="AF304" i="1"/>
  <c r="AF310" i="1"/>
  <c r="AF316" i="1"/>
  <c r="AF322" i="1"/>
  <c r="AF328" i="1"/>
  <c r="AF334" i="1"/>
  <c r="AF340" i="1"/>
  <c r="AF346" i="1"/>
  <c r="AF6" i="1"/>
  <c r="AF20" i="1"/>
  <c r="AF41" i="1"/>
  <c r="AF68" i="1"/>
  <c r="AF89" i="1"/>
  <c r="AF116" i="1"/>
  <c r="AF137" i="1"/>
  <c r="AF22" i="1"/>
  <c r="AF13" i="1"/>
  <c r="AF101" i="1"/>
  <c r="AF153" i="1"/>
  <c r="AF161" i="1"/>
  <c r="AF186" i="1"/>
  <c r="AF235" i="1"/>
  <c r="AF252" i="1"/>
  <c r="AF260" i="1"/>
  <c r="AF276" i="1"/>
  <c r="AF383" i="1"/>
  <c r="AF431" i="1"/>
  <c r="AF479" i="1"/>
  <c r="AF49" i="1"/>
  <c r="AF136" i="1"/>
  <c r="AF194" i="1"/>
  <c r="AF211" i="1"/>
  <c r="AF261" i="1"/>
  <c r="AF363" i="1"/>
  <c r="AF390" i="1"/>
  <c r="AF411" i="1"/>
  <c r="AF438" i="1"/>
  <c r="AF459" i="1"/>
  <c r="AF58" i="1"/>
  <c r="AF76" i="1"/>
  <c r="AF84" i="1"/>
  <c r="AF92" i="1"/>
  <c r="AF110" i="1"/>
  <c r="AF170" i="1"/>
  <c r="AF195" i="1"/>
  <c r="AF220" i="1"/>
  <c r="AF269" i="1"/>
  <c r="AF299" i="1"/>
  <c r="AF306" i="1"/>
  <c r="AF313" i="1"/>
  <c r="AF5" i="1"/>
  <c r="AF15" i="1"/>
  <c r="AF94" i="1"/>
  <c r="AF128" i="1"/>
  <c r="AF154" i="1"/>
  <c r="AF187" i="1"/>
  <c r="AF204" i="1"/>
  <c r="AF212" i="1"/>
  <c r="AF236" i="1"/>
  <c r="AF277" i="1"/>
  <c r="AF42" i="1"/>
  <c r="AF50" i="1"/>
  <c r="AF129" i="1"/>
  <c r="AF163" i="1"/>
  <c r="AF83" i="1"/>
  <c r="AF95" i="1"/>
  <c r="AF126" i="1"/>
  <c r="AF213" i="1"/>
  <c r="AF232" i="1"/>
  <c r="AF241" i="1"/>
  <c r="AF262" i="1"/>
  <c r="AF385" i="1"/>
  <c r="AF393" i="1"/>
  <c r="AF430" i="1"/>
  <c r="AF445" i="1"/>
  <c r="AF453" i="1"/>
  <c r="AF62" i="1"/>
  <c r="AF72" i="1"/>
  <c r="AF117" i="1"/>
  <c r="AF160" i="1"/>
  <c r="AF172" i="1"/>
  <c r="AF181" i="1"/>
  <c r="AF222" i="1"/>
  <c r="AF289" i="1"/>
  <c r="AF307" i="1"/>
  <c r="AF355" i="1"/>
  <c r="AF378" i="1"/>
  <c r="AF415" i="1"/>
  <c r="AF423" i="1"/>
  <c r="AF475" i="1"/>
  <c r="AF17" i="1"/>
  <c r="AF29" i="1"/>
  <c r="AF40" i="1"/>
  <c r="AF63" i="1"/>
  <c r="AF73" i="1"/>
  <c r="AF96" i="1"/>
  <c r="AF106" i="1"/>
  <c r="AF139" i="1"/>
  <c r="AF192" i="1"/>
  <c r="AF272" i="1"/>
  <c r="AF281" i="1"/>
  <c r="AF324" i="1"/>
  <c r="AF348" i="1"/>
  <c r="AF371" i="1"/>
  <c r="AF408" i="1"/>
  <c r="AF468" i="1"/>
  <c r="AF483" i="1"/>
  <c r="AF490" i="1"/>
  <c r="AF85" i="1"/>
  <c r="AF202" i="1"/>
  <c r="AF233" i="1"/>
  <c r="AF253" i="1"/>
  <c r="AF364" i="1"/>
  <c r="AF401" i="1"/>
  <c r="AF461" i="1"/>
  <c r="AF53" i="1"/>
  <c r="AF43" i="1"/>
  <c r="AF108" i="1"/>
  <c r="AF131" i="1"/>
  <c r="AF141" i="1"/>
  <c r="AF184" i="1"/>
  <c r="AF225" i="1"/>
  <c r="AF234" i="1"/>
  <c r="AF245" i="1"/>
  <c r="AF255" i="1"/>
  <c r="AF274" i="1"/>
  <c r="AF8" i="1"/>
  <c r="AF55" i="1"/>
  <c r="AF9" i="1"/>
  <c r="AF57" i="1"/>
  <c r="AF99" i="1"/>
  <c r="AF140" i="1"/>
  <c r="AF167" i="1"/>
  <c r="AF425" i="1"/>
  <c r="AF460" i="1"/>
  <c r="AF494" i="1"/>
  <c r="AF513" i="1"/>
  <c r="AF538" i="1"/>
  <c r="AF563" i="1"/>
  <c r="AF588" i="1"/>
  <c r="AF607" i="1"/>
  <c r="AF613" i="1"/>
  <c r="AF619" i="1"/>
  <c r="AF625" i="1"/>
  <c r="AF631" i="1"/>
  <c r="AF637" i="1"/>
  <c r="AF643" i="1"/>
  <c r="AF649" i="1"/>
  <c r="AF655" i="1"/>
  <c r="AF661" i="1"/>
  <c r="AF667" i="1"/>
  <c r="AF673" i="1"/>
  <c r="AF679" i="1"/>
  <c r="AF685" i="1"/>
  <c r="AF691" i="1"/>
  <c r="AF697" i="1"/>
  <c r="AF703" i="1"/>
  <c r="AF709" i="1"/>
  <c r="AF715" i="1"/>
  <c r="AF721" i="1"/>
  <c r="AF727" i="1"/>
  <c r="AF733" i="1"/>
  <c r="AF739" i="1"/>
  <c r="AF745" i="1"/>
  <c r="AF751" i="1"/>
  <c r="AF757" i="1"/>
  <c r="AF763" i="1"/>
  <c r="AF26" i="1"/>
  <c r="AF71" i="1"/>
  <c r="AF113" i="1"/>
  <c r="AF142" i="1"/>
  <c r="AF257" i="1"/>
  <c r="AF361" i="1"/>
  <c r="AF507" i="1"/>
  <c r="AF532" i="1"/>
  <c r="AF557" i="1"/>
  <c r="AF582" i="1"/>
  <c r="AF601" i="1"/>
  <c r="AF156" i="1"/>
  <c r="AF208" i="1"/>
  <c r="AF270" i="1"/>
  <c r="AF282" i="1"/>
  <c r="AF335" i="1"/>
  <c r="AF353" i="1"/>
  <c r="AF389" i="1"/>
  <c r="AF451" i="1"/>
  <c r="AF487" i="1"/>
  <c r="AF501" i="1"/>
  <c r="AF526" i="1"/>
  <c r="AF551" i="1"/>
  <c r="AF576" i="1"/>
  <c r="AF595" i="1"/>
  <c r="AF44" i="1"/>
  <c r="AF88" i="1"/>
  <c r="AF130" i="1"/>
  <c r="AF197" i="1"/>
  <c r="AF221" i="1"/>
  <c r="AF294" i="1"/>
  <c r="AF315" i="1"/>
  <c r="AF325" i="1"/>
  <c r="AF372" i="1"/>
  <c r="AF381" i="1"/>
  <c r="AF407" i="1"/>
  <c r="AF417" i="1"/>
  <c r="AF443" i="1"/>
  <c r="AF520" i="1"/>
  <c r="AF545" i="1"/>
  <c r="AF570" i="1"/>
  <c r="AF589" i="1"/>
  <c r="AF3" i="1"/>
  <c r="AF10" i="1"/>
  <c r="AF28" i="1"/>
  <c r="AF45" i="1"/>
  <c r="AF60" i="1"/>
  <c r="AF168" i="1"/>
  <c r="AF247" i="1"/>
  <c r="AF345" i="1"/>
  <c r="AF399" i="1"/>
  <c r="AF426" i="1"/>
  <c r="AF435" i="1"/>
  <c r="AF462" i="1"/>
  <c r="AF471" i="1"/>
  <c r="AF495" i="1"/>
  <c r="AF514" i="1"/>
  <c r="AF539" i="1"/>
  <c r="AF564" i="1"/>
  <c r="AF583" i="1"/>
  <c r="AF30" i="1"/>
  <c r="AF61" i="1"/>
  <c r="AF77" i="1"/>
  <c r="AF144" i="1"/>
  <c r="AF185" i="1"/>
  <c r="AF295" i="1"/>
  <c r="AF373" i="1"/>
  <c r="AF382" i="1"/>
  <c r="AF409" i="1"/>
  <c r="AF444" i="1"/>
  <c r="AF489" i="1"/>
  <c r="AF521" i="1"/>
  <c r="AF546" i="1"/>
  <c r="AF565" i="1"/>
  <c r="AF590" i="1"/>
  <c r="AF104" i="1"/>
  <c r="AF119" i="1"/>
  <c r="AF146" i="1"/>
  <c r="AF199" i="1"/>
  <c r="AF263" i="1"/>
  <c r="AF318" i="1"/>
  <c r="AF447" i="1"/>
  <c r="AF473" i="1"/>
  <c r="AF481" i="1"/>
  <c r="AF503" i="1"/>
  <c r="AF528" i="1"/>
  <c r="AF547" i="1"/>
  <c r="AF572" i="1"/>
  <c r="AF597" i="1"/>
  <c r="AF16" i="1"/>
  <c r="AF35" i="1"/>
  <c r="AF48" i="1"/>
  <c r="AF64" i="1"/>
  <c r="AF78" i="1"/>
  <c r="AF105" i="1"/>
  <c r="AF120" i="1"/>
  <c r="AF147" i="1"/>
  <c r="AF174" i="1"/>
  <c r="AF214" i="1"/>
  <c r="AF226" i="1"/>
  <c r="AF275" i="1"/>
  <c r="AF309" i="1"/>
  <c r="AF347" i="1"/>
  <c r="AF497" i="1"/>
  <c r="AF522" i="1"/>
  <c r="AF541" i="1"/>
  <c r="AF566" i="1"/>
  <c r="AF591" i="1"/>
  <c r="AF19" i="1"/>
  <c r="AF65" i="1"/>
  <c r="AF188" i="1"/>
  <c r="AF200" i="1"/>
  <c r="AF215" i="1"/>
  <c r="AF46" i="1"/>
  <c r="AF90" i="1"/>
  <c r="AF112" i="1"/>
  <c r="AF157" i="1"/>
  <c r="AF239" i="1"/>
  <c r="AF256" i="1"/>
  <c r="AF291" i="1"/>
  <c r="AF394" i="1"/>
  <c r="AF420" i="1"/>
  <c r="AF506" i="1"/>
  <c r="AF554" i="1"/>
  <c r="AF581" i="1"/>
  <c r="AF626" i="1"/>
  <c r="AF634" i="1"/>
  <c r="AF650" i="1"/>
  <c r="AF658" i="1"/>
  <c r="AF674" i="1"/>
  <c r="AF682" i="1"/>
  <c r="AF698" i="1"/>
  <c r="AF706" i="1"/>
  <c r="AF722" i="1"/>
  <c r="AF730" i="1"/>
  <c r="AF746" i="1"/>
  <c r="AF754" i="1"/>
  <c r="AF327" i="1"/>
  <c r="AF449" i="1"/>
  <c r="AF499" i="1"/>
  <c r="AF574" i="1"/>
  <c r="AF164" i="1"/>
  <c r="AF342" i="1"/>
  <c r="AF509" i="1"/>
  <c r="AF21" i="1"/>
  <c r="AF339" i="1"/>
  <c r="AF352" i="1"/>
  <c r="AF379" i="1"/>
  <c r="AF448" i="1"/>
  <c r="AF474" i="1"/>
  <c r="AF486" i="1"/>
  <c r="AF525" i="1"/>
  <c r="AF573" i="1"/>
  <c r="AF600" i="1"/>
  <c r="AF610" i="1"/>
  <c r="AF635" i="1"/>
  <c r="AF659" i="1"/>
  <c r="AF683" i="1"/>
  <c r="AF731" i="1"/>
  <c r="AF755" i="1"/>
  <c r="AF180" i="1"/>
  <c r="AF311" i="1"/>
  <c r="AF436" i="1"/>
  <c r="AF611" i="1"/>
  <c r="AF24" i="1"/>
  <c r="AF518" i="1"/>
  <c r="AF620" i="1"/>
  <c r="AF652" i="1"/>
  <c r="AF91" i="1"/>
  <c r="AF158" i="1"/>
  <c r="AF178" i="1"/>
  <c r="AF218" i="1"/>
  <c r="AF293" i="1"/>
  <c r="AF323" i="1"/>
  <c r="AF406" i="1"/>
  <c r="AF433" i="1"/>
  <c r="AF498" i="1"/>
  <c r="AF517" i="1"/>
  <c r="AF544" i="1"/>
  <c r="AF592" i="1"/>
  <c r="AF618" i="1"/>
  <c r="AF642" i="1"/>
  <c r="AF666" i="1"/>
  <c r="AF690" i="1"/>
  <c r="AF714" i="1"/>
  <c r="AF738" i="1"/>
  <c r="AF762" i="1"/>
  <c r="AF555" i="1"/>
  <c r="AF138" i="1"/>
  <c r="AF224" i="1"/>
  <c r="AF51" i="1"/>
  <c r="AF118" i="1"/>
  <c r="AF205" i="1"/>
  <c r="AF279" i="1"/>
  <c r="AF357" i="1"/>
  <c r="AF477" i="1"/>
  <c r="AF593" i="1"/>
  <c r="AF628" i="1"/>
  <c r="AF47" i="1"/>
  <c r="AF70" i="1"/>
  <c r="AF93" i="1"/>
  <c r="AF159" i="1"/>
  <c r="AF179" i="1"/>
  <c r="AF201" i="1"/>
  <c r="AF240" i="1"/>
  <c r="AF367" i="1"/>
  <c r="AF508" i="1"/>
  <c r="AF536" i="1"/>
  <c r="AF627" i="1"/>
  <c r="AF651" i="1"/>
  <c r="AF675" i="1"/>
  <c r="AF699" i="1"/>
  <c r="AF723" i="1"/>
  <c r="AF747" i="1"/>
  <c r="AF707" i="1"/>
  <c r="AF463" i="1"/>
  <c r="AF584" i="1"/>
  <c r="AF23" i="1"/>
  <c r="AF115" i="1"/>
  <c r="AF259" i="1"/>
  <c r="AF341" i="1"/>
  <c r="AF354" i="1"/>
  <c r="AF395" i="1"/>
  <c r="AF421" i="1"/>
  <c r="AF527" i="1"/>
  <c r="AF602" i="1"/>
  <c r="AF25" i="1"/>
  <c r="AF74" i="1"/>
  <c r="AF121" i="1"/>
  <c r="AF165" i="1"/>
  <c r="AF242" i="1"/>
  <c r="AF297" i="1"/>
  <c r="AF329" i="1"/>
  <c r="AF437" i="1"/>
  <c r="AF537" i="1"/>
  <c r="AF585" i="1"/>
  <c r="AF603" i="1"/>
  <c r="AF97" i="1"/>
  <c r="AF243" i="1"/>
  <c r="AF264" i="1"/>
  <c r="AF358" i="1"/>
  <c r="AF369" i="1"/>
  <c r="AF384" i="1"/>
  <c r="AF396" i="1"/>
  <c r="AF465" i="1"/>
  <c r="AF491" i="1"/>
  <c r="AF510" i="1"/>
  <c r="AF529" i="1"/>
  <c r="AF556" i="1"/>
  <c r="AF636" i="1"/>
  <c r="AF660" i="1"/>
  <c r="AF684" i="1"/>
  <c r="AF708" i="1"/>
  <c r="AF732" i="1"/>
  <c r="AF756" i="1"/>
  <c r="AF143" i="1"/>
  <c r="AF206" i="1"/>
  <c r="AF122" i="1"/>
  <c r="AF207" i="1"/>
  <c r="AF227" i="1"/>
  <c r="AF300" i="1"/>
  <c r="AF343" i="1"/>
  <c r="AF370" i="1"/>
  <c r="AF397" i="1"/>
  <c r="AF466" i="1"/>
  <c r="AF478" i="1"/>
  <c r="AF519" i="1"/>
  <c r="AF567" i="1"/>
  <c r="AF594" i="1"/>
  <c r="AF629" i="1"/>
  <c r="AF653" i="1"/>
  <c r="AF677" i="1"/>
  <c r="AF701" i="1"/>
  <c r="AF725" i="1"/>
  <c r="AF749" i="1"/>
  <c r="AF511" i="1"/>
  <c r="AF189" i="1"/>
  <c r="AF492" i="1"/>
  <c r="AF638" i="1"/>
  <c r="AF670" i="1"/>
  <c r="AF694" i="1"/>
  <c r="AF718" i="1"/>
  <c r="AF742" i="1"/>
  <c r="AF33" i="1"/>
  <c r="AF98" i="1"/>
  <c r="AF145" i="1"/>
  <c r="AF166" i="1"/>
  <c r="AF228" i="1"/>
  <c r="AF283" i="1"/>
  <c r="AF330" i="1"/>
  <c r="AF454" i="1"/>
  <c r="AF558" i="1"/>
  <c r="AF577" i="1"/>
  <c r="AF586" i="1"/>
  <c r="AF34" i="1"/>
  <c r="AF285" i="1"/>
  <c r="AF317" i="1"/>
  <c r="AF359" i="1"/>
  <c r="AF480" i="1"/>
  <c r="AF502" i="1"/>
  <c r="AF530" i="1"/>
  <c r="AF596" i="1"/>
  <c r="AF622" i="1"/>
  <c r="AF646" i="1"/>
  <c r="AF662" i="1"/>
  <c r="AF686" i="1"/>
  <c r="AF710" i="1"/>
  <c r="AF734" i="1"/>
  <c r="AF758" i="1"/>
  <c r="AF56" i="1"/>
  <c r="AF81" i="1"/>
  <c r="AF229" i="1"/>
  <c r="AF249" i="1"/>
  <c r="AF441" i="1"/>
  <c r="AF455" i="1"/>
  <c r="AF467" i="1"/>
  <c r="AF568" i="1"/>
  <c r="AF578" i="1"/>
  <c r="AF630" i="1"/>
  <c r="AF654" i="1"/>
  <c r="AF678" i="1"/>
  <c r="AF702" i="1"/>
  <c r="AF726" i="1"/>
  <c r="AF750" i="1"/>
  <c r="AF641" i="1"/>
  <c r="AF624" i="1"/>
  <c r="AF571" i="1"/>
  <c r="AF512" i="1"/>
  <c r="AF493" i="1"/>
  <c r="AF412" i="1"/>
  <c r="AF250" i="1"/>
  <c r="AF209" i="1"/>
  <c r="AE9" i="1"/>
  <c r="AE15" i="1"/>
  <c r="AE21" i="1"/>
  <c r="AE27" i="1"/>
  <c r="AE33" i="1"/>
  <c r="AE39" i="1"/>
  <c r="AE45" i="1"/>
  <c r="AE51" i="1"/>
  <c r="AE57" i="1"/>
  <c r="AE63" i="1"/>
  <c r="AE69" i="1"/>
  <c r="AE75" i="1"/>
  <c r="AE81" i="1"/>
  <c r="AE87" i="1"/>
  <c r="AE93" i="1"/>
  <c r="AE99" i="1"/>
  <c r="AE105" i="1"/>
  <c r="AE111" i="1"/>
  <c r="AE117" i="1"/>
  <c r="AE123" i="1"/>
  <c r="AE129" i="1"/>
  <c r="AE135" i="1"/>
  <c r="AE141" i="1"/>
  <c r="AE147" i="1"/>
  <c r="AE153" i="1"/>
  <c r="AE159" i="1"/>
  <c r="AE165" i="1"/>
  <c r="AE171" i="1"/>
  <c r="AE177" i="1"/>
  <c r="AE183" i="1"/>
  <c r="AE189" i="1"/>
  <c r="AE195" i="1"/>
  <c r="AE201" i="1"/>
  <c r="AE207" i="1"/>
  <c r="AE213" i="1"/>
  <c r="AE219" i="1"/>
  <c r="AE225" i="1"/>
  <c r="AE231" i="1"/>
  <c r="AE237" i="1"/>
  <c r="AE243" i="1"/>
  <c r="AE249" i="1"/>
  <c r="AE255" i="1"/>
  <c r="AE261" i="1"/>
  <c r="AE267" i="1"/>
  <c r="AE273" i="1"/>
  <c r="AE279" i="1"/>
  <c r="AE285" i="1"/>
  <c r="AE11" i="1"/>
  <c r="AE38" i="1"/>
  <c r="AE59" i="1"/>
  <c r="AE86" i="1"/>
  <c r="AE107" i="1"/>
  <c r="AE134" i="1"/>
  <c r="AE155" i="1"/>
  <c r="AE182" i="1"/>
  <c r="AE203" i="1"/>
  <c r="AE230" i="1"/>
  <c r="AE251" i="1"/>
  <c r="AE284" i="1"/>
  <c r="AE18" i="1"/>
  <c r="AE66" i="1"/>
  <c r="AE114" i="1"/>
  <c r="AE162" i="1"/>
  <c r="AE210" i="1"/>
  <c r="AE258" i="1"/>
  <c r="AE278" i="1"/>
  <c r="AE25" i="1"/>
  <c r="AE46" i="1"/>
  <c r="AE73" i="1"/>
  <c r="AE94" i="1"/>
  <c r="AE121" i="1"/>
  <c r="AE142" i="1"/>
  <c r="AE169" i="1"/>
  <c r="AE190" i="1"/>
  <c r="AE217" i="1"/>
  <c r="AE238" i="1"/>
  <c r="AE265" i="1"/>
  <c r="AE4" i="1"/>
  <c r="AE12" i="1"/>
  <c r="AE13" i="1"/>
  <c r="AE34" i="1"/>
  <c r="AE61" i="1"/>
  <c r="AE82" i="1"/>
  <c r="AE109" i="1"/>
  <c r="AE130" i="1"/>
  <c r="AE157" i="1"/>
  <c r="AE178" i="1"/>
  <c r="AE205" i="1"/>
  <c r="AE226" i="1"/>
  <c r="AE253" i="1"/>
  <c r="AE280" i="1"/>
  <c r="AE48" i="1"/>
  <c r="AE96" i="1"/>
  <c r="AE144" i="1"/>
  <c r="AE49" i="1"/>
  <c r="AE136" i="1"/>
  <c r="AE194" i="1"/>
  <c r="AE211" i="1"/>
  <c r="AE363" i="1"/>
  <c r="AE390" i="1"/>
  <c r="AE411" i="1"/>
  <c r="AE438" i="1"/>
  <c r="AE459" i="1"/>
  <c r="AE486" i="1"/>
  <c r="AE31" i="1"/>
  <c r="AE41" i="1"/>
  <c r="AE58" i="1"/>
  <c r="AE76" i="1"/>
  <c r="AE84" i="1"/>
  <c r="AE92" i="1"/>
  <c r="AE110" i="1"/>
  <c r="AE170" i="1"/>
  <c r="AE220" i="1"/>
  <c r="AE244" i="1"/>
  <c r="AE269" i="1"/>
  <c r="AE299" i="1"/>
  <c r="AE306" i="1"/>
  <c r="AE313" i="1"/>
  <c r="AE320" i="1"/>
  <c r="AE335" i="1"/>
  <c r="AE342" i="1"/>
  <c r="AE349" i="1"/>
  <c r="AE370" i="1"/>
  <c r="AE397" i="1"/>
  <c r="AE418" i="1"/>
  <c r="AE445" i="1"/>
  <c r="AE466" i="1"/>
  <c r="AE14" i="1"/>
  <c r="AE23" i="1"/>
  <c r="AE32" i="1"/>
  <c r="AE67" i="1"/>
  <c r="AE119" i="1"/>
  <c r="AE127" i="1"/>
  <c r="AE145" i="1"/>
  <c r="AE179" i="1"/>
  <c r="AE228" i="1"/>
  <c r="AE245" i="1"/>
  <c r="AE292" i="1"/>
  <c r="AE42" i="1"/>
  <c r="AE50" i="1"/>
  <c r="AE163" i="1"/>
  <c r="AE262" i="1"/>
  <c r="AE68" i="1"/>
  <c r="AE77" i="1"/>
  <c r="AE85" i="1"/>
  <c r="AE103" i="1"/>
  <c r="AE172" i="1"/>
  <c r="AE196" i="1"/>
  <c r="AE7" i="1"/>
  <c r="AE62" i="1"/>
  <c r="AE72" i="1"/>
  <c r="AE116" i="1"/>
  <c r="AE160" i="1"/>
  <c r="AE181" i="1"/>
  <c r="AE222" i="1"/>
  <c r="AE271" i="1"/>
  <c r="AE289" i="1"/>
  <c r="AE307" i="1"/>
  <c r="AE340" i="1"/>
  <c r="AE355" i="1"/>
  <c r="AE378" i="1"/>
  <c r="AE415" i="1"/>
  <c r="AE423" i="1"/>
  <c r="AE475" i="1"/>
  <c r="AE482" i="1"/>
  <c r="AE17" i="1"/>
  <c r="AE29" i="1"/>
  <c r="AE40" i="1"/>
  <c r="AE106" i="1"/>
  <c r="AE128" i="1"/>
  <c r="AE139" i="1"/>
  <c r="AE192" i="1"/>
  <c r="AE272" i="1"/>
  <c r="AE281" i="1"/>
  <c r="AE298" i="1"/>
  <c r="AE316" i="1"/>
  <c r="AE324" i="1"/>
  <c r="AE348" i="1"/>
  <c r="AE371" i="1"/>
  <c r="AE408" i="1"/>
  <c r="AE468" i="1"/>
  <c r="AE483" i="1"/>
  <c r="AE5" i="1"/>
  <c r="AE52" i="1"/>
  <c r="AE150" i="1"/>
  <c r="AE202" i="1"/>
  <c r="AE233" i="1"/>
  <c r="AE252" i="1"/>
  <c r="AE332" i="1"/>
  <c r="AE356" i="1"/>
  <c r="AE364" i="1"/>
  <c r="AE401" i="1"/>
  <c r="AE461" i="1"/>
  <c r="AE6" i="1"/>
  <c r="AE53" i="1"/>
  <c r="AE214" i="1"/>
  <c r="AE242" i="1"/>
  <c r="AE263" i="1"/>
  <c r="AE333" i="1"/>
  <c r="AE341" i="1"/>
  <c r="AE357" i="1"/>
  <c r="AE386" i="1"/>
  <c r="AE394" i="1"/>
  <c r="AE431" i="1"/>
  <c r="AE446" i="1"/>
  <c r="AE454" i="1"/>
  <c r="AE54" i="1"/>
  <c r="AE120" i="1"/>
  <c r="AE164" i="1"/>
  <c r="AE215" i="1"/>
  <c r="AE264" i="1"/>
  <c r="AE44" i="1"/>
  <c r="AE26" i="1"/>
  <c r="AE43" i="1"/>
  <c r="AE71" i="1"/>
  <c r="AE113" i="1"/>
  <c r="AE232" i="1"/>
  <c r="AE246" i="1"/>
  <c r="AE257" i="1"/>
  <c r="AE334" i="1"/>
  <c r="AE361" i="1"/>
  <c r="AE507" i="1"/>
  <c r="AE532" i="1"/>
  <c r="AE557" i="1"/>
  <c r="AE582" i="1"/>
  <c r="AE601" i="1"/>
  <c r="AE156" i="1"/>
  <c r="AE208" i="1"/>
  <c r="AE270" i="1"/>
  <c r="AE282" i="1"/>
  <c r="AE314" i="1"/>
  <c r="AE353" i="1"/>
  <c r="AE380" i="1"/>
  <c r="AE389" i="1"/>
  <c r="AE416" i="1"/>
  <c r="AE451" i="1"/>
  <c r="AE487" i="1"/>
  <c r="AE501" i="1"/>
  <c r="AE526" i="1"/>
  <c r="AE551" i="1"/>
  <c r="AE576" i="1"/>
  <c r="AE595" i="1"/>
  <c r="AE88" i="1"/>
  <c r="AE126" i="1"/>
  <c r="AE197" i="1"/>
  <c r="AE221" i="1"/>
  <c r="AE294" i="1"/>
  <c r="AE304" i="1"/>
  <c r="AE315" i="1"/>
  <c r="AE325" i="1"/>
  <c r="AE344" i="1"/>
  <c r="AE372" i="1"/>
  <c r="AE381" i="1"/>
  <c r="AE398" i="1"/>
  <c r="AE407" i="1"/>
  <c r="AE417" i="1"/>
  <c r="AE434" i="1"/>
  <c r="AE443" i="1"/>
  <c r="AE470" i="1"/>
  <c r="AE479" i="1"/>
  <c r="AE520" i="1"/>
  <c r="AE545" i="1"/>
  <c r="AE570" i="1"/>
  <c r="AE589" i="1"/>
  <c r="AE3" i="1"/>
  <c r="AE10" i="1"/>
  <c r="AE28" i="1"/>
  <c r="AE60" i="1"/>
  <c r="AE100" i="1"/>
  <c r="AE168" i="1"/>
  <c r="AE234" i="1"/>
  <c r="AE247" i="1"/>
  <c r="AE345" i="1"/>
  <c r="AE399" i="1"/>
  <c r="AE426" i="1"/>
  <c r="AE435" i="1"/>
  <c r="AE452" i="1"/>
  <c r="AE462" i="1"/>
  <c r="AE471" i="1"/>
  <c r="AE495" i="1"/>
  <c r="AE514" i="1"/>
  <c r="AE539" i="1"/>
  <c r="AE564" i="1"/>
  <c r="AE583" i="1"/>
  <c r="AE608" i="1"/>
  <c r="AE614" i="1"/>
  <c r="AE620" i="1"/>
  <c r="AE626" i="1"/>
  <c r="AE632" i="1"/>
  <c r="AE638" i="1"/>
  <c r="AE644" i="1"/>
  <c r="AE650" i="1"/>
  <c r="AE656" i="1"/>
  <c r="AE662" i="1"/>
  <c r="AE668" i="1"/>
  <c r="AE674" i="1"/>
  <c r="AE680" i="1"/>
  <c r="AE686" i="1"/>
  <c r="AE692" i="1"/>
  <c r="AE698" i="1"/>
  <c r="AE704" i="1"/>
  <c r="AE710" i="1"/>
  <c r="AE716" i="1"/>
  <c r="AE722" i="1"/>
  <c r="AE728" i="1"/>
  <c r="AE734" i="1"/>
  <c r="AE740" i="1"/>
  <c r="AE746" i="1"/>
  <c r="AE752" i="1"/>
  <c r="AE758" i="1"/>
  <c r="AE101" i="1"/>
  <c r="AE143" i="1"/>
  <c r="AE184" i="1"/>
  <c r="AE283" i="1"/>
  <c r="AE336" i="1"/>
  <c r="AE362" i="1"/>
  <c r="AE453" i="1"/>
  <c r="AE508" i="1"/>
  <c r="AE533" i="1"/>
  <c r="AE558" i="1"/>
  <c r="AE577" i="1"/>
  <c r="AE158" i="1"/>
  <c r="AE173" i="1"/>
  <c r="AE224" i="1"/>
  <c r="AE236" i="1"/>
  <c r="AE248" i="1"/>
  <c r="AE274" i="1"/>
  <c r="AE327" i="1"/>
  <c r="AE346" i="1"/>
  <c r="AE365" i="1"/>
  <c r="AE391" i="1"/>
  <c r="AE400" i="1"/>
  <c r="AE427" i="1"/>
  <c r="AE436" i="1"/>
  <c r="AE463" i="1"/>
  <c r="AE472" i="1"/>
  <c r="AE496" i="1"/>
  <c r="AE515" i="1"/>
  <c r="AE540" i="1"/>
  <c r="AE559" i="1"/>
  <c r="AE584" i="1"/>
  <c r="AE609" i="1"/>
  <c r="AE615" i="1"/>
  <c r="AE621" i="1"/>
  <c r="AE627" i="1"/>
  <c r="AE633" i="1"/>
  <c r="AE639" i="1"/>
  <c r="AE645" i="1"/>
  <c r="AE651" i="1"/>
  <c r="AE657" i="1"/>
  <c r="AE663" i="1"/>
  <c r="AE669" i="1"/>
  <c r="AE675" i="1"/>
  <c r="AE681" i="1"/>
  <c r="AE687" i="1"/>
  <c r="AE693" i="1"/>
  <c r="AE699" i="1"/>
  <c r="AE705" i="1"/>
  <c r="AE711" i="1"/>
  <c r="AE717" i="1"/>
  <c r="AE723" i="1"/>
  <c r="AE729" i="1"/>
  <c r="AE735" i="1"/>
  <c r="AE741" i="1"/>
  <c r="AE747" i="1"/>
  <c r="AE753" i="1"/>
  <c r="AE759" i="1"/>
  <c r="AE16" i="1"/>
  <c r="AE35" i="1"/>
  <c r="AE64" i="1"/>
  <c r="AE78" i="1"/>
  <c r="AE174" i="1"/>
  <c r="AE186" i="1"/>
  <c r="AE212" i="1"/>
  <c r="AE275" i="1"/>
  <c r="AE296" i="1"/>
  <c r="AE309" i="1"/>
  <c r="AE347" i="1"/>
  <c r="AE374" i="1"/>
  <c r="AE383" i="1"/>
  <c r="AE410" i="1"/>
  <c r="AE490" i="1"/>
  <c r="AE497" i="1"/>
  <c r="AE522" i="1"/>
  <c r="AE541" i="1"/>
  <c r="AE566" i="1"/>
  <c r="AE591" i="1"/>
  <c r="AE187" i="1"/>
  <c r="AE287" i="1"/>
  <c r="AE297" i="1"/>
  <c r="AE329" i="1"/>
  <c r="AE366" i="1"/>
  <c r="AE375" i="1"/>
  <c r="AE392" i="1"/>
  <c r="AE402" i="1"/>
  <c r="AE428" i="1"/>
  <c r="AE437" i="1"/>
  <c r="AE464" i="1"/>
  <c r="AE516" i="1"/>
  <c r="AE535" i="1"/>
  <c r="AE560" i="1"/>
  <c r="AE585" i="1"/>
  <c r="AE610" i="1"/>
  <c r="AE616" i="1"/>
  <c r="AE36" i="1"/>
  <c r="AE79" i="1"/>
  <c r="AE148" i="1"/>
  <c r="AE175" i="1"/>
  <c r="AE20" i="1"/>
  <c r="AE199" i="1"/>
  <c r="AE339" i="1"/>
  <c r="AE352" i="1"/>
  <c r="AE379" i="1"/>
  <c r="AE448" i="1"/>
  <c r="AE474" i="1"/>
  <c r="AE525" i="1"/>
  <c r="AE573" i="1"/>
  <c r="AE600" i="1"/>
  <c r="AE565" i="1"/>
  <c r="AE619" i="1"/>
  <c r="AE652" i="1"/>
  <c r="AE715" i="1"/>
  <c r="AE739" i="1"/>
  <c r="AE763" i="1"/>
  <c r="AE74" i="1"/>
  <c r="AE537" i="1"/>
  <c r="AE91" i="1"/>
  <c r="AE218" i="1"/>
  <c r="AE276" i="1"/>
  <c r="AE293" i="1"/>
  <c r="AE310" i="1"/>
  <c r="AE323" i="1"/>
  <c r="AE406" i="1"/>
  <c r="AE433" i="1"/>
  <c r="AE498" i="1"/>
  <c r="AE517" i="1"/>
  <c r="AE544" i="1"/>
  <c r="AE592" i="1"/>
  <c r="AE618" i="1"/>
  <c r="AE642" i="1"/>
  <c r="AE666" i="1"/>
  <c r="AE690" i="1"/>
  <c r="AE714" i="1"/>
  <c r="AE738" i="1"/>
  <c r="AE762" i="1"/>
  <c r="AE95" i="1"/>
  <c r="AE260" i="1"/>
  <c r="AE643" i="1"/>
  <c r="AE676" i="1"/>
  <c r="AE748" i="1"/>
  <c r="AE328" i="1"/>
  <c r="AE368" i="1"/>
  <c r="AE547" i="1"/>
  <c r="AE603" i="1"/>
  <c r="AE47" i="1"/>
  <c r="AE70" i="1"/>
  <c r="AE200" i="1"/>
  <c r="AE240" i="1"/>
  <c r="AE277" i="1"/>
  <c r="AE367" i="1"/>
  <c r="AE460" i="1"/>
  <c r="AE536" i="1"/>
  <c r="AE563" i="1"/>
  <c r="AE24" i="1"/>
  <c r="AE477" i="1"/>
  <c r="AE518" i="1"/>
  <c r="AE593" i="1"/>
  <c r="AE628" i="1"/>
  <c r="AE691" i="1"/>
  <c r="AE724" i="1"/>
  <c r="AE241" i="1"/>
  <c r="AE528" i="1"/>
  <c r="AE22" i="1"/>
  <c r="AE115" i="1"/>
  <c r="AE137" i="1"/>
  <c r="AE259" i="1"/>
  <c r="AE354" i="1"/>
  <c r="AE395" i="1"/>
  <c r="AE421" i="1"/>
  <c r="AE488" i="1"/>
  <c r="AE527" i="1"/>
  <c r="AE555" i="1"/>
  <c r="AE602" i="1"/>
  <c r="AE635" i="1"/>
  <c r="AE659" i="1"/>
  <c r="AE683" i="1"/>
  <c r="AE707" i="1"/>
  <c r="AE731" i="1"/>
  <c r="AE755" i="1"/>
  <c r="AE574" i="1"/>
  <c r="AE118" i="1"/>
  <c r="AE509" i="1"/>
  <c r="AE667" i="1"/>
  <c r="AE700" i="1"/>
  <c r="AE138" i="1"/>
  <c r="AE161" i="1"/>
  <c r="AE180" i="1"/>
  <c r="AE204" i="1"/>
  <c r="AE223" i="1"/>
  <c r="AE295" i="1"/>
  <c r="AE311" i="1"/>
  <c r="AE326" i="1"/>
  <c r="AE382" i="1"/>
  <c r="AE409" i="1"/>
  <c r="AE449" i="1"/>
  <c r="AE476" i="1"/>
  <c r="AE489" i="1"/>
  <c r="AE499" i="1"/>
  <c r="AE546" i="1"/>
  <c r="AE611" i="1"/>
  <c r="AE97" i="1"/>
  <c r="AE185" i="1"/>
  <c r="AE358" i="1"/>
  <c r="AE369" i="1"/>
  <c r="AE384" i="1"/>
  <c r="AE396" i="1"/>
  <c r="AE422" i="1"/>
  <c r="AE465" i="1"/>
  <c r="AE491" i="1"/>
  <c r="AE510" i="1"/>
  <c r="AE529" i="1"/>
  <c r="AE556" i="1"/>
  <c r="AE636" i="1"/>
  <c r="AE660" i="1"/>
  <c r="AE684" i="1"/>
  <c r="AE708" i="1"/>
  <c r="AE732" i="1"/>
  <c r="AE756" i="1"/>
  <c r="AE140" i="1"/>
  <c r="AE206" i="1"/>
  <c r="AE312" i="1"/>
  <c r="AE412" i="1"/>
  <c r="AE424" i="1"/>
  <c r="AE439" i="1"/>
  <c r="AE450" i="1"/>
  <c r="AE500" i="1"/>
  <c r="AE548" i="1"/>
  <c r="AE575" i="1"/>
  <c r="AE604" i="1"/>
  <c r="AE612" i="1"/>
  <c r="AE122" i="1"/>
  <c r="AE227" i="1"/>
  <c r="AE30" i="1"/>
  <c r="AE55" i="1"/>
  <c r="AE98" i="1"/>
  <c r="AE166" i="1"/>
  <c r="AE330" i="1"/>
  <c r="AE425" i="1"/>
  <c r="AE511" i="1"/>
  <c r="AE538" i="1"/>
  <c r="AE586" i="1"/>
  <c r="AE661" i="1"/>
  <c r="AE733" i="1"/>
  <c r="AE757" i="1"/>
  <c r="AE102" i="1"/>
  <c r="AE301" i="1"/>
  <c r="AE387" i="1"/>
  <c r="AE440" i="1"/>
  <c r="AE521" i="1"/>
  <c r="AE549" i="1"/>
  <c r="AE605" i="1"/>
  <c r="AE188" i="1"/>
  <c r="AE317" i="1"/>
  <c r="AE359" i="1"/>
  <c r="AE385" i="1"/>
  <c r="AE480" i="1"/>
  <c r="AE492" i="1"/>
  <c r="AE502" i="1"/>
  <c r="AE530" i="1"/>
  <c r="AE596" i="1"/>
  <c r="AE622" i="1"/>
  <c r="AE637" i="1"/>
  <c r="AE646" i="1"/>
  <c r="AE670" i="1"/>
  <c r="AE685" i="1"/>
  <c r="AE694" i="1"/>
  <c r="AE709" i="1"/>
  <c r="AE718" i="1"/>
  <c r="AE742" i="1"/>
  <c r="AE80" i="1"/>
  <c r="AE124" i="1"/>
  <c r="AE146" i="1"/>
  <c r="AE209" i="1"/>
  <c r="AE266" i="1"/>
  <c r="AE373" i="1"/>
  <c r="AE413" i="1"/>
  <c r="AE613" i="1"/>
  <c r="AE167" i="1"/>
  <c r="AE318" i="1"/>
  <c r="AE331" i="1"/>
  <c r="AE481" i="1"/>
  <c r="AE493" i="1"/>
  <c r="AE503" i="1"/>
  <c r="AE512" i="1"/>
  <c r="AE587" i="1"/>
  <c r="AE597" i="1"/>
  <c r="AF737" i="1"/>
  <c r="AD721" i="1"/>
  <c r="AF689" i="1"/>
  <c r="AD673" i="1"/>
  <c r="AE641" i="1"/>
  <c r="AE624" i="1"/>
  <c r="AD588" i="1"/>
  <c r="AE571" i="1"/>
  <c r="AF531" i="1"/>
  <c r="AD512" i="1"/>
  <c r="AF439" i="1"/>
  <c r="AF377" i="1"/>
  <c r="AE350" i="1"/>
  <c r="AD288" i="1"/>
  <c r="AE250" i="1"/>
  <c r="AD199" i="1"/>
  <c r="AF152" i="1"/>
  <c r="AE108" i="1"/>
  <c r="AE56" i="1"/>
  <c r="AD606" i="1"/>
  <c r="AE506" i="1"/>
  <c r="AF485" i="1"/>
  <c r="AF432" i="1"/>
  <c r="AE404" i="1"/>
  <c r="AE376" i="1"/>
  <c r="AF349" i="1"/>
  <c r="AD319" i="1"/>
  <c r="AE286" i="1"/>
  <c r="AE239" i="1"/>
  <c r="AF193" i="1"/>
  <c r="AF151" i="1"/>
  <c r="AE104" i="1"/>
  <c r="AF720" i="1"/>
  <c r="AD657" i="1"/>
  <c r="AF376" i="1"/>
  <c r="AF640" i="1"/>
  <c r="AD587" i="1"/>
  <c r="V771" i="1"/>
  <c r="AF752" i="1"/>
  <c r="AF736" i="1"/>
  <c r="AD720" i="1"/>
  <c r="AF704" i="1"/>
  <c r="AF688" i="1"/>
  <c r="AD672" i="1"/>
  <c r="AF656" i="1"/>
  <c r="AE640" i="1"/>
  <c r="AE623" i="1"/>
  <c r="AF605" i="1"/>
  <c r="AF549" i="1"/>
  <c r="AD525" i="1"/>
  <c r="AD506" i="1"/>
  <c r="AE485" i="1"/>
  <c r="AF457" i="1"/>
  <c r="AE432" i="1"/>
  <c r="AF403" i="1"/>
  <c r="AD376" i="1"/>
  <c r="AD318" i="1"/>
  <c r="AF280" i="1"/>
  <c r="AF238" i="1"/>
  <c r="AE193" i="1"/>
  <c r="AE151" i="1"/>
  <c r="AF103" i="1"/>
  <c r="AD38" i="1"/>
  <c r="AF705" i="1"/>
  <c r="AD641" i="1"/>
  <c r="AF405" i="1"/>
  <c r="AF319" i="1"/>
  <c r="AD737" i="1"/>
  <c r="AF672" i="1"/>
  <c r="AD458" i="1"/>
  <c r="AF287" i="1"/>
  <c r="AD198" i="1"/>
  <c r="AE720" i="1"/>
  <c r="AE672" i="1"/>
  <c r="AF623" i="1"/>
  <c r="AD569" i="1"/>
  <c r="U771" i="1"/>
  <c r="AE751" i="1"/>
  <c r="AE736" i="1"/>
  <c r="AE703" i="1"/>
  <c r="AE688" i="1"/>
  <c r="AE655" i="1"/>
  <c r="AF604" i="1"/>
  <c r="AD586" i="1"/>
  <c r="AE568" i="1"/>
  <c r="AF548" i="1"/>
  <c r="AD485" i="1"/>
  <c r="AE457" i="1"/>
  <c r="AD432" i="1"/>
  <c r="AE403" i="1"/>
  <c r="AF312" i="1"/>
  <c r="AF237" i="1"/>
  <c r="AF149" i="1"/>
  <c r="AE90" i="1"/>
  <c r="W769" i="1"/>
  <c r="W770" i="1" s="1"/>
  <c r="AD9" i="1"/>
  <c r="AD15" i="1"/>
  <c r="AD21" i="1"/>
  <c r="AD27" i="1"/>
  <c r="AD33" i="1"/>
  <c r="AD39" i="1"/>
  <c r="AD45" i="1"/>
  <c r="AD51" i="1"/>
  <c r="AD57" i="1"/>
  <c r="AD63" i="1"/>
  <c r="AD69" i="1"/>
  <c r="AD75" i="1"/>
  <c r="AD81" i="1"/>
  <c r="AD87" i="1"/>
  <c r="AD93" i="1"/>
  <c r="AD99" i="1"/>
  <c r="AD105" i="1"/>
  <c r="AD111" i="1"/>
  <c r="AD117" i="1"/>
  <c r="AD123" i="1"/>
  <c r="AD129" i="1"/>
  <c r="AD135" i="1"/>
  <c r="AD141" i="1"/>
  <c r="AD147" i="1"/>
  <c r="AD153" i="1"/>
  <c r="AD159" i="1"/>
  <c r="AD165" i="1"/>
  <c r="AD171" i="1"/>
  <c r="AD177" i="1"/>
  <c r="AD183" i="1"/>
  <c r="AD189" i="1"/>
  <c r="AD195" i="1"/>
  <c r="AD201" i="1"/>
  <c r="AD207" i="1"/>
  <c r="AD213" i="1"/>
  <c r="AD219" i="1"/>
  <c r="AD225" i="1"/>
  <c r="AD231" i="1"/>
  <c r="AD237" i="1"/>
  <c r="AD243" i="1"/>
  <c r="AD249" i="1"/>
  <c r="AD255" i="1"/>
  <c r="AD261" i="1"/>
  <c r="AD267" i="1"/>
  <c r="AD5" i="1"/>
  <c r="AD11" i="1"/>
  <c r="AD18" i="1"/>
  <c r="AD66" i="1"/>
  <c r="AD114" i="1"/>
  <c r="AD162" i="1"/>
  <c r="AD210" i="1"/>
  <c r="AD258" i="1"/>
  <c r="AD278" i="1"/>
  <c r="AD25" i="1"/>
  <c r="AD46" i="1"/>
  <c r="AD73" i="1"/>
  <c r="AD94" i="1"/>
  <c r="AD121" i="1"/>
  <c r="AD142" i="1"/>
  <c r="AD169" i="1"/>
  <c r="AD190" i="1"/>
  <c r="AD217" i="1"/>
  <c r="AD238" i="1"/>
  <c r="AD265" i="1"/>
  <c r="AD32" i="1"/>
  <c r="AD53" i="1"/>
  <c r="AD80" i="1"/>
  <c r="AD101" i="1"/>
  <c r="AD128" i="1"/>
  <c r="AD149" i="1"/>
  <c r="AD176" i="1"/>
  <c r="AD197" i="1"/>
  <c r="AD224" i="1"/>
  <c r="AD245" i="1"/>
  <c r="AD272" i="1"/>
  <c r="AD291" i="1"/>
  <c r="AD297" i="1"/>
  <c r="AD303" i="1"/>
  <c r="AD309" i="1"/>
  <c r="AD315" i="1"/>
  <c r="AD321" i="1"/>
  <c r="AD327" i="1"/>
  <c r="AD333" i="1"/>
  <c r="AD339" i="1"/>
  <c r="AD345" i="1"/>
  <c r="AD351" i="1"/>
  <c r="AD357" i="1"/>
  <c r="AD363" i="1"/>
  <c r="AD369" i="1"/>
  <c r="AD375" i="1"/>
  <c r="AD381" i="1"/>
  <c r="AD387" i="1"/>
  <c r="AD393" i="1"/>
  <c r="AD399" i="1"/>
  <c r="AD405" i="1"/>
  <c r="AD411" i="1"/>
  <c r="AD417" i="1"/>
  <c r="AD423" i="1"/>
  <c r="AD429" i="1"/>
  <c r="AD435" i="1"/>
  <c r="AD441" i="1"/>
  <c r="AD447" i="1"/>
  <c r="AD453" i="1"/>
  <c r="AD459" i="1"/>
  <c r="AD465" i="1"/>
  <c r="AD471" i="1"/>
  <c r="AD477" i="1"/>
  <c r="AD483" i="1"/>
  <c r="AD489" i="1"/>
  <c r="AD19" i="1"/>
  <c r="AD6" i="1"/>
  <c r="AD20" i="1"/>
  <c r="AD41" i="1"/>
  <c r="AD68" i="1"/>
  <c r="AD89" i="1"/>
  <c r="AD116" i="1"/>
  <c r="AD137" i="1"/>
  <c r="AD164" i="1"/>
  <c r="AD185" i="1"/>
  <c r="AD212" i="1"/>
  <c r="AD233" i="1"/>
  <c r="AD260" i="1"/>
  <c r="AD274" i="1"/>
  <c r="AD28" i="1"/>
  <c r="AD55" i="1"/>
  <c r="AD76" i="1"/>
  <c r="AD103" i="1"/>
  <c r="AD124" i="1"/>
  <c r="AD151" i="1"/>
  <c r="AD13" i="1"/>
  <c r="AD31" i="1"/>
  <c r="AD58" i="1"/>
  <c r="AD84" i="1"/>
  <c r="AD92" i="1"/>
  <c r="AD110" i="1"/>
  <c r="AD170" i="1"/>
  <c r="AD220" i="1"/>
  <c r="AD244" i="1"/>
  <c r="AD269" i="1"/>
  <c r="AD299" i="1"/>
  <c r="AD306" i="1"/>
  <c r="AD313" i="1"/>
  <c r="AD320" i="1"/>
  <c r="AD335" i="1"/>
  <c r="AD342" i="1"/>
  <c r="AD349" i="1"/>
  <c r="AD370" i="1"/>
  <c r="AD397" i="1"/>
  <c r="AD418" i="1"/>
  <c r="AD445" i="1"/>
  <c r="AD466" i="1"/>
  <c r="AD493" i="1"/>
  <c r="AD499" i="1"/>
  <c r="AD505" i="1"/>
  <c r="AD511" i="1"/>
  <c r="AD517" i="1"/>
  <c r="AD523" i="1"/>
  <c r="AD529" i="1"/>
  <c r="AD535" i="1"/>
  <c r="AD541" i="1"/>
  <c r="AD547" i="1"/>
  <c r="AD553" i="1"/>
  <c r="AD559" i="1"/>
  <c r="AD565" i="1"/>
  <c r="AD571" i="1"/>
  <c r="AD577" i="1"/>
  <c r="AD583" i="1"/>
  <c r="AD589" i="1"/>
  <c r="AD595" i="1"/>
  <c r="AD601" i="1"/>
  <c r="AD607" i="1"/>
  <c r="AD14" i="1"/>
  <c r="AD23" i="1"/>
  <c r="AD67" i="1"/>
  <c r="AD119" i="1"/>
  <c r="AD127" i="1"/>
  <c r="AD145" i="1"/>
  <c r="AD179" i="1"/>
  <c r="AD203" i="1"/>
  <c r="AD228" i="1"/>
  <c r="AD284" i="1"/>
  <c r="AD292" i="1"/>
  <c r="AD328" i="1"/>
  <c r="AD356" i="1"/>
  <c r="AD377" i="1"/>
  <c r="AD404" i="1"/>
  <c r="AD425" i="1"/>
  <c r="AD452" i="1"/>
  <c r="AD473" i="1"/>
  <c r="AD4" i="1"/>
  <c r="AD102" i="1"/>
  <c r="AD154" i="1"/>
  <c r="AD187" i="1"/>
  <c r="AD204" i="1"/>
  <c r="AD236" i="1"/>
  <c r="AD253" i="1"/>
  <c r="AD277" i="1"/>
  <c r="AD285" i="1"/>
  <c r="AD59" i="1"/>
  <c r="AD77" i="1"/>
  <c r="AD85" i="1"/>
  <c r="AD172" i="1"/>
  <c r="AD196" i="1"/>
  <c r="AD221" i="1"/>
  <c r="AD270" i="1"/>
  <c r="AD293" i="1"/>
  <c r="AD300" i="1"/>
  <c r="AD307" i="1"/>
  <c r="AD314" i="1"/>
  <c r="AD329" i="1"/>
  <c r="AD336" i="1"/>
  <c r="AD24" i="1"/>
  <c r="AD34" i="1"/>
  <c r="AD60" i="1"/>
  <c r="AD112" i="1"/>
  <c r="AD120" i="1"/>
  <c r="AD138" i="1"/>
  <c r="AD146" i="1"/>
  <c r="AD180" i="1"/>
  <c r="AD17" i="1"/>
  <c r="AD29" i="1"/>
  <c r="AD40" i="1"/>
  <c r="AD106" i="1"/>
  <c r="AD139" i="1"/>
  <c r="AD192" i="1"/>
  <c r="AD251" i="1"/>
  <c r="AD281" i="1"/>
  <c r="AD298" i="1"/>
  <c r="AD316" i="1"/>
  <c r="AD324" i="1"/>
  <c r="AD348" i="1"/>
  <c r="AD371" i="1"/>
  <c r="AD408" i="1"/>
  <c r="AD468" i="1"/>
  <c r="AD52" i="1"/>
  <c r="AD96" i="1"/>
  <c r="AD150" i="1"/>
  <c r="AD202" i="1"/>
  <c r="AD252" i="1"/>
  <c r="AD332" i="1"/>
  <c r="AD364" i="1"/>
  <c r="AD401" i="1"/>
  <c r="AD438" i="1"/>
  <c r="AD461" i="1"/>
  <c r="AD214" i="1"/>
  <c r="AD242" i="1"/>
  <c r="AD263" i="1"/>
  <c r="AD341" i="1"/>
  <c r="AD386" i="1"/>
  <c r="AD394" i="1"/>
  <c r="AD431" i="1"/>
  <c r="AD446" i="1"/>
  <c r="AD454" i="1"/>
  <c r="AD42" i="1"/>
  <c r="AD118" i="1"/>
  <c r="AD130" i="1"/>
  <c r="AD161" i="1"/>
  <c r="AD173" i="1"/>
  <c r="AD182" i="1"/>
  <c r="AD223" i="1"/>
  <c r="AD273" i="1"/>
  <c r="AD290" i="1"/>
  <c r="AD308" i="1"/>
  <c r="AD317" i="1"/>
  <c r="AD379" i="1"/>
  <c r="AD416" i="1"/>
  <c r="AD424" i="1"/>
  <c r="AD439" i="1"/>
  <c r="AD476" i="1"/>
  <c r="AD30" i="1"/>
  <c r="AD88" i="1"/>
  <c r="AD152" i="1"/>
  <c r="AD174" i="1"/>
  <c r="AD301" i="1"/>
  <c r="AD35" i="1"/>
  <c r="AD86" i="1"/>
  <c r="AD156" i="1"/>
  <c r="AD194" i="1"/>
  <c r="AD208" i="1"/>
  <c r="AD282" i="1"/>
  <c r="AD353" i="1"/>
  <c r="AD380" i="1"/>
  <c r="AD389" i="1"/>
  <c r="AD415" i="1"/>
  <c r="AD451" i="1"/>
  <c r="AD487" i="1"/>
  <c r="AD501" i="1"/>
  <c r="AD526" i="1"/>
  <c r="AD551" i="1"/>
  <c r="AD576" i="1"/>
  <c r="AD126" i="1"/>
  <c r="AD181" i="1"/>
  <c r="AD294" i="1"/>
  <c r="AD304" i="1"/>
  <c r="AD325" i="1"/>
  <c r="AD344" i="1"/>
  <c r="AD372" i="1"/>
  <c r="AD398" i="1"/>
  <c r="AD407" i="1"/>
  <c r="AD434" i="1"/>
  <c r="AD443" i="1"/>
  <c r="AD470" i="1"/>
  <c r="AD479" i="1"/>
  <c r="AD520" i="1"/>
  <c r="AD545" i="1"/>
  <c r="AD570" i="1"/>
  <c r="AD3" i="1"/>
  <c r="AD10" i="1"/>
  <c r="AD44" i="1"/>
  <c r="AD100" i="1"/>
  <c r="AD168" i="1"/>
  <c r="AD234" i="1"/>
  <c r="AD247" i="1"/>
  <c r="AD426" i="1"/>
  <c r="AD462" i="1"/>
  <c r="AD495" i="1"/>
  <c r="AD514" i="1"/>
  <c r="AD539" i="1"/>
  <c r="AD564" i="1"/>
  <c r="AD608" i="1"/>
  <c r="AD614" i="1"/>
  <c r="AD620" i="1"/>
  <c r="AD626" i="1"/>
  <c r="AD632" i="1"/>
  <c r="AD638" i="1"/>
  <c r="AD644" i="1"/>
  <c r="AD650" i="1"/>
  <c r="AD656" i="1"/>
  <c r="AD662" i="1"/>
  <c r="AD668" i="1"/>
  <c r="AD674" i="1"/>
  <c r="AD680" i="1"/>
  <c r="AD686" i="1"/>
  <c r="AD692" i="1"/>
  <c r="AD698" i="1"/>
  <c r="AD704" i="1"/>
  <c r="AD710" i="1"/>
  <c r="AD716" i="1"/>
  <c r="AD722" i="1"/>
  <c r="AD728" i="1"/>
  <c r="AD734" i="1"/>
  <c r="AD740" i="1"/>
  <c r="AD746" i="1"/>
  <c r="AD752" i="1"/>
  <c r="AD758" i="1"/>
  <c r="AD72" i="1"/>
  <c r="AD143" i="1"/>
  <c r="AD184" i="1"/>
  <c r="AD283" i="1"/>
  <c r="AD362" i="1"/>
  <c r="AD508" i="1"/>
  <c r="AD533" i="1"/>
  <c r="AD558" i="1"/>
  <c r="AD602" i="1"/>
  <c r="AD74" i="1"/>
  <c r="AD115" i="1"/>
  <c r="AD131" i="1"/>
  <c r="AD157" i="1"/>
  <c r="AD209" i="1"/>
  <c r="AD259" i="1"/>
  <c r="AD271" i="1"/>
  <c r="AD305" i="1"/>
  <c r="AD354" i="1"/>
  <c r="AD390" i="1"/>
  <c r="AD480" i="1"/>
  <c r="AD488" i="1"/>
  <c r="AD502" i="1"/>
  <c r="AD527" i="1"/>
  <c r="AD552" i="1"/>
  <c r="AD596" i="1"/>
  <c r="AD47" i="1"/>
  <c r="AD90" i="1"/>
  <c r="AD132" i="1"/>
  <c r="AD286" i="1"/>
  <c r="AD337" i="1"/>
  <c r="AD419" i="1"/>
  <c r="AD455" i="1"/>
  <c r="AD509" i="1"/>
  <c r="AD534" i="1"/>
  <c r="AD578" i="1"/>
  <c r="AD603" i="1"/>
  <c r="AD48" i="1"/>
  <c r="AD226" i="1"/>
  <c r="AD287" i="1"/>
  <c r="AD366" i="1"/>
  <c r="AD392" i="1"/>
  <c r="AD402" i="1"/>
  <c r="AD428" i="1"/>
  <c r="AD437" i="1"/>
  <c r="AD464" i="1"/>
  <c r="AD516" i="1"/>
  <c r="AD560" i="1"/>
  <c r="AD585" i="1"/>
  <c r="AD610" i="1"/>
  <c r="AD616" i="1"/>
  <c r="AD622" i="1"/>
  <c r="AD628" i="1"/>
  <c r="AD634" i="1"/>
  <c r="AD640" i="1"/>
  <c r="AD646" i="1"/>
  <c r="AD652" i="1"/>
  <c r="AD658" i="1"/>
  <c r="AD664" i="1"/>
  <c r="AD670" i="1"/>
  <c r="AD676" i="1"/>
  <c r="AD682" i="1"/>
  <c r="AD688" i="1"/>
  <c r="AD694" i="1"/>
  <c r="AD700" i="1"/>
  <c r="AD706" i="1"/>
  <c r="AD712" i="1"/>
  <c r="AD718" i="1"/>
  <c r="AD724" i="1"/>
  <c r="AD730" i="1"/>
  <c r="AD736" i="1"/>
  <c r="AD742" i="1"/>
  <c r="AD748" i="1"/>
  <c r="AD754" i="1"/>
  <c r="AD760" i="1"/>
  <c r="AD91" i="1"/>
  <c r="AD133" i="1"/>
  <c r="AD160" i="1"/>
  <c r="AD239" i="1"/>
  <c r="AD250" i="1"/>
  <c r="AD338" i="1"/>
  <c r="AD358" i="1"/>
  <c r="AD384" i="1"/>
  <c r="AD420" i="1"/>
  <c r="AD456" i="1"/>
  <c r="AD491" i="1"/>
  <c r="AD510" i="1"/>
  <c r="AD554" i="1"/>
  <c r="AD579" i="1"/>
  <c r="AD604" i="1"/>
  <c r="AD50" i="1"/>
  <c r="AD108" i="1"/>
  <c r="AD122" i="1"/>
  <c r="AD134" i="1"/>
  <c r="AD218" i="1"/>
  <c r="AD276" i="1"/>
  <c r="AD310" i="1"/>
  <c r="AD323" i="1"/>
  <c r="AD406" i="1"/>
  <c r="AD433" i="1"/>
  <c r="AD486" i="1"/>
  <c r="AD498" i="1"/>
  <c r="AD544" i="1"/>
  <c r="AD592" i="1"/>
  <c r="AD618" i="1"/>
  <c r="AD642" i="1"/>
  <c r="AD666" i="1"/>
  <c r="AD690" i="1"/>
  <c r="AD714" i="1"/>
  <c r="AD738" i="1"/>
  <c r="AD762" i="1"/>
  <c r="AD691" i="1"/>
  <c r="AD71" i="1"/>
  <c r="AD163" i="1"/>
  <c r="AD241" i="1"/>
  <c r="AD537" i="1"/>
  <c r="AD296" i="1"/>
  <c r="AD396" i="1"/>
  <c r="AD566" i="1"/>
  <c r="AD70" i="1"/>
  <c r="AD158" i="1"/>
  <c r="AD178" i="1"/>
  <c r="AD200" i="1"/>
  <c r="AD240" i="1"/>
  <c r="AD367" i="1"/>
  <c r="AD460" i="1"/>
  <c r="AD536" i="1"/>
  <c r="AD563" i="1"/>
  <c r="AD593" i="1"/>
  <c r="AD619" i="1"/>
  <c r="AD355" i="1"/>
  <c r="AD528" i="1"/>
  <c r="AD97" i="1"/>
  <c r="AD262" i="1"/>
  <c r="AD410" i="1"/>
  <c r="AD490" i="1"/>
  <c r="AD636" i="1"/>
  <c r="AD22" i="1"/>
  <c r="AD113" i="1"/>
  <c r="AD136" i="1"/>
  <c r="AD257" i="1"/>
  <c r="AD395" i="1"/>
  <c r="AD421" i="1"/>
  <c r="AD507" i="1"/>
  <c r="AD555" i="1"/>
  <c r="AD582" i="1"/>
  <c r="AD627" i="1"/>
  <c r="AD635" i="1"/>
  <c r="AD651" i="1"/>
  <c r="AD659" i="1"/>
  <c r="AD675" i="1"/>
  <c r="AD683" i="1"/>
  <c r="AD699" i="1"/>
  <c r="AD707" i="1"/>
  <c r="AD723" i="1"/>
  <c r="AD731" i="1"/>
  <c r="AD747" i="1"/>
  <c r="AD755" i="1"/>
  <c r="AD715" i="1"/>
  <c r="AD763" i="1"/>
  <c r="AD368" i="1"/>
  <c r="AD383" i="1"/>
  <c r="AD556" i="1"/>
  <c r="AD222" i="1"/>
  <c r="AD295" i="1"/>
  <c r="AD311" i="1"/>
  <c r="AD326" i="1"/>
  <c r="AD340" i="1"/>
  <c r="AD382" i="1"/>
  <c r="AD409" i="1"/>
  <c r="AD449" i="1"/>
  <c r="AD475" i="1"/>
  <c r="AD546" i="1"/>
  <c r="AD574" i="1"/>
  <c r="AD611" i="1"/>
  <c r="AD667" i="1"/>
  <c r="AD739" i="1"/>
  <c r="AD49" i="1"/>
  <c r="AD205" i="1"/>
  <c r="AD279" i="1"/>
  <c r="AD422" i="1"/>
  <c r="AD95" i="1"/>
  <c r="AD436" i="1"/>
  <c r="AD463" i="1"/>
  <c r="AD518" i="1"/>
  <c r="AD584" i="1"/>
  <c r="AD643" i="1"/>
  <c r="AD140" i="1"/>
  <c r="AD206" i="1"/>
  <c r="AD264" i="1"/>
  <c r="AD312" i="1"/>
  <c r="AD412" i="1"/>
  <c r="AD450" i="1"/>
  <c r="AD500" i="1"/>
  <c r="AD548" i="1"/>
  <c r="AD575" i="1"/>
  <c r="AD612" i="1"/>
  <c r="AD26" i="1"/>
  <c r="AD54" i="1"/>
  <c r="AD227" i="1"/>
  <c r="AD280" i="1"/>
  <c r="AD343" i="1"/>
  <c r="AD478" i="1"/>
  <c r="AD519" i="1"/>
  <c r="AD567" i="1"/>
  <c r="AD594" i="1"/>
  <c r="AD621" i="1"/>
  <c r="AD629" i="1"/>
  <c r="AD645" i="1"/>
  <c r="AD653" i="1"/>
  <c r="AD669" i="1"/>
  <c r="AD677" i="1"/>
  <c r="AD693" i="1"/>
  <c r="AD701" i="1"/>
  <c r="AD717" i="1"/>
  <c r="AD725" i="1"/>
  <c r="AD741" i="1"/>
  <c r="AD749" i="1"/>
  <c r="AD78" i="1"/>
  <c r="AD98" i="1"/>
  <c r="AD166" i="1"/>
  <c r="AD186" i="1"/>
  <c r="AD144" i="1"/>
  <c r="AD188" i="1"/>
  <c r="AD246" i="1"/>
  <c r="AD359" i="1"/>
  <c r="AD385" i="1"/>
  <c r="AD492" i="1"/>
  <c r="AD530" i="1"/>
  <c r="AD557" i="1"/>
  <c r="AD637" i="1"/>
  <c r="AD661" i="1"/>
  <c r="AD685" i="1"/>
  <c r="AD709" i="1"/>
  <c r="AD733" i="1"/>
  <c r="AD757" i="1"/>
  <c r="AD248" i="1"/>
  <c r="AD346" i="1"/>
  <c r="AD79" i="1"/>
  <c r="AD266" i="1"/>
  <c r="AD373" i="1"/>
  <c r="AD413" i="1"/>
  <c r="AD440" i="1"/>
  <c r="AD521" i="1"/>
  <c r="AD549" i="1"/>
  <c r="AD605" i="1"/>
  <c r="AD613" i="1"/>
  <c r="AD56" i="1"/>
  <c r="AD229" i="1"/>
  <c r="AD400" i="1"/>
  <c r="AD427" i="1"/>
  <c r="AD467" i="1"/>
  <c r="AD540" i="1"/>
  <c r="AD568" i="1"/>
  <c r="AD630" i="1"/>
  <c r="AD654" i="1"/>
  <c r="AD678" i="1"/>
  <c r="AD702" i="1"/>
  <c r="AD726" i="1"/>
  <c r="AD750" i="1"/>
  <c r="AD7" i="1"/>
  <c r="AD36" i="1"/>
  <c r="AD104" i="1"/>
  <c r="AD148" i="1"/>
  <c r="AD347" i="1"/>
  <c r="AD360" i="1"/>
  <c r="AD374" i="1"/>
  <c r="AD522" i="1"/>
  <c r="AD531" i="1"/>
  <c r="AD623" i="1"/>
  <c r="AD639" i="1"/>
  <c r="AD647" i="1"/>
  <c r="AD663" i="1"/>
  <c r="AD671" i="1"/>
  <c r="AD687" i="1"/>
  <c r="AD695" i="1"/>
  <c r="AD711" i="1"/>
  <c r="AD719" i="1"/>
  <c r="AD735" i="1"/>
  <c r="AD743" i="1"/>
  <c r="AD759" i="1"/>
  <c r="AD624" i="1"/>
  <c r="AF606" i="1"/>
  <c r="AF550" i="1"/>
  <c r="AD350" i="1"/>
  <c r="AF248" i="1"/>
  <c r="AD107" i="1"/>
  <c r="AD689" i="1"/>
  <c r="AD751" i="1"/>
  <c r="AF719" i="1"/>
  <c r="AD703" i="1"/>
  <c r="AF671" i="1"/>
  <c r="AD655" i="1"/>
  <c r="AF639" i="1"/>
  <c r="AF621" i="1"/>
  <c r="AE567" i="1"/>
  <c r="AF524" i="1"/>
  <c r="AF505" i="1"/>
  <c r="AD457" i="1"/>
  <c r="AE430" i="1"/>
  <c r="AD403" i="1"/>
  <c r="AF375" i="1"/>
  <c r="AE343" i="1"/>
  <c r="AD275" i="1"/>
  <c r="AE235" i="1"/>
  <c r="AF191" i="1"/>
  <c r="AE149" i="1"/>
  <c r="AF37" i="1"/>
  <c r="AF753" i="1"/>
  <c r="AF657" i="1"/>
  <c r="AF569" i="1"/>
  <c r="AD753" i="1"/>
  <c r="AD705" i="1"/>
  <c r="AF587" i="1"/>
  <c r="AD43" i="1"/>
  <c r="AD550" i="1"/>
  <c r="AF735" i="1"/>
  <c r="AE719" i="1"/>
  <c r="AF687" i="1"/>
  <c r="AE671" i="1"/>
  <c r="AD600" i="1"/>
  <c r="AE581" i="1"/>
  <c r="AF562" i="1"/>
  <c r="AF543" i="1"/>
  <c r="AE524" i="1"/>
  <c r="AE505" i="1"/>
  <c r="AF484" i="1"/>
  <c r="AD430" i="1"/>
  <c r="AE338" i="1"/>
  <c r="AD235" i="1"/>
  <c r="AE191" i="1"/>
  <c r="AE89" i="1"/>
  <c r="AE37" i="1"/>
  <c r="AC615" i="1"/>
  <c r="AC606" i="1"/>
  <c r="AC560" i="1"/>
  <c r="AC550" i="1"/>
  <c r="AC541" i="1"/>
  <c r="AC428" i="1"/>
  <c r="AC414" i="1"/>
  <c r="AC402" i="1"/>
  <c r="AC388" i="1"/>
  <c r="AC302" i="1"/>
  <c r="AC287" i="1"/>
  <c r="AC268" i="1"/>
  <c r="AC211" i="1"/>
  <c r="AC191" i="1"/>
  <c r="AC125" i="1"/>
  <c r="AC750" i="1"/>
  <c r="AC726" i="1"/>
  <c r="AC678" i="1"/>
  <c r="AC654" i="1"/>
  <c r="AC630" i="1"/>
  <c r="AC568" i="1"/>
  <c r="AC540" i="1"/>
  <c r="AC467" i="1"/>
  <c r="AC427" i="1"/>
  <c r="AC400" i="1"/>
  <c r="AC346" i="1"/>
  <c r="AC301" i="1"/>
  <c r="AC248" i="1"/>
  <c r="AC208" i="1"/>
  <c r="AC124" i="1"/>
  <c r="AC56" i="1"/>
  <c r="AC702" i="1"/>
  <c r="AC742" i="1"/>
  <c r="AC718" i="1"/>
  <c r="AC694" i="1"/>
  <c r="AC670" i="1"/>
  <c r="AC646" i="1"/>
  <c r="AC622" i="1"/>
  <c r="AC613" i="1"/>
  <c r="AC605" i="1"/>
  <c r="AC576" i="1"/>
  <c r="AC549" i="1"/>
  <c r="AC501" i="1"/>
  <c r="AC451" i="1"/>
  <c r="AC440" i="1"/>
  <c r="AC413" i="1"/>
  <c r="AC313" i="1"/>
  <c r="AC281" i="1"/>
  <c r="AC266" i="1"/>
  <c r="AC5" i="1"/>
  <c r="AC9" i="1"/>
  <c r="AC15" i="1"/>
  <c r="AC21" i="1"/>
  <c r="AC27" i="1"/>
  <c r="AC33" i="1"/>
  <c r="AC39" i="1"/>
  <c r="AC45" i="1"/>
  <c r="AC51" i="1"/>
  <c r="AC57" i="1"/>
  <c r="AC63" i="1"/>
  <c r="AC69" i="1"/>
  <c r="AC75" i="1"/>
  <c r="AC81" i="1"/>
  <c r="AC87" i="1"/>
  <c r="AC93" i="1"/>
  <c r="AC99" i="1"/>
  <c r="AC105" i="1"/>
  <c r="AC111" i="1"/>
  <c r="AC117" i="1"/>
  <c r="AC123" i="1"/>
  <c r="AC129" i="1"/>
  <c r="AC135" i="1"/>
  <c r="AC141" i="1"/>
  <c r="AC147" i="1"/>
  <c r="AC153" i="1"/>
  <c r="AC159" i="1"/>
  <c r="AC165" i="1"/>
  <c r="AC171" i="1"/>
  <c r="AC177" i="1"/>
  <c r="AC183" i="1"/>
  <c r="AC189" i="1"/>
  <c r="AC195" i="1"/>
  <c r="AC201" i="1"/>
  <c r="AC207" i="1"/>
  <c r="AC213" i="1"/>
  <c r="AC219" i="1"/>
  <c r="AC225" i="1"/>
  <c r="AC231" i="1"/>
  <c r="AC237" i="1"/>
  <c r="AC243" i="1"/>
  <c r="AC249" i="1"/>
  <c r="AC255" i="1"/>
  <c r="AC261" i="1"/>
  <c r="AC267" i="1"/>
  <c r="AC273" i="1"/>
  <c r="AC11" i="1"/>
  <c r="AC25" i="1"/>
  <c r="AC46" i="1"/>
  <c r="AC73" i="1"/>
  <c r="AC94" i="1"/>
  <c r="AC121" i="1"/>
  <c r="AC142" i="1"/>
  <c r="AC169" i="1"/>
  <c r="AC190" i="1"/>
  <c r="AC217" i="1"/>
  <c r="AC238" i="1"/>
  <c r="AC265" i="1"/>
  <c r="AC32" i="1"/>
  <c r="AC53" i="1"/>
  <c r="AC80" i="1"/>
  <c r="AC101" i="1"/>
  <c r="AC128" i="1"/>
  <c r="AC149" i="1"/>
  <c r="AC176" i="1"/>
  <c r="AC197" i="1"/>
  <c r="AC224" i="1"/>
  <c r="AC245" i="1"/>
  <c r="AC272" i="1"/>
  <c r="AC291" i="1"/>
  <c r="AC297" i="1"/>
  <c r="AC303" i="1"/>
  <c r="AC309" i="1"/>
  <c r="AC315" i="1"/>
  <c r="AC321" i="1"/>
  <c r="AC327" i="1"/>
  <c r="AC333" i="1"/>
  <c r="AC339" i="1"/>
  <c r="AC345" i="1"/>
  <c r="AC351" i="1"/>
  <c r="AC357" i="1"/>
  <c r="AC363" i="1"/>
  <c r="AC369" i="1"/>
  <c r="AC375" i="1"/>
  <c r="AC381" i="1"/>
  <c r="AC387" i="1"/>
  <c r="AC393" i="1"/>
  <c r="AC399" i="1"/>
  <c r="AC405" i="1"/>
  <c r="AC411" i="1"/>
  <c r="AC417" i="1"/>
  <c r="AC423" i="1"/>
  <c r="AC429" i="1"/>
  <c r="AC435" i="1"/>
  <c r="AC441" i="1"/>
  <c r="AC447" i="1"/>
  <c r="AC453" i="1"/>
  <c r="AC459" i="1"/>
  <c r="AC465" i="1"/>
  <c r="AC471" i="1"/>
  <c r="AC477" i="1"/>
  <c r="AC483" i="1"/>
  <c r="AC489" i="1"/>
  <c r="AC4" i="1"/>
  <c r="AC12" i="1"/>
  <c r="AC60" i="1"/>
  <c r="AC108" i="1"/>
  <c r="AC156" i="1"/>
  <c r="AC204" i="1"/>
  <c r="AC252" i="1"/>
  <c r="AC285" i="1"/>
  <c r="AC26" i="1"/>
  <c r="AC48" i="1"/>
  <c r="AC96" i="1"/>
  <c r="AC144" i="1"/>
  <c r="AC192" i="1"/>
  <c r="AC240" i="1"/>
  <c r="AC14" i="1"/>
  <c r="AC35" i="1"/>
  <c r="AC62" i="1"/>
  <c r="AC83" i="1"/>
  <c r="AC110" i="1"/>
  <c r="AC131" i="1"/>
  <c r="AC158" i="1"/>
  <c r="AC23" i="1"/>
  <c r="AC41" i="1"/>
  <c r="AC67" i="1"/>
  <c r="AC76" i="1"/>
  <c r="AC119" i="1"/>
  <c r="AC127" i="1"/>
  <c r="AC145" i="1"/>
  <c r="AC179" i="1"/>
  <c r="AC203" i="1"/>
  <c r="AC228" i="1"/>
  <c r="AC284" i="1"/>
  <c r="AC292" i="1"/>
  <c r="AC328" i="1"/>
  <c r="AC356" i="1"/>
  <c r="AC377" i="1"/>
  <c r="AC404" i="1"/>
  <c r="AC425" i="1"/>
  <c r="AC452" i="1"/>
  <c r="AC473" i="1"/>
  <c r="AC102" i="1"/>
  <c r="AC154" i="1"/>
  <c r="AC162" i="1"/>
  <c r="AC187" i="1"/>
  <c r="AC236" i="1"/>
  <c r="AC253" i="1"/>
  <c r="AC277" i="1"/>
  <c r="AC384" i="1"/>
  <c r="AC432" i="1"/>
  <c r="AC42" i="1"/>
  <c r="AC50" i="1"/>
  <c r="AC137" i="1"/>
  <c r="AC163" i="1"/>
  <c r="AC212" i="1"/>
  <c r="AC262" i="1"/>
  <c r="AC24" i="1"/>
  <c r="AC34" i="1"/>
  <c r="AC68" i="1"/>
  <c r="AC103" i="1"/>
  <c r="AC112" i="1"/>
  <c r="AC120" i="1"/>
  <c r="AC138" i="1"/>
  <c r="AC146" i="1"/>
  <c r="AC180" i="1"/>
  <c r="AC229" i="1"/>
  <c r="AC246" i="1"/>
  <c r="AC254" i="1"/>
  <c r="AC286" i="1"/>
  <c r="AC322" i="1"/>
  <c r="AC6" i="1"/>
  <c r="AC16" i="1"/>
  <c r="AC95" i="1"/>
  <c r="AC155" i="1"/>
  <c r="AC188" i="1"/>
  <c r="AC205" i="1"/>
  <c r="AC52" i="1"/>
  <c r="AC150" i="1"/>
  <c r="AC172" i="1"/>
  <c r="AC202" i="1"/>
  <c r="AC332" i="1"/>
  <c r="AC364" i="1"/>
  <c r="AC401" i="1"/>
  <c r="AC438" i="1"/>
  <c r="AC461" i="1"/>
  <c r="AC84" i="1"/>
  <c r="AC214" i="1"/>
  <c r="AC233" i="1"/>
  <c r="AC242" i="1"/>
  <c r="AC263" i="1"/>
  <c r="AC341" i="1"/>
  <c r="AC386" i="1"/>
  <c r="AC394" i="1"/>
  <c r="AC431" i="1"/>
  <c r="AC446" i="1"/>
  <c r="AC454" i="1"/>
  <c r="AC85" i="1"/>
  <c r="AC118" i="1"/>
  <c r="AC130" i="1"/>
  <c r="AC161" i="1"/>
  <c r="AC173" i="1"/>
  <c r="AC182" i="1"/>
  <c r="AC223" i="1"/>
  <c r="AC290" i="1"/>
  <c r="AC299" i="1"/>
  <c r="AC308" i="1"/>
  <c r="AC317" i="1"/>
  <c r="AC379" i="1"/>
  <c r="AC416" i="1"/>
  <c r="AC424" i="1"/>
  <c r="AC439" i="1"/>
  <c r="AC476" i="1"/>
  <c r="AC497" i="1"/>
  <c r="AC18" i="1"/>
  <c r="AC30" i="1"/>
  <c r="AC64" i="1"/>
  <c r="AC74" i="1"/>
  <c r="AC97" i="1"/>
  <c r="AC107" i="1"/>
  <c r="AC140" i="1"/>
  <c r="AC151" i="1"/>
  <c r="AC193" i="1"/>
  <c r="AC282" i="1"/>
  <c r="AC300" i="1"/>
  <c r="AC325" i="1"/>
  <c r="AC349" i="1"/>
  <c r="AC372" i="1"/>
  <c r="AC409" i="1"/>
  <c r="AC469" i="1"/>
  <c r="AC484" i="1"/>
  <c r="AC491" i="1"/>
  <c r="AC7" i="1"/>
  <c r="AC19" i="1"/>
  <c r="AC43" i="1"/>
  <c r="AC8" i="1"/>
  <c r="AC20" i="1"/>
  <c r="AC31" i="1"/>
  <c r="AC65" i="1"/>
  <c r="AC77" i="1"/>
  <c r="AC98" i="1"/>
  <c r="AC194" i="1"/>
  <c r="AC206" i="1"/>
  <c r="AC283" i="1"/>
  <c r="AC293" i="1"/>
  <c r="AC22" i="1"/>
  <c r="AC126" i="1"/>
  <c r="AC181" i="1"/>
  <c r="AC220" i="1"/>
  <c r="AC270" i="1"/>
  <c r="AC294" i="1"/>
  <c r="AC304" i="1"/>
  <c r="AC314" i="1"/>
  <c r="AC324" i="1"/>
  <c r="AC344" i="1"/>
  <c r="AC371" i="1"/>
  <c r="AC398" i="1"/>
  <c r="AC407" i="1"/>
  <c r="AC434" i="1"/>
  <c r="AC443" i="1"/>
  <c r="AC470" i="1"/>
  <c r="AC479" i="1"/>
  <c r="AC520" i="1"/>
  <c r="AC545" i="1"/>
  <c r="AC570" i="1"/>
  <c r="AC595" i="1"/>
  <c r="AC10" i="1"/>
  <c r="AC44" i="1"/>
  <c r="AC58" i="1"/>
  <c r="AC88" i="1"/>
  <c r="AC100" i="1"/>
  <c r="AC168" i="1"/>
  <c r="AC196" i="1"/>
  <c r="AC221" i="1"/>
  <c r="AC234" i="1"/>
  <c r="AC247" i="1"/>
  <c r="AC335" i="1"/>
  <c r="AC426" i="1"/>
  <c r="AC462" i="1"/>
  <c r="AC495" i="1"/>
  <c r="AC514" i="1"/>
  <c r="AC539" i="1"/>
  <c r="AC564" i="1"/>
  <c r="AC589" i="1"/>
  <c r="AC608" i="1"/>
  <c r="AC614" i="1"/>
  <c r="AC620" i="1"/>
  <c r="AC626" i="1"/>
  <c r="AC632" i="1"/>
  <c r="AC638" i="1"/>
  <c r="AC644" i="1"/>
  <c r="AC650" i="1"/>
  <c r="AC656" i="1"/>
  <c r="AC662" i="1"/>
  <c r="AC668" i="1"/>
  <c r="AC674" i="1"/>
  <c r="AC680" i="1"/>
  <c r="AC686" i="1"/>
  <c r="AC692" i="1"/>
  <c r="AC698" i="1"/>
  <c r="AC704" i="1"/>
  <c r="AC710" i="1"/>
  <c r="AC716" i="1"/>
  <c r="AC722" i="1"/>
  <c r="AC728" i="1"/>
  <c r="AC734" i="1"/>
  <c r="AC740" i="1"/>
  <c r="AC746" i="1"/>
  <c r="AC752" i="1"/>
  <c r="AC758" i="1"/>
  <c r="AC28" i="1"/>
  <c r="AC59" i="1"/>
  <c r="AC72" i="1"/>
  <c r="AC114" i="1"/>
  <c r="AC143" i="1"/>
  <c r="AC184" i="1"/>
  <c r="AC258" i="1"/>
  <c r="AC362" i="1"/>
  <c r="AC508" i="1"/>
  <c r="AC533" i="1"/>
  <c r="AC558" i="1"/>
  <c r="AC583" i="1"/>
  <c r="AC602" i="1"/>
  <c r="AC115" i="1"/>
  <c r="AC157" i="1"/>
  <c r="AC209" i="1"/>
  <c r="AC259" i="1"/>
  <c r="AC271" i="1"/>
  <c r="AC305" i="1"/>
  <c r="AC336" i="1"/>
  <c r="AC354" i="1"/>
  <c r="AC390" i="1"/>
  <c r="AC480" i="1"/>
  <c r="AC488" i="1"/>
  <c r="AC502" i="1"/>
  <c r="AC527" i="1"/>
  <c r="AC552" i="1"/>
  <c r="AC577" i="1"/>
  <c r="AC596" i="1"/>
  <c r="AC89" i="1"/>
  <c r="AC198" i="1"/>
  <c r="AC222" i="1"/>
  <c r="AC235" i="1"/>
  <c r="AC295" i="1"/>
  <c r="AC316" i="1"/>
  <c r="AC326" i="1"/>
  <c r="AC373" i="1"/>
  <c r="AC382" i="1"/>
  <c r="AC408" i="1"/>
  <c r="AC418" i="1"/>
  <c r="AC444" i="1"/>
  <c r="AC521" i="1"/>
  <c r="AC546" i="1"/>
  <c r="AC571" i="1"/>
  <c r="AC590" i="1"/>
  <c r="AC13" i="1"/>
  <c r="AC104" i="1"/>
  <c r="AC116" i="1"/>
  <c r="AC199" i="1"/>
  <c r="AC210" i="1"/>
  <c r="AC260" i="1"/>
  <c r="AC306" i="1"/>
  <c r="AC318" i="1"/>
  <c r="AC355" i="1"/>
  <c r="AC481" i="1"/>
  <c r="AC503" i="1"/>
  <c r="AC528" i="1"/>
  <c r="AC553" i="1"/>
  <c r="AC572" i="1"/>
  <c r="AC597" i="1"/>
  <c r="AC91" i="1"/>
  <c r="AC133" i="1"/>
  <c r="AC160" i="1"/>
  <c r="AC239" i="1"/>
  <c r="AC250" i="1"/>
  <c r="AC329" i="1"/>
  <c r="AC338" i="1"/>
  <c r="AC358" i="1"/>
  <c r="AC420" i="1"/>
  <c r="AC456" i="1"/>
  <c r="AC510" i="1"/>
  <c r="AC535" i="1"/>
  <c r="AC554" i="1"/>
  <c r="AC579" i="1"/>
  <c r="AC604" i="1"/>
  <c r="AC200" i="1"/>
  <c r="AC264" i="1"/>
  <c r="AC319" i="1"/>
  <c r="AC412" i="1"/>
  <c r="AC448" i="1"/>
  <c r="AC474" i="1"/>
  <c r="AC482" i="1"/>
  <c r="AC504" i="1"/>
  <c r="AC529" i="1"/>
  <c r="AC548" i="1"/>
  <c r="AC573" i="1"/>
  <c r="AC598" i="1"/>
  <c r="AC92" i="1"/>
  <c r="AC134" i="1"/>
  <c r="AC164" i="1"/>
  <c r="AC586" i="1"/>
  <c r="AC538" i="1"/>
  <c r="AC330" i="1"/>
  <c r="AC298" i="1"/>
  <c r="AC186" i="1"/>
  <c r="AC166" i="1"/>
  <c r="AC122" i="1"/>
  <c r="AC78" i="1"/>
  <c r="AC749" i="1"/>
  <c r="AC741" i="1"/>
  <c r="AC725" i="1"/>
  <c r="AC717" i="1"/>
  <c r="AC701" i="1"/>
  <c r="AC693" i="1"/>
  <c r="AC677" i="1"/>
  <c r="AC669" i="1"/>
  <c r="AC653" i="1"/>
  <c r="AC645" i="1"/>
  <c r="AC629" i="1"/>
  <c r="AC621" i="1"/>
  <c r="AC594" i="1"/>
  <c r="AC567" i="1"/>
  <c r="AC519" i="1"/>
  <c r="AC478" i="1"/>
  <c r="AC343" i="1"/>
  <c r="AC280" i="1"/>
  <c r="AC227" i="1"/>
  <c r="AC54" i="1"/>
  <c r="AC748" i="1"/>
  <c r="AC537" i="1"/>
  <c r="AC509" i="1"/>
  <c r="AC368" i="1"/>
  <c r="AC279" i="1"/>
  <c r="AC241" i="1"/>
  <c r="AC71" i="1"/>
  <c r="AC49" i="1"/>
  <c r="AC732" i="1"/>
  <c r="AC636" i="1"/>
  <c r="AC547" i="1"/>
  <c r="AC410" i="1"/>
  <c r="AC342" i="1"/>
  <c r="AC628" i="1"/>
  <c r="AC739" i="1"/>
  <c r="AC715" i="1"/>
  <c r="AC691" i="1"/>
  <c r="AC667" i="1"/>
  <c r="AC643" i="1"/>
  <c r="AC619" i="1"/>
  <c r="AC593" i="1"/>
  <c r="AC584" i="1"/>
  <c r="AC565" i="1"/>
  <c r="AC518" i="1"/>
  <c r="AC499" i="1"/>
  <c r="AC463" i="1"/>
  <c r="AC436" i="1"/>
  <c r="AC278" i="1"/>
  <c r="AC756" i="1"/>
  <c r="AC660" i="1"/>
  <c r="AC556" i="1"/>
  <c r="AC422" i="1"/>
  <c r="AC296" i="1"/>
  <c r="AC652" i="1"/>
  <c r="AB769" i="1"/>
  <c r="AB770" i="1" s="1"/>
  <c r="AC763" i="1"/>
  <c r="AC611" i="1"/>
  <c r="AC601" i="1"/>
  <c r="AC574" i="1"/>
  <c r="AC526" i="1"/>
  <c r="AC487" i="1"/>
  <c r="AC475" i="1"/>
  <c r="AC449" i="1"/>
  <c r="AC380" i="1"/>
  <c r="AC353" i="1"/>
  <c r="AC340" i="1"/>
  <c r="AC311" i="1"/>
  <c r="AC708" i="1"/>
  <c r="AC566" i="1"/>
  <c r="AC490" i="1"/>
  <c r="AC396" i="1"/>
  <c r="AC724" i="1"/>
  <c r="AC700" i="1"/>
  <c r="AC676" i="1"/>
  <c r="AC747" i="1"/>
  <c r="AC731" i="1"/>
  <c r="AC723" i="1"/>
  <c r="AC707" i="1"/>
  <c r="AC699" i="1"/>
  <c r="AC683" i="1"/>
  <c r="AC675" i="1"/>
  <c r="AC659" i="1"/>
  <c r="AC651" i="1"/>
  <c r="AC635" i="1"/>
  <c r="AC627" i="1"/>
  <c r="AC582" i="1"/>
  <c r="AC555" i="1"/>
  <c r="AC507" i="1"/>
  <c r="AC421" i="1"/>
  <c r="AC395" i="1"/>
  <c r="AC257" i="1"/>
  <c r="AC136" i="1"/>
  <c r="AC113" i="1"/>
  <c r="AC47" i="1"/>
  <c r="AC684" i="1"/>
  <c r="AC383" i="1"/>
  <c r="Z769" i="1"/>
  <c r="Z770" i="1" s="1"/>
  <c r="Z772" i="1" s="1"/>
  <c r="AC755" i="1"/>
  <c r="AC610" i="1"/>
  <c r="AC563" i="1"/>
  <c r="AC536" i="1"/>
  <c r="AC517" i="1"/>
  <c r="AC460" i="1"/>
  <c r="AC367" i="1"/>
  <c r="AC178" i="1"/>
  <c r="AC70" i="1"/>
  <c r="AA769" i="1"/>
  <c r="AA770" i="1" s="1"/>
  <c r="Y769" i="1"/>
  <c r="Y770" i="1" s="1"/>
  <c r="AB772" i="1"/>
  <c r="AB771" i="1"/>
  <c r="AA772" i="1"/>
  <c r="AA771" i="1"/>
  <c r="Y772" i="1"/>
  <c r="Y771" i="1"/>
  <c r="X772" i="1"/>
  <c r="X771" i="1"/>
  <c r="W772" i="1"/>
  <c r="W771" i="1"/>
  <c r="V772" i="1"/>
  <c r="Z771" i="1" l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201" i="1"/>
  <c r="N201" i="1"/>
  <c r="O201" i="1"/>
  <c r="P201" i="1"/>
  <c r="M202" i="1"/>
  <c r="N202" i="1"/>
  <c r="O202" i="1"/>
  <c r="P202" i="1"/>
  <c r="M203" i="1"/>
  <c r="N203" i="1"/>
  <c r="O203" i="1"/>
  <c r="P203" i="1"/>
  <c r="M204" i="1"/>
  <c r="N204" i="1"/>
  <c r="O204" i="1"/>
  <c r="P204" i="1"/>
  <c r="M205" i="1"/>
  <c r="N205" i="1"/>
  <c r="O205" i="1"/>
  <c r="P205" i="1"/>
  <c r="M206" i="1"/>
  <c r="N206" i="1"/>
  <c r="O206" i="1"/>
  <c r="P206" i="1"/>
  <c r="M207" i="1"/>
  <c r="N207" i="1"/>
  <c r="O207" i="1"/>
  <c r="P207" i="1"/>
  <c r="M208" i="1"/>
  <c r="N208" i="1"/>
  <c r="O208" i="1"/>
  <c r="P208" i="1"/>
  <c r="M209" i="1"/>
  <c r="N209" i="1"/>
  <c r="O209" i="1"/>
  <c r="P209" i="1"/>
  <c r="M210" i="1"/>
  <c r="N210" i="1"/>
  <c r="O210" i="1"/>
  <c r="P210" i="1"/>
  <c r="M211" i="1"/>
  <c r="N211" i="1"/>
  <c r="O211" i="1"/>
  <c r="P211" i="1"/>
  <c r="M212" i="1"/>
  <c r="N212" i="1"/>
  <c r="O212" i="1"/>
  <c r="P212" i="1"/>
  <c r="M213" i="1"/>
  <c r="N213" i="1"/>
  <c r="O213" i="1"/>
  <c r="P213" i="1"/>
  <c r="M214" i="1"/>
  <c r="N214" i="1"/>
  <c r="O214" i="1"/>
  <c r="P214" i="1"/>
  <c r="M215" i="1"/>
  <c r="N215" i="1"/>
  <c r="O215" i="1"/>
  <c r="P215" i="1"/>
  <c r="M216" i="1"/>
  <c r="N216" i="1"/>
  <c r="O216" i="1"/>
  <c r="P216" i="1"/>
  <c r="M217" i="1"/>
  <c r="N217" i="1"/>
  <c r="O217" i="1"/>
  <c r="P217" i="1"/>
  <c r="M218" i="1"/>
  <c r="N218" i="1"/>
  <c r="O218" i="1"/>
  <c r="P218" i="1"/>
  <c r="M219" i="1"/>
  <c r="N219" i="1"/>
  <c r="O219" i="1"/>
  <c r="P219" i="1"/>
  <c r="M220" i="1"/>
  <c r="N220" i="1"/>
  <c r="O220" i="1"/>
  <c r="P220" i="1"/>
  <c r="M221" i="1"/>
  <c r="N221" i="1"/>
  <c r="O221" i="1"/>
  <c r="P221" i="1"/>
  <c r="M222" i="1"/>
  <c r="N222" i="1"/>
  <c r="O222" i="1"/>
  <c r="P222" i="1"/>
  <c r="M223" i="1"/>
  <c r="N223" i="1"/>
  <c r="O223" i="1"/>
  <c r="P223" i="1"/>
  <c r="M224" i="1"/>
  <c r="N224" i="1"/>
  <c r="O224" i="1"/>
  <c r="P224" i="1"/>
  <c r="M225" i="1"/>
  <c r="N225" i="1"/>
  <c r="O225" i="1"/>
  <c r="P225" i="1"/>
  <c r="M226" i="1"/>
  <c r="N226" i="1"/>
  <c r="O226" i="1"/>
  <c r="P226" i="1"/>
  <c r="M227" i="1"/>
  <c r="N227" i="1"/>
  <c r="O227" i="1"/>
  <c r="P227" i="1"/>
  <c r="M228" i="1"/>
  <c r="N228" i="1"/>
  <c r="O228" i="1"/>
  <c r="P228" i="1"/>
  <c r="M229" i="1"/>
  <c r="N229" i="1"/>
  <c r="O229" i="1"/>
  <c r="P229" i="1"/>
  <c r="M230" i="1"/>
  <c r="N230" i="1"/>
  <c r="O230" i="1"/>
  <c r="P230" i="1"/>
  <c r="M231" i="1"/>
  <c r="N231" i="1"/>
  <c r="O231" i="1"/>
  <c r="P231" i="1"/>
  <c r="M232" i="1"/>
  <c r="N232" i="1"/>
  <c r="O232" i="1"/>
  <c r="P232" i="1"/>
  <c r="M233" i="1"/>
  <c r="N233" i="1"/>
  <c r="O233" i="1"/>
  <c r="P233" i="1"/>
  <c r="M234" i="1"/>
  <c r="N234" i="1"/>
  <c r="O234" i="1"/>
  <c r="P234" i="1"/>
  <c r="M235" i="1"/>
  <c r="N235" i="1"/>
  <c r="O235" i="1"/>
  <c r="P235" i="1"/>
  <c r="M236" i="1"/>
  <c r="N236" i="1"/>
  <c r="O236" i="1"/>
  <c r="P236" i="1"/>
  <c r="M237" i="1"/>
  <c r="N237" i="1"/>
  <c r="O237" i="1"/>
  <c r="P237" i="1"/>
  <c r="M238" i="1"/>
  <c r="N238" i="1"/>
  <c r="O238" i="1"/>
  <c r="P238" i="1"/>
  <c r="M239" i="1"/>
  <c r="N239" i="1"/>
  <c r="O239" i="1"/>
  <c r="P239" i="1"/>
  <c r="M240" i="1"/>
  <c r="N240" i="1"/>
  <c r="O240" i="1"/>
  <c r="P240" i="1"/>
  <c r="M241" i="1"/>
  <c r="N241" i="1"/>
  <c r="O241" i="1"/>
  <c r="P241" i="1"/>
  <c r="M242" i="1"/>
  <c r="N242" i="1"/>
  <c r="O242" i="1"/>
  <c r="P242" i="1"/>
  <c r="M243" i="1"/>
  <c r="N243" i="1"/>
  <c r="O243" i="1"/>
  <c r="P243" i="1"/>
  <c r="M244" i="1"/>
  <c r="N244" i="1"/>
  <c r="O244" i="1"/>
  <c r="P244" i="1"/>
  <c r="M245" i="1"/>
  <c r="N245" i="1"/>
  <c r="O245" i="1"/>
  <c r="P245" i="1"/>
  <c r="M246" i="1"/>
  <c r="N246" i="1"/>
  <c r="O246" i="1"/>
  <c r="P246" i="1"/>
  <c r="M247" i="1"/>
  <c r="N247" i="1"/>
  <c r="O247" i="1"/>
  <c r="P247" i="1"/>
  <c r="M248" i="1"/>
  <c r="N248" i="1"/>
  <c r="O248" i="1"/>
  <c r="P248" i="1"/>
  <c r="M249" i="1"/>
  <c r="N249" i="1"/>
  <c r="O249" i="1"/>
  <c r="P249" i="1"/>
  <c r="M250" i="1"/>
  <c r="N250" i="1"/>
  <c r="O250" i="1"/>
  <c r="P250" i="1"/>
  <c r="M251" i="1"/>
  <c r="N251" i="1"/>
  <c r="O251" i="1"/>
  <c r="P251" i="1"/>
  <c r="M252" i="1"/>
  <c r="N252" i="1"/>
  <c r="O252" i="1"/>
  <c r="P252" i="1"/>
  <c r="M253" i="1"/>
  <c r="N253" i="1"/>
  <c r="O253" i="1"/>
  <c r="P253" i="1"/>
  <c r="M254" i="1"/>
  <c r="N254" i="1"/>
  <c r="O254" i="1"/>
  <c r="P254" i="1"/>
  <c r="M255" i="1"/>
  <c r="N255" i="1"/>
  <c r="O255" i="1"/>
  <c r="P255" i="1"/>
  <c r="M256" i="1"/>
  <c r="N256" i="1"/>
  <c r="O256" i="1"/>
  <c r="P256" i="1"/>
  <c r="M257" i="1"/>
  <c r="N257" i="1"/>
  <c r="O257" i="1"/>
  <c r="P257" i="1"/>
  <c r="M258" i="1"/>
  <c r="N258" i="1"/>
  <c r="O258" i="1"/>
  <c r="P258" i="1"/>
  <c r="M259" i="1"/>
  <c r="N259" i="1"/>
  <c r="O259" i="1"/>
  <c r="P259" i="1"/>
  <c r="M260" i="1"/>
  <c r="N260" i="1"/>
  <c r="O260" i="1"/>
  <c r="P260" i="1"/>
  <c r="M261" i="1"/>
  <c r="N261" i="1"/>
  <c r="O261" i="1"/>
  <c r="P261" i="1"/>
  <c r="M262" i="1"/>
  <c r="N262" i="1"/>
  <c r="O262" i="1"/>
  <c r="P262" i="1"/>
  <c r="M263" i="1"/>
  <c r="N263" i="1"/>
  <c r="O263" i="1"/>
  <c r="P263" i="1"/>
  <c r="M264" i="1"/>
  <c r="N264" i="1"/>
  <c r="O264" i="1"/>
  <c r="P264" i="1"/>
  <c r="M265" i="1"/>
  <c r="N265" i="1"/>
  <c r="O265" i="1"/>
  <c r="P265" i="1"/>
  <c r="M266" i="1"/>
  <c r="N266" i="1"/>
  <c r="O266" i="1"/>
  <c r="P266" i="1"/>
  <c r="M267" i="1"/>
  <c r="N267" i="1"/>
  <c r="O267" i="1"/>
  <c r="P267" i="1"/>
  <c r="M268" i="1"/>
  <c r="N268" i="1"/>
  <c r="O268" i="1"/>
  <c r="P268" i="1"/>
  <c r="M269" i="1"/>
  <c r="N269" i="1"/>
  <c r="O269" i="1"/>
  <c r="P269" i="1"/>
  <c r="M270" i="1"/>
  <c r="N270" i="1"/>
  <c r="O270" i="1"/>
  <c r="P270" i="1"/>
  <c r="M271" i="1"/>
  <c r="N271" i="1"/>
  <c r="O271" i="1"/>
  <c r="P271" i="1"/>
  <c r="M272" i="1"/>
  <c r="N272" i="1"/>
  <c r="O272" i="1"/>
  <c r="P272" i="1"/>
  <c r="M273" i="1"/>
  <c r="N273" i="1"/>
  <c r="O273" i="1"/>
  <c r="P273" i="1"/>
  <c r="M274" i="1"/>
  <c r="N274" i="1"/>
  <c r="O274" i="1"/>
  <c r="P274" i="1"/>
  <c r="M275" i="1"/>
  <c r="N275" i="1"/>
  <c r="O275" i="1"/>
  <c r="P275" i="1"/>
  <c r="M276" i="1"/>
  <c r="N276" i="1"/>
  <c r="O276" i="1"/>
  <c r="P276" i="1"/>
  <c r="M277" i="1"/>
  <c r="N277" i="1"/>
  <c r="O277" i="1"/>
  <c r="P277" i="1"/>
  <c r="M278" i="1"/>
  <c r="N278" i="1"/>
  <c r="O278" i="1"/>
  <c r="P278" i="1"/>
  <c r="M279" i="1"/>
  <c r="N279" i="1"/>
  <c r="O279" i="1"/>
  <c r="P279" i="1"/>
  <c r="M280" i="1"/>
  <c r="N280" i="1"/>
  <c r="O280" i="1"/>
  <c r="P280" i="1"/>
  <c r="M281" i="1"/>
  <c r="N281" i="1"/>
  <c r="O281" i="1"/>
  <c r="P281" i="1"/>
  <c r="M282" i="1"/>
  <c r="N282" i="1"/>
  <c r="O282" i="1"/>
  <c r="P282" i="1"/>
  <c r="M283" i="1"/>
  <c r="N283" i="1"/>
  <c r="O283" i="1"/>
  <c r="P283" i="1"/>
  <c r="M284" i="1"/>
  <c r="N284" i="1"/>
  <c r="O284" i="1"/>
  <c r="P284" i="1"/>
  <c r="M285" i="1"/>
  <c r="N285" i="1"/>
  <c r="O285" i="1"/>
  <c r="P285" i="1"/>
  <c r="M286" i="1"/>
  <c r="N286" i="1"/>
  <c r="O286" i="1"/>
  <c r="P286" i="1"/>
  <c r="M287" i="1"/>
  <c r="N287" i="1"/>
  <c r="O287" i="1"/>
  <c r="P287" i="1"/>
  <c r="M288" i="1"/>
  <c r="N288" i="1"/>
  <c r="O288" i="1"/>
  <c r="P288" i="1"/>
  <c r="M289" i="1"/>
  <c r="N289" i="1"/>
  <c r="O289" i="1"/>
  <c r="P289" i="1"/>
  <c r="M290" i="1"/>
  <c r="N290" i="1"/>
  <c r="O290" i="1"/>
  <c r="P290" i="1"/>
  <c r="M291" i="1"/>
  <c r="N291" i="1"/>
  <c r="O291" i="1"/>
  <c r="P291" i="1"/>
  <c r="M292" i="1"/>
  <c r="N292" i="1"/>
  <c r="O292" i="1"/>
  <c r="P292" i="1"/>
  <c r="M293" i="1"/>
  <c r="N293" i="1"/>
  <c r="O293" i="1"/>
  <c r="P293" i="1"/>
  <c r="M294" i="1"/>
  <c r="N294" i="1"/>
  <c r="O294" i="1"/>
  <c r="P294" i="1"/>
  <c r="M295" i="1"/>
  <c r="N295" i="1"/>
  <c r="O295" i="1"/>
  <c r="P295" i="1"/>
  <c r="M296" i="1"/>
  <c r="N296" i="1"/>
  <c r="O296" i="1"/>
  <c r="P296" i="1"/>
  <c r="M297" i="1"/>
  <c r="N297" i="1"/>
  <c r="O297" i="1"/>
  <c r="P297" i="1"/>
  <c r="M298" i="1"/>
  <c r="N298" i="1"/>
  <c r="O298" i="1"/>
  <c r="P298" i="1"/>
  <c r="M299" i="1"/>
  <c r="N299" i="1"/>
  <c r="O299" i="1"/>
  <c r="P299" i="1"/>
  <c r="M300" i="1"/>
  <c r="N300" i="1"/>
  <c r="O300" i="1"/>
  <c r="P300" i="1"/>
  <c r="M301" i="1"/>
  <c r="N301" i="1"/>
  <c r="O301" i="1"/>
  <c r="P301" i="1"/>
  <c r="M302" i="1"/>
  <c r="N302" i="1"/>
  <c r="O302" i="1"/>
  <c r="P302" i="1"/>
  <c r="M303" i="1"/>
  <c r="N303" i="1"/>
  <c r="O303" i="1"/>
  <c r="P303" i="1"/>
  <c r="M304" i="1"/>
  <c r="N304" i="1"/>
  <c r="O304" i="1"/>
  <c r="P304" i="1"/>
  <c r="M305" i="1"/>
  <c r="N305" i="1"/>
  <c r="O305" i="1"/>
  <c r="P305" i="1"/>
  <c r="M306" i="1"/>
  <c r="N306" i="1"/>
  <c r="O306" i="1"/>
  <c r="P306" i="1"/>
  <c r="M307" i="1"/>
  <c r="N307" i="1"/>
  <c r="O307" i="1"/>
  <c r="P307" i="1"/>
  <c r="M308" i="1"/>
  <c r="N308" i="1"/>
  <c r="O308" i="1"/>
  <c r="P308" i="1"/>
  <c r="M309" i="1"/>
  <c r="N309" i="1"/>
  <c r="O309" i="1"/>
  <c r="P309" i="1"/>
  <c r="M310" i="1"/>
  <c r="N310" i="1"/>
  <c r="O310" i="1"/>
  <c r="P310" i="1"/>
  <c r="M311" i="1"/>
  <c r="N311" i="1"/>
  <c r="O311" i="1"/>
  <c r="P311" i="1"/>
  <c r="M312" i="1"/>
  <c r="N312" i="1"/>
  <c r="O312" i="1"/>
  <c r="P312" i="1"/>
  <c r="M313" i="1"/>
  <c r="N313" i="1"/>
  <c r="O313" i="1"/>
  <c r="P313" i="1"/>
  <c r="M314" i="1"/>
  <c r="N314" i="1"/>
  <c r="O314" i="1"/>
  <c r="P314" i="1"/>
  <c r="M315" i="1"/>
  <c r="N315" i="1"/>
  <c r="O315" i="1"/>
  <c r="P315" i="1"/>
  <c r="M316" i="1"/>
  <c r="N316" i="1"/>
  <c r="O316" i="1"/>
  <c r="P316" i="1"/>
  <c r="M317" i="1"/>
  <c r="N317" i="1"/>
  <c r="O317" i="1"/>
  <c r="P317" i="1"/>
  <c r="M318" i="1"/>
  <c r="N318" i="1"/>
  <c r="O318" i="1"/>
  <c r="P318" i="1"/>
  <c r="M319" i="1"/>
  <c r="N319" i="1"/>
  <c r="O319" i="1"/>
  <c r="P319" i="1"/>
  <c r="M320" i="1"/>
  <c r="N320" i="1"/>
  <c r="O320" i="1"/>
  <c r="P320" i="1"/>
  <c r="M321" i="1"/>
  <c r="N321" i="1"/>
  <c r="O321" i="1"/>
  <c r="P321" i="1"/>
  <c r="M322" i="1"/>
  <c r="N322" i="1"/>
  <c r="O322" i="1"/>
  <c r="P322" i="1"/>
  <c r="M323" i="1"/>
  <c r="N323" i="1"/>
  <c r="O323" i="1"/>
  <c r="P323" i="1"/>
  <c r="M324" i="1"/>
  <c r="N324" i="1"/>
  <c r="O324" i="1"/>
  <c r="P324" i="1"/>
  <c r="M325" i="1"/>
  <c r="N325" i="1"/>
  <c r="O325" i="1"/>
  <c r="P325" i="1"/>
  <c r="M326" i="1"/>
  <c r="N326" i="1"/>
  <c r="O326" i="1"/>
  <c r="P326" i="1"/>
  <c r="M327" i="1"/>
  <c r="N327" i="1"/>
  <c r="O327" i="1"/>
  <c r="P327" i="1"/>
  <c r="M328" i="1"/>
  <c r="N328" i="1"/>
  <c r="O328" i="1"/>
  <c r="P328" i="1"/>
  <c r="M329" i="1"/>
  <c r="N329" i="1"/>
  <c r="O329" i="1"/>
  <c r="P329" i="1"/>
  <c r="M330" i="1"/>
  <c r="N330" i="1"/>
  <c r="O330" i="1"/>
  <c r="P330" i="1"/>
  <c r="M331" i="1"/>
  <c r="N331" i="1"/>
  <c r="O331" i="1"/>
  <c r="P331" i="1"/>
  <c r="M332" i="1"/>
  <c r="N332" i="1"/>
  <c r="O332" i="1"/>
  <c r="P332" i="1"/>
  <c r="M333" i="1"/>
  <c r="N333" i="1"/>
  <c r="O333" i="1"/>
  <c r="P333" i="1"/>
  <c r="M334" i="1"/>
  <c r="N334" i="1"/>
  <c r="O334" i="1"/>
  <c r="P334" i="1"/>
  <c r="M335" i="1"/>
  <c r="N335" i="1"/>
  <c r="O335" i="1"/>
  <c r="P335" i="1"/>
  <c r="M336" i="1"/>
  <c r="N336" i="1"/>
  <c r="O336" i="1"/>
  <c r="P336" i="1"/>
  <c r="M337" i="1"/>
  <c r="N337" i="1"/>
  <c r="O337" i="1"/>
  <c r="P337" i="1"/>
  <c r="M338" i="1"/>
  <c r="N338" i="1"/>
  <c r="O338" i="1"/>
  <c r="P338" i="1"/>
  <c r="M339" i="1"/>
  <c r="N339" i="1"/>
  <c r="O339" i="1"/>
  <c r="P339" i="1"/>
  <c r="M340" i="1"/>
  <c r="N340" i="1"/>
  <c r="O340" i="1"/>
  <c r="P340" i="1"/>
  <c r="M341" i="1"/>
  <c r="N341" i="1"/>
  <c r="O341" i="1"/>
  <c r="P341" i="1"/>
  <c r="M342" i="1"/>
  <c r="N342" i="1"/>
  <c r="O342" i="1"/>
  <c r="P342" i="1"/>
  <c r="M343" i="1"/>
  <c r="N343" i="1"/>
  <c r="O343" i="1"/>
  <c r="P343" i="1"/>
  <c r="M344" i="1"/>
  <c r="N344" i="1"/>
  <c r="O344" i="1"/>
  <c r="P344" i="1"/>
  <c r="M345" i="1"/>
  <c r="N345" i="1"/>
  <c r="O345" i="1"/>
  <c r="P345" i="1"/>
  <c r="M346" i="1"/>
  <c r="N346" i="1"/>
  <c r="O346" i="1"/>
  <c r="P346" i="1"/>
  <c r="M347" i="1"/>
  <c r="N347" i="1"/>
  <c r="O347" i="1"/>
  <c r="P347" i="1"/>
  <c r="M348" i="1"/>
  <c r="N348" i="1"/>
  <c r="O348" i="1"/>
  <c r="P348" i="1"/>
  <c r="M349" i="1"/>
  <c r="N349" i="1"/>
  <c r="O349" i="1"/>
  <c r="P349" i="1"/>
  <c r="M350" i="1"/>
  <c r="N350" i="1"/>
  <c r="O350" i="1"/>
  <c r="P350" i="1"/>
  <c r="M351" i="1"/>
  <c r="N351" i="1"/>
  <c r="O351" i="1"/>
  <c r="P351" i="1"/>
  <c r="M352" i="1"/>
  <c r="N352" i="1"/>
  <c r="O352" i="1"/>
  <c r="P352" i="1"/>
  <c r="M353" i="1"/>
  <c r="N353" i="1"/>
  <c r="O353" i="1"/>
  <c r="P353" i="1"/>
  <c r="M354" i="1"/>
  <c r="N354" i="1"/>
  <c r="O354" i="1"/>
  <c r="P354" i="1"/>
  <c r="M355" i="1"/>
  <c r="N355" i="1"/>
  <c r="O355" i="1"/>
  <c r="P355" i="1"/>
  <c r="M356" i="1"/>
  <c r="N356" i="1"/>
  <c r="O356" i="1"/>
  <c r="P356" i="1"/>
  <c r="M357" i="1"/>
  <c r="N357" i="1"/>
  <c r="O357" i="1"/>
  <c r="P357" i="1"/>
  <c r="M358" i="1"/>
  <c r="N358" i="1"/>
  <c r="O358" i="1"/>
  <c r="P358" i="1"/>
  <c r="M359" i="1"/>
  <c r="N359" i="1"/>
  <c r="O359" i="1"/>
  <c r="P359" i="1"/>
  <c r="M360" i="1"/>
  <c r="N360" i="1"/>
  <c r="O360" i="1"/>
  <c r="P360" i="1"/>
  <c r="M361" i="1"/>
  <c r="N361" i="1"/>
  <c r="O361" i="1"/>
  <c r="P361" i="1"/>
  <c r="M362" i="1"/>
  <c r="N362" i="1"/>
  <c r="O362" i="1"/>
  <c r="P362" i="1"/>
  <c r="M363" i="1"/>
  <c r="N363" i="1"/>
  <c r="O363" i="1"/>
  <c r="P363" i="1"/>
  <c r="M364" i="1"/>
  <c r="N364" i="1"/>
  <c r="O364" i="1"/>
  <c r="P364" i="1"/>
  <c r="M365" i="1"/>
  <c r="N365" i="1"/>
  <c r="O365" i="1"/>
  <c r="P365" i="1"/>
  <c r="M366" i="1"/>
  <c r="N366" i="1"/>
  <c r="O366" i="1"/>
  <c r="P366" i="1"/>
  <c r="M367" i="1"/>
  <c r="N367" i="1"/>
  <c r="O367" i="1"/>
  <c r="P367" i="1"/>
  <c r="M368" i="1"/>
  <c r="N368" i="1"/>
  <c r="O368" i="1"/>
  <c r="P368" i="1"/>
  <c r="M369" i="1"/>
  <c r="N369" i="1"/>
  <c r="O369" i="1"/>
  <c r="P369" i="1"/>
  <c r="M370" i="1"/>
  <c r="N370" i="1"/>
  <c r="O370" i="1"/>
  <c r="P370" i="1"/>
  <c r="M371" i="1"/>
  <c r="N371" i="1"/>
  <c r="O371" i="1"/>
  <c r="P371" i="1"/>
  <c r="M372" i="1"/>
  <c r="N372" i="1"/>
  <c r="O372" i="1"/>
  <c r="P372" i="1"/>
  <c r="M373" i="1"/>
  <c r="N373" i="1"/>
  <c r="O373" i="1"/>
  <c r="P373" i="1"/>
  <c r="M374" i="1"/>
  <c r="N374" i="1"/>
  <c r="O374" i="1"/>
  <c r="P374" i="1"/>
  <c r="M375" i="1"/>
  <c r="N375" i="1"/>
  <c r="O375" i="1"/>
  <c r="P375" i="1"/>
  <c r="M376" i="1"/>
  <c r="N376" i="1"/>
  <c r="O376" i="1"/>
  <c r="P376" i="1"/>
  <c r="M377" i="1"/>
  <c r="N377" i="1"/>
  <c r="O377" i="1"/>
  <c r="P377" i="1"/>
  <c r="M378" i="1"/>
  <c r="N378" i="1"/>
  <c r="O378" i="1"/>
  <c r="P378" i="1"/>
  <c r="M379" i="1"/>
  <c r="N379" i="1"/>
  <c r="O379" i="1"/>
  <c r="P379" i="1"/>
  <c r="M380" i="1"/>
  <c r="N380" i="1"/>
  <c r="O380" i="1"/>
  <c r="P380" i="1"/>
  <c r="M381" i="1"/>
  <c r="N381" i="1"/>
  <c r="O381" i="1"/>
  <c r="P381" i="1"/>
  <c r="M382" i="1"/>
  <c r="N382" i="1"/>
  <c r="O382" i="1"/>
  <c r="P382" i="1"/>
  <c r="M383" i="1"/>
  <c r="N383" i="1"/>
  <c r="O383" i="1"/>
  <c r="P383" i="1"/>
  <c r="M384" i="1"/>
  <c r="N384" i="1"/>
  <c r="O384" i="1"/>
  <c r="P384" i="1"/>
  <c r="M385" i="1"/>
  <c r="N385" i="1"/>
  <c r="O385" i="1"/>
  <c r="P385" i="1"/>
  <c r="M386" i="1"/>
  <c r="N386" i="1"/>
  <c r="O386" i="1"/>
  <c r="P386" i="1"/>
  <c r="M387" i="1"/>
  <c r="N387" i="1"/>
  <c r="O387" i="1"/>
  <c r="P387" i="1"/>
  <c r="M388" i="1"/>
  <c r="N388" i="1"/>
  <c r="O388" i="1"/>
  <c r="P388" i="1"/>
  <c r="M389" i="1"/>
  <c r="N389" i="1"/>
  <c r="O389" i="1"/>
  <c r="P389" i="1"/>
  <c r="M390" i="1"/>
  <c r="N390" i="1"/>
  <c r="O390" i="1"/>
  <c r="P390" i="1"/>
  <c r="M391" i="1"/>
  <c r="N391" i="1"/>
  <c r="O391" i="1"/>
  <c r="P391" i="1"/>
  <c r="M392" i="1"/>
  <c r="N392" i="1"/>
  <c r="O392" i="1"/>
  <c r="P392" i="1"/>
  <c r="M393" i="1"/>
  <c r="N393" i="1"/>
  <c r="O393" i="1"/>
  <c r="P393" i="1"/>
  <c r="M394" i="1"/>
  <c r="N394" i="1"/>
  <c r="O394" i="1"/>
  <c r="P394" i="1"/>
  <c r="M395" i="1"/>
  <c r="N395" i="1"/>
  <c r="O395" i="1"/>
  <c r="P395" i="1"/>
  <c r="M396" i="1"/>
  <c r="N396" i="1"/>
  <c r="O396" i="1"/>
  <c r="P396" i="1"/>
  <c r="M397" i="1"/>
  <c r="N397" i="1"/>
  <c r="O397" i="1"/>
  <c r="P397" i="1"/>
  <c r="M398" i="1"/>
  <c r="N398" i="1"/>
  <c r="O398" i="1"/>
  <c r="P398" i="1"/>
  <c r="M399" i="1"/>
  <c r="N399" i="1"/>
  <c r="O399" i="1"/>
  <c r="P399" i="1"/>
  <c r="M400" i="1"/>
  <c r="N400" i="1"/>
  <c r="O400" i="1"/>
  <c r="P400" i="1"/>
  <c r="M401" i="1"/>
  <c r="N401" i="1"/>
  <c r="O401" i="1"/>
  <c r="P401" i="1"/>
  <c r="M402" i="1"/>
  <c r="N402" i="1"/>
  <c r="O402" i="1"/>
  <c r="P402" i="1"/>
  <c r="M403" i="1"/>
  <c r="N403" i="1"/>
  <c r="O403" i="1"/>
  <c r="P403" i="1"/>
  <c r="M404" i="1"/>
  <c r="N404" i="1"/>
  <c r="O404" i="1"/>
  <c r="P404" i="1"/>
  <c r="M405" i="1"/>
  <c r="N405" i="1"/>
  <c r="O405" i="1"/>
  <c r="P405" i="1"/>
  <c r="M406" i="1"/>
  <c r="N406" i="1"/>
  <c r="O406" i="1"/>
  <c r="P406" i="1"/>
  <c r="M407" i="1"/>
  <c r="N407" i="1"/>
  <c r="O407" i="1"/>
  <c r="P407" i="1"/>
  <c r="M408" i="1"/>
  <c r="N408" i="1"/>
  <c r="O408" i="1"/>
  <c r="P408" i="1"/>
  <c r="M409" i="1"/>
  <c r="N409" i="1"/>
  <c r="O409" i="1"/>
  <c r="P409" i="1"/>
  <c r="M410" i="1"/>
  <c r="N410" i="1"/>
  <c r="O410" i="1"/>
  <c r="P410" i="1"/>
  <c r="M411" i="1"/>
  <c r="N411" i="1"/>
  <c r="O411" i="1"/>
  <c r="P411" i="1"/>
  <c r="M412" i="1"/>
  <c r="N412" i="1"/>
  <c r="O412" i="1"/>
  <c r="P412" i="1"/>
  <c r="M413" i="1"/>
  <c r="N413" i="1"/>
  <c r="O413" i="1"/>
  <c r="P413" i="1"/>
  <c r="M414" i="1"/>
  <c r="N414" i="1"/>
  <c r="O414" i="1"/>
  <c r="P414" i="1"/>
  <c r="M415" i="1"/>
  <c r="N415" i="1"/>
  <c r="O415" i="1"/>
  <c r="P415" i="1"/>
  <c r="M416" i="1"/>
  <c r="N416" i="1"/>
  <c r="O416" i="1"/>
  <c r="P416" i="1"/>
  <c r="M417" i="1"/>
  <c r="N417" i="1"/>
  <c r="O417" i="1"/>
  <c r="P417" i="1"/>
  <c r="M418" i="1"/>
  <c r="N418" i="1"/>
  <c r="O418" i="1"/>
  <c r="P418" i="1"/>
  <c r="M419" i="1"/>
  <c r="N419" i="1"/>
  <c r="O419" i="1"/>
  <c r="P419" i="1"/>
  <c r="M420" i="1"/>
  <c r="N420" i="1"/>
  <c r="O420" i="1"/>
  <c r="P420" i="1"/>
  <c r="M421" i="1"/>
  <c r="N421" i="1"/>
  <c r="O421" i="1"/>
  <c r="P421" i="1"/>
  <c r="M422" i="1"/>
  <c r="N422" i="1"/>
  <c r="O422" i="1"/>
  <c r="P422" i="1"/>
  <c r="M423" i="1"/>
  <c r="N423" i="1"/>
  <c r="O423" i="1"/>
  <c r="P423" i="1"/>
  <c r="M424" i="1"/>
  <c r="N424" i="1"/>
  <c r="O424" i="1"/>
  <c r="P424" i="1"/>
  <c r="M425" i="1"/>
  <c r="N425" i="1"/>
  <c r="O425" i="1"/>
  <c r="P425" i="1"/>
  <c r="M426" i="1"/>
  <c r="N426" i="1"/>
  <c r="O426" i="1"/>
  <c r="P426" i="1"/>
  <c r="M427" i="1"/>
  <c r="N427" i="1"/>
  <c r="O427" i="1"/>
  <c r="P427" i="1"/>
  <c r="M428" i="1"/>
  <c r="N428" i="1"/>
  <c r="O428" i="1"/>
  <c r="P428" i="1"/>
  <c r="M429" i="1"/>
  <c r="N429" i="1"/>
  <c r="O429" i="1"/>
  <c r="P429" i="1"/>
  <c r="M430" i="1"/>
  <c r="N430" i="1"/>
  <c r="O430" i="1"/>
  <c r="P430" i="1"/>
  <c r="M431" i="1"/>
  <c r="N431" i="1"/>
  <c r="O431" i="1"/>
  <c r="P431" i="1"/>
  <c r="M432" i="1"/>
  <c r="N432" i="1"/>
  <c r="O432" i="1"/>
  <c r="P432" i="1"/>
  <c r="M433" i="1"/>
  <c r="N433" i="1"/>
  <c r="O433" i="1"/>
  <c r="P433" i="1"/>
  <c r="M434" i="1"/>
  <c r="N434" i="1"/>
  <c r="O434" i="1"/>
  <c r="P434" i="1"/>
  <c r="M435" i="1"/>
  <c r="N435" i="1"/>
  <c r="O435" i="1"/>
  <c r="P435" i="1"/>
  <c r="M436" i="1"/>
  <c r="N436" i="1"/>
  <c r="O436" i="1"/>
  <c r="P436" i="1"/>
  <c r="M437" i="1"/>
  <c r="N437" i="1"/>
  <c r="O437" i="1"/>
  <c r="P437" i="1"/>
  <c r="M438" i="1"/>
  <c r="N438" i="1"/>
  <c r="O438" i="1"/>
  <c r="P438" i="1"/>
  <c r="M439" i="1"/>
  <c r="N439" i="1"/>
  <c r="O439" i="1"/>
  <c r="P439" i="1"/>
  <c r="M440" i="1"/>
  <c r="N440" i="1"/>
  <c r="O440" i="1"/>
  <c r="P440" i="1"/>
  <c r="M441" i="1"/>
  <c r="N441" i="1"/>
  <c r="O441" i="1"/>
  <c r="P441" i="1"/>
  <c r="M442" i="1"/>
  <c r="N442" i="1"/>
  <c r="O442" i="1"/>
  <c r="P442" i="1"/>
  <c r="M443" i="1"/>
  <c r="N443" i="1"/>
  <c r="O443" i="1"/>
  <c r="P443" i="1"/>
  <c r="M444" i="1"/>
  <c r="N444" i="1"/>
  <c r="O444" i="1"/>
  <c r="P444" i="1"/>
  <c r="M445" i="1"/>
  <c r="N445" i="1"/>
  <c r="O445" i="1"/>
  <c r="P445" i="1"/>
  <c r="M446" i="1"/>
  <c r="N446" i="1"/>
  <c r="O446" i="1"/>
  <c r="P446" i="1"/>
  <c r="M447" i="1"/>
  <c r="N447" i="1"/>
  <c r="O447" i="1"/>
  <c r="P447" i="1"/>
  <c r="M448" i="1"/>
  <c r="N448" i="1"/>
  <c r="O448" i="1"/>
  <c r="P448" i="1"/>
  <c r="M449" i="1"/>
  <c r="N449" i="1"/>
  <c r="O449" i="1"/>
  <c r="P449" i="1"/>
  <c r="M450" i="1"/>
  <c r="N450" i="1"/>
  <c r="O450" i="1"/>
  <c r="P450" i="1"/>
  <c r="M451" i="1"/>
  <c r="N451" i="1"/>
  <c r="O451" i="1"/>
  <c r="P451" i="1"/>
  <c r="M452" i="1"/>
  <c r="N452" i="1"/>
  <c r="O452" i="1"/>
  <c r="P452" i="1"/>
  <c r="M453" i="1"/>
  <c r="N453" i="1"/>
  <c r="O453" i="1"/>
  <c r="P453" i="1"/>
  <c r="M454" i="1"/>
  <c r="N454" i="1"/>
  <c r="O454" i="1"/>
  <c r="P454" i="1"/>
  <c r="M455" i="1"/>
  <c r="N455" i="1"/>
  <c r="O455" i="1"/>
  <c r="P455" i="1"/>
  <c r="M456" i="1"/>
  <c r="N456" i="1"/>
  <c r="O456" i="1"/>
  <c r="P456" i="1"/>
  <c r="M457" i="1"/>
  <c r="N457" i="1"/>
  <c r="O457" i="1"/>
  <c r="P457" i="1"/>
  <c r="M458" i="1"/>
  <c r="N458" i="1"/>
  <c r="O458" i="1"/>
  <c r="P458" i="1"/>
  <c r="M459" i="1"/>
  <c r="N459" i="1"/>
  <c r="O459" i="1"/>
  <c r="P459" i="1"/>
  <c r="M460" i="1"/>
  <c r="N460" i="1"/>
  <c r="O460" i="1"/>
  <c r="P460" i="1"/>
  <c r="M461" i="1"/>
  <c r="N461" i="1"/>
  <c r="O461" i="1"/>
  <c r="P461" i="1"/>
  <c r="M462" i="1"/>
  <c r="N462" i="1"/>
  <c r="O462" i="1"/>
  <c r="P462" i="1"/>
  <c r="M463" i="1"/>
  <c r="N463" i="1"/>
  <c r="O463" i="1"/>
  <c r="P463" i="1"/>
  <c r="M464" i="1"/>
  <c r="N464" i="1"/>
  <c r="O464" i="1"/>
  <c r="P464" i="1"/>
  <c r="M465" i="1"/>
  <c r="N465" i="1"/>
  <c r="O465" i="1"/>
  <c r="P465" i="1"/>
  <c r="M466" i="1"/>
  <c r="N466" i="1"/>
  <c r="O466" i="1"/>
  <c r="P466" i="1"/>
  <c r="M467" i="1"/>
  <c r="N467" i="1"/>
  <c r="O467" i="1"/>
  <c r="P467" i="1"/>
  <c r="M468" i="1"/>
  <c r="N468" i="1"/>
  <c r="O468" i="1"/>
  <c r="P468" i="1"/>
  <c r="M469" i="1"/>
  <c r="N469" i="1"/>
  <c r="O469" i="1"/>
  <c r="P469" i="1"/>
  <c r="M470" i="1"/>
  <c r="N470" i="1"/>
  <c r="O470" i="1"/>
  <c r="P470" i="1"/>
  <c r="M471" i="1"/>
  <c r="N471" i="1"/>
  <c r="O471" i="1"/>
  <c r="P471" i="1"/>
  <c r="M472" i="1"/>
  <c r="N472" i="1"/>
  <c r="O472" i="1"/>
  <c r="P472" i="1"/>
  <c r="M473" i="1"/>
  <c r="N473" i="1"/>
  <c r="O473" i="1"/>
  <c r="P473" i="1"/>
  <c r="M474" i="1"/>
  <c r="N474" i="1"/>
  <c r="O474" i="1"/>
  <c r="P474" i="1"/>
  <c r="M475" i="1"/>
  <c r="N475" i="1"/>
  <c r="O475" i="1"/>
  <c r="P475" i="1"/>
  <c r="M476" i="1"/>
  <c r="N476" i="1"/>
  <c r="O476" i="1"/>
  <c r="P476" i="1"/>
  <c r="M477" i="1"/>
  <c r="N477" i="1"/>
  <c r="O477" i="1"/>
  <c r="P477" i="1"/>
  <c r="M478" i="1"/>
  <c r="N478" i="1"/>
  <c r="O478" i="1"/>
  <c r="P478" i="1"/>
  <c r="M479" i="1"/>
  <c r="N479" i="1"/>
  <c r="O479" i="1"/>
  <c r="P479" i="1"/>
  <c r="M480" i="1"/>
  <c r="N480" i="1"/>
  <c r="O480" i="1"/>
  <c r="P480" i="1"/>
  <c r="M481" i="1"/>
  <c r="N481" i="1"/>
  <c r="O481" i="1"/>
  <c r="P481" i="1"/>
  <c r="M482" i="1"/>
  <c r="N482" i="1"/>
  <c r="O482" i="1"/>
  <c r="P482" i="1"/>
  <c r="M483" i="1"/>
  <c r="N483" i="1"/>
  <c r="O483" i="1"/>
  <c r="P483" i="1"/>
  <c r="M484" i="1"/>
  <c r="N484" i="1"/>
  <c r="O484" i="1"/>
  <c r="P484" i="1"/>
  <c r="M485" i="1"/>
  <c r="N485" i="1"/>
  <c r="O485" i="1"/>
  <c r="P485" i="1"/>
  <c r="M486" i="1"/>
  <c r="N486" i="1"/>
  <c r="O486" i="1"/>
  <c r="P486" i="1"/>
  <c r="M487" i="1"/>
  <c r="N487" i="1"/>
  <c r="O487" i="1"/>
  <c r="P487" i="1"/>
  <c r="M488" i="1"/>
  <c r="N488" i="1"/>
  <c r="O488" i="1"/>
  <c r="P488" i="1"/>
  <c r="M489" i="1"/>
  <c r="N489" i="1"/>
  <c r="O489" i="1"/>
  <c r="P489" i="1"/>
  <c r="M490" i="1"/>
  <c r="N490" i="1"/>
  <c r="O490" i="1"/>
  <c r="P490" i="1"/>
  <c r="M491" i="1"/>
  <c r="N491" i="1"/>
  <c r="O491" i="1"/>
  <c r="P491" i="1"/>
  <c r="M492" i="1"/>
  <c r="N492" i="1"/>
  <c r="O492" i="1"/>
  <c r="P492" i="1"/>
  <c r="M493" i="1"/>
  <c r="N493" i="1"/>
  <c r="O493" i="1"/>
  <c r="P493" i="1"/>
  <c r="M494" i="1"/>
  <c r="N494" i="1"/>
  <c r="O494" i="1"/>
  <c r="P494" i="1"/>
  <c r="M495" i="1"/>
  <c r="N495" i="1"/>
  <c r="O495" i="1"/>
  <c r="P495" i="1"/>
  <c r="M496" i="1"/>
  <c r="N496" i="1"/>
  <c r="O496" i="1"/>
  <c r="P496" i="1"/>
  <c r="M497" i="1"/>
  <c r="N497" i="1"/>
  <c r="O497" i="1"/>
  <c r="P497" i="1"/>
  <c r="M498" i="1"/>
  <c r="N498" i="1"/>
  <c r="O498" i="1"/>
  <c r="P498" i="1"/>
  <c r="M499" i="1"/>
  <c r="N499" i="1"/>
  <c r="O499" i="1"/>
  <c r="P499" i="1"/>
  <c r="M500" i="1"/>
  <c r="N500" i="1"/>
  <c r="O500" i="1"/>
  <c r="P500" i="1"/>
  <c r="M501" i="1"/>
  <c r="N501" i="1"/>
  <c r="O501" i="1"/>
  <c r="P501" i="1"/>
  <c r="M502" i="1"/>
  <c r="N502" i="1"/>
  <c r="O502" i="1"/>
  <c r="P502" i="1"/>
  <c r="M503" i="1"/>
  <c r="N503" i="1"/>
  <c r="O503" i="1"/>
  <c r="P503" i="1"/>
  <c r="M504" i="1"/>
  <c r="N504" i="1"/>
  <c r="O504" i="1"/>
  <c r="P504" i="1"/>
  <c r="M505" i="1"/>
  <c r="N505" i="1"/>
  <c r="O505" i="1"/>
  <c r="P505" i="1"/>
  <c r="M506" i="1"/>
  <c r="N506" i="1"/>
  <c r="O506" i="1"/>
  <c r="P506" i="1"/>
  <c r="M507" i="1"/>
  <c r="N507" i="1"/>
  <c r="O507" i="1"/>
  <c r="P507" i="1"/>
  <c r="M508" i="1"/>
  <c r="N508" i="1"/>
  <c r="O508" i="1"/>
  <c r="P508" i="1"/>
  <c r="M509" i="1"/>
  <c r="N509" i="1"/>
  <c r="O509" i="1"/>
  <c r="P509" i="1"/>
  <c r="M510" i="1"/>
  <c r="N510" i="1"/>
  <c r="O510" i="1"/>
  <c r="P510" i="1"/>
  <c r="M511" i="1"/>
  <c r="N511" i="1"/>
  <c r="O511" i="1"/>
  <c r="P511" i="1"/>
  <c r="M512" i="1"/>
  <c r="N512" i="1"/>
  <c r="O512" i="1"/>
  <c r="P512" i="1"/>
  <c r="M513" i="1"/>
  <c r="N513" i="1"/>
  <c r="O513" i="1"/>
  <c r="P513" i="1"/>
  <c r="M514" i="1"/>
  <c r="N514" i="1"/>
  <c r="O514" i="1"/>
  <c r="P514" i="1"/>
  <c r="M515" i="1"/>
  <c r="N515" i="1"/>
  <c r="O515" i="1"/>
  <c r="P515" i="1"/>
  <c r="M516" i="1"/>
  <c r="N516" i="1"/>
  <c r="O516" i="1"/>
  <c r="P516" i="1"/>
  <c r="M517" i="1"/>
  <c r="N517" i="1"/>
  <c r="O517" i="1"/>
  <c r="P517" i="1"/>
  <c r="M518" i="1"/>
  <c r="N518" i="1"/>
  <c r="O518" i="1"/>
  <c r="P518" i="1"/>
  <c r="M519" i="1"/>
  <c r="N519" i="1"/>
  <c r="O519" i="1"/>
  <c r="P519" i="1"/>
  <c r="M520" i="1"/>
  <c r="N520" i="1"/>
  <c r="O520" i="1"/>
  <c r="P520" i="1"/>
  <c r="M521" i="1"/>
  <c r="N521" i="1"/>
  <c r="O521" i="1"/>
  <c r="P521" i="1"/>
  <c r="M522" i="1"/>
  <c r="N522" i="1"/>
  <c r="O522" i="1"/>
  <c r="P522" i="1"/>
  <c r="M523" i="1"/>
  <c r="N523" i="1"/>
  <c r="O523" i="1"/>
  <c r="P523" i="1"/>
  <c r="M524" i="1"/>
  <c r="N524" i="1"/>
  <c r="O524" i="1"/>
  <c r="P524" i="1"/>
  <c r="M525" i="1"/>
  <c r="N525" i="1"/>
  <c r="O525" i="1"/>
  <c r="P525" i="1"/>
  <c r="M526" i="1"/>
  <c r="N526" i="1"/>
  <c r="O526" i="1"/>
  <c r="P526" i="1"/>
  <c r="M527" i="1"/>
  <c r="N527" i="1"/>
  <c r="O527" i="1"/>
  <c r="P527" i="1"/>
  <c r="M528" i="1"/>
  <c r="N528" i="1"/>
  <c r="O528" i="1"/>
  <c r="P528" i="1"/>
  <c r="M529" i="1"/>
  <c r="N529" i="1"/>
  <c r="O529" i="1"/>
  <c r="P529" i="1"/>
  <c r="M530" i="1"/>
  <c r="N530" i="1"/>
  <c r="O530" i="1"/>
  <c r="P530" i="1"/>
  <c r="M531" i="1"/>
  <c r="N531" i="1"/>
  <c r="O531" i="1"/>
  <c r="P531" i="1"/>
  <c r="M532" i="1"/>
  <c r="N532" i="1"/>
  <c r="O532" i="1"/>
  <c r="P532" i="1"/>
  <c r="M533" i="1"/>
  <c r="N533" i="1"/>
  <c r="O533" i="1"/>
  <c r="P533" i="1"/>
  <c r="M534" i="1"/>
  <c r="N534" i="1"/>
  <c r="O534" i="1"/>
  <c r="P534" i="1"/>
  <c r="M535" i="1"/>
  <c r="N535" i="1"/>
  <c r="O535" i="1"/>
  <c r="P535" i="1"/>
  <c r="M536" i="1"/>
  <c r="N536" i="1"/>
  <c r="O536" i="1"/>
  <c r="P536" i="1"/>
  <c r="M537" i="1"/>
  <c r="N537" i="1"/>
  <c r="O537" i="1"/>
  <c r="P537" i="1"/>
  <c r="M538" i="1"/>
  <c r="N538" i="1"/>
  <c r="O538" i="1"/>
  <c r="P538" i="1"/>
  <c r="M539" i="1"/>
  <c r="N539" i="1"/>
  <c r="O539" i="1"/>
  <c r="P539" i="1"/>
  <c r="M540" i="1"/>
  <c r="N540" i="1"/>
  <c r="O540" i="1"/>
  <c r="P540" i="1"/>
  <c r="M541" i="1"/>
  <c r="N541" i="1"/>
  <c r="O541" i="1"/>
  <c r="P541" i="1"/>
  <c r="M542" i="1"/>
  <c r="N542" i="1"/>
  <c r="O542" i="1"/>
  <c r="P542" i="1"/>
  <c r="M543" i="1"/>
  <c r="N543" i="1"/>
  <c r="O543" i="1"/>
  <c r="P543" i="1"/>
  <c r="M544" i="1"/>
  <c r="N544" i="1"/>
  <c r="O544" i="1"/>
  <c r="P544" i="1"/>
  <c r="M545" i="1"/>
  <c r="N545" i="1"/>
  <c r="O545" i="1"/>
  <c r="P545" i="1"/>
  <c r="M546" i="1"/>
  <c r="N546" i="1"/>
  <c r="O546" i="1"/>
  <c r="P546" i="1"/>
  <c r="M547" i="1"/>
  <c r="N547" i="1"/>
  <c r="O547" i="1"/>
  <c r="P547" i="1"/>
  <c r="M548" i="1"/>
  <c r="N548" i="1"/>
  <c r="O548" i="1"/>
  <c r="P548" i="1"/>
  <c r="M549" i="1"/>
  <c r="N549" i="1"/>
  <c r="O549" i="1"/>
  <c r="P549" i="1"/>
  <c r="M550" i="1"/>
  <c r="N550" i="1"/>
  <c r="O550" i="1"/>
  <c r="P550" i="1"/>
  <c r="M551" i="1"/>
  <c r="N551" i="1"/>
  <c r="O551" i="1"/>
  <c r="P551" i="1"/>
  <c r="M552" i="1"/>
  <c r="N552" i="1"/>
  <c r="O552" i="1"/>
  <c r="P552" i="1"/>
  <c r="M553" i="1"/>
  <c r="N553" i="1"/>
  <c r="O553" i="1"/>
  <c r="P553" i="1"/>
  <c r="M554" i="1"/>
  <c r="N554" i="1"/>
  <c r="O554" i="1"/>
  <c r="P554" i="1"/>
  <c r="M555" i="1"/>
  <c r="N555" i="1"/>
  <c r="O555" i="1"/>
  <c r="P555" i="1"/>
  <c r="M556" i="1"/>
  <c r="N556" i="1"/>
  <c r="O556" i="1"/>
  <c r="P556" i="1"/>
  <c r="M557" i="1"/>
  <c r="N557" i="1"/>
  <c r="O557" i="1"/>
  <c r="P557" i="1"/>
  <c r="M558" i="1"/>
  <c r="N558" i="1"/>
  <c r="O558" i="1"/>
  <c r="P558" i="1"/>
  <c r="M559" i="1"/>
  <c r="N559" i="1"/>
  <c r="O559" i="1"/>
  <c r="P559" i="1"/>
  <c r="M560" i="1"/>
  <c r="N560" i="1"/>
  <c r="O560" i="1"/>
  <c r="P560" i="1"/>
  <c r="M561" i="1"/>
  <c r="N561" i="1"/>
  <c r="O561" i="1"/>
  <c r="P561" i="1"/>
  <c r="M562" i="1"/>
  <c r="N562" i="1"/>
  <c r="O562" i="1"/>
  <c r="P562" i="1"/>
  <c r="M563" i="1"/>
  <c r="N563" i="1"/>
  <c r="O563" i="1"/>
  <c r="P563" i="1"/>
  <c r="M564" i="1"/>
  <c r="N564" i="1"/>
  <c r="O564" i="1"/>
  <c r="P564" i="1"/>
  <c r="M565" i="1"/>
  <c r="N565" i="1"/>
  <c r="O565" i="1"/>
  <c r="P565" i="1"/>
  <c r="M566" i="1"/>
  <c r="N566" i="1"/>
  <c r="O566" i="1"/>
  <c r="P566" i="1"/>
  <c r="M567" i="1"/>
  <c r="N567" i="1"/>
  <c r="O567" i="1"/>
  <c r="P567" i="1"/>
  <c r="M568" i="1"/>
  <c r="N568" i="1"/>
  <c r="O568" i="1"/>
  <c r="P568" i="1"/>
  <c r="M569" i="1"/>
  <c r="N569" i="1"/>
  <c r="O569" i="1"/>
  <c r="P569" i="1"/>
  <c r="M570" i="1"/>
  <c r="N570" i="1"/>
  <c r="O570" i="1"/>
  <c r="P570" i="1"/>
  <c r="M571" i="1"/>
  <c r="N571" i="1"/>
  <c r="O571" i="1"/>
  <c r="P571" i="1"/>
  <c r="M572" i="1"/>
  <c r="N572" i="1"/>
  <c r="O572" i="1"/>
  <c r="P572" i="1"/>
  <c r="M573" i="1"/>
  <c r="N573" i="1"/>
  <c r="O573" i="1"/>
  <c r="P573" i="1"/>
  <c r="M574" i="1"/>
  <c r="N574" i="1"/>
  <c r="O574" i="1"/>
  <c r="P574" i="1"/>
  <c r="M575" i="1"/>
  <c r="N575" i="1"/>
  <c r="O575" i="1"/>
  <c r="P575" i="1"/>
  <c r="M576" i="1"/>
  <c r="N576" i="1"/>
  <c r="O576" i="1"/>
  <c r="P576" i="1"/>
  <c r="M577" i="1"/>
  <c r="N577" i="1"/>
  <c r="O577" i="1"/>
  <c r="P577" i="1"/>
  <c r="M578" i="1"/>
  <c r="N578" i="1"/>
  <c r="O578" i="1"/>
  <c r="P578" i="1"/>
  <c r="M579" i="1"/>
  <c r="N579" i="1"/>
  <c r="O579" i="1"/>
  <c r="P579" i="1"/>
  <c r="M580" i="1"/>
  <c r="N580" i="1"/>
  <c r="O580" i="1"/>
  <c r="P580" i="1"/>
  <c r="M581" i="1"/>
  <c r="N581" i="1"/>
  <c r="O581" i="1"/>
  <c r="P581" i="1"/>
  <c r="M582" i="1"/>
  <c r="N582" i="1"/>
  <c r="O582" i="1"/>
  <c r="P582" i="1"/>
  <c r="M583" i="1"/>
  <c r="N583" i="1"/>
  <c r="O583" i="1"/>
  <c r="P583" i="1"/>
  <c r="M584" i="1"/>
  <c r="N584" i="1"/>
  <c r="O584" i="1"/>
  <c r="P584" i="1"/>
  <c r="M585" i="1"/>
  <c r="N585" i="1"/>
  <c r="O585" i="1"/>
  <c r="P585" i="1"/>
  <c r="M586" i="1"/>
  <c r="N586" i="1"/>
  <c r="O586" i="1"/>
  <c r="P586" i="1"/>
  <c r="M587" i="1"/>
  <c r="N587" i="1"/>
  <c r="O587" i="1"/>
  <c r="P587" i="1"/>
  <c r="M588" i="1"/>
  <c r="N588" i="1"/>
  <c r="O588" i="1"/>
  <c r="P588" i="1"/>
  <c r="M589" i="1"/>
  <c r="N589" i="1"/>
  <c r="O589" i="1"/>
  <c r="P589" i="1"/>
  <c r="M590" i="1"/>
  <c r="N590" i="1"/>
  <c r="O590" i="1"/>
  <c r="P590" i="1"/>
  <c r="M591" i="1"/>
  <c r="N591" i="1"/>
  <c r="O591" i="1"/>
  <c r="P591" i="1"/>
  <c r="M592" i="1"/>
  <c r="N592" i="1"/>
  <c r="O592" i="1"/>
  <c r="P592" i="1"/>
  <c r="M593" i="1"/>
  <c r="N593" i="1"/>
  <c r="O593" i="1"/>
  <c r="P593" i="1"/>
  <c r="M594" i="1"/>
  <c r="N594" i="1"/>
  <c r="O594" i="1"/>
  <c r="P594" i="1"/>
  <c r="M595" i="1"/>
  <c r="N595" i="1"/>
  <c r="O595" i="1"/>
  <c r="P595" i="1"/>
  <c r="M596" i="1"/>
  <c r="N596" i="1"/>
  <c r="O596" i="1"/>
  <c r="P596" i="1"/>
  <c r="M597" i="1"/>
  <c r="N597" i="1"/>
  <c r="O597" i="1"/>
  <c r="P597" i="1"/>
  <c r="M598" i="1"/>
  <c r="N598" i="1"/>
  <c r="O598" i="1"/>
  <c r="P598" i="1"/>
  <c r="M599" i="1"/>
  <c r="N599" i="1"/>
  <c r="O599" i="1"/>
  <c r="P599" i="1"/>
  <c r="M600" i="1"/>
  <c r="N600" i="1"/>
  <c r="O600" i="1"/>
  <c r="P600" i="1"/>
  <c r="M601" i="1"/>
  <c r="N601" i="1"/>
  <c r="O601" i="1"/>
  <c r="P601" i="1"/>
  <c r="M602" i="1"/>
  <c r="N602" i="1"/>
  <c r="O602" i="1"/>
  <c r="P602" i="1"/>
  <c r="M603" i="1"/>
  <c r="N603" i="1"/>
  <c r="O603" i="1"/>
  <c r="P603" i="1"/>
  <c r="M604" i="1"/>
  <c r="N604" i="1"/>
  <c r="O604" i="1"/>
  <c r="P604" i="1"/>
  <c r="M605" i="1"/>
  <c r="N605" i="1"/>
  <c r="O605" i="1"/>
  <c r="P605" i="1"/>
  <c r="M606" i="1"/>
  <c r="N606" i="1"/>
  <c r="O606" i="1"/>
  <c r="P606" i="1"/>
  <c r="M607" i="1"/>
  <c r="N607" i="1"/>
  <c r="O607" i="1"/>
  <c r="P607" i="1"/>
  <c r="M608" i="1"/>
  <c r="N608" i="1"/>
  <c r="O608" i="1"/>
  <c r="P608" i="1"/>
  <c r="M609" i="1"/>
  <c r="N609" i="1"/>
  <c r="O609" i="1"/>
  <c r="P609" i="1"/>
  <c r="M610" i="1"/>
  <c r="N610" i="1"/>
  <c r="O610" i="1"/>
  <c r="P610" i="1"/>
  <c r="M611" i="1"/>
  <c r="N611" i="1"/>
  <c r="O611" i="1"/>
  <c r="P611" i="1"/>
  <c r="M612" i="1"/>
  <c r="N612" i="1"/>
  <c r="O612" i="1"/>
  <c r="P612" i="1"/>
  <c r="M613" i="1"/>
  <c r="N613" i="1"/>
  <c r="O613" i="1"/>
  <c r="P613" i="1"/>
  <c r="M614" i="1"/>
  <c r="N614" i="1"/>
  <c r="O614" i="1"/>
  <c r="P614" i="1"/>
  <c r="M615" i="1"/>
  <c r="N615" i="1"/>
  <c r="O615" i="1"/>
  <c r="P615" i="1"/>
  <c r="M616" i="1"/>
  <c r="N616" i="1"/>
  <c r="O616" i="1"/>
  <c r="P616" i="1"/>
  <c r="M617" i="1"/>
  <c r="N617" i="1"/>
  <c r="O617" i="1"/>
  <c r="P617" i="1"/>
  <c r="M618" i="1"/>
  <c r="N618" i="1"/>
  <c r="O618" i="1"/>
  <c r="P618" i="1"/>
  <c r="M619" i="1"/>
  <c r="N619" i="1"/>
  <c r="O619" i="1"/>
  <c r="P619" i="1"/>
  <c r="M620" i="1"/>
  <c r="N620" i="1"/>
  <c r="O620" i="1"/>
  <c r="P620" i="1"/>
  <c r="M621" i="1"/>
  <c r="N621" i="1"/>
  <c r="O621" i="1"/>
  <c r="P621" i="1"/>
  <c r="M622" i="1"/>
  <c r="N622" i="1"/>
  <c r="O622" i="1"/>
  <c r="P622" i="1"/>
  <c r="M623" i="1"/>
  <c r="N623" i="1"/>
  <c r="O623" i="1"/>
  <c r="P623" i="1"/>
  <c r="M624" i="1"/>
  <c r="N624" i="1"/>
  <c r="O624" i="1"/>
  <c r="P624" i="1"/>
  <c r="M625" i="1"/>
  <c r="N625" i="1"/>
  <c r="O625" i="1"/>
  <c r="P625" i="1"/>
  <c r="M626" i="1"/>
  <c r="N626" i="1"/>
  <c r="O626" i="1"/>
  <c r="P626" i="1"/>
  <c r="M627" i="1"/>
  <c r="N627" i="1"/>
  <c r="O627" i="1"/>
  <c r="P627" i="1"/>
  <c r="M628" i="1"/>
  <c r="N628" i="1"/>
  <c r="O628" i="1"/>
  <c r="P628" i="1"/>
  <c r="M629" i="1"/>
  <c r="N629" i="1"/>
  <c r="O629" i="1"/>
  <c r="P629" i="1"/>
  <c r="M630" i="1"/>
  <c r="N630" i="1"/>
  <c r="O630" i="1"/>
  <c r="P630" i="1"/>
  <c r="M631" i="1"/>
  <c r="N631" i="1"/>
  <c r="O631" i="1"/>
  <c r="P631" i="1"/>
  <c r="M632" i="1"/>
  <c r="N632" i="1"/>
  <c r="O632" i="1"/>
  <c r="P632" i="1"/>
  <c r="M633" i="1"/>
  <c r="N633" i="1"/>
  <c r="O633" i="1"/>
  <c r="P633" i="1"/>
  <c r="M634" i="1"/>
  <c r="N634" i="1"/>
  <c r="O634" i="1"/>
  <c r="P634" i="1"/>
  <c r="M635" i="1"/>
  <c r="N635" i="1"/>
  <c r="O635" i="1"/>
  <c r="P635" i="1"/>
  <c r="M636" i="1"/>
  <c r="N636" i="1"/>
  <c r="O636" i="1"/>
  <c r="P636" i="1"/>
  <c r="M637" i="1"/>
  <c r="N637" i="1"/>
  <c r="O637" i="1"/>
  <c r="P637" i="1"/>
  <c r="M638" i="1"/>
  <c r="N638" i="1"/>
  <c r="O638" i="1"/>
  <c r="P638" i="1"/>
  <c r="M639" i="1"/>
  <c r="N639" i="1"/>
  <c r="O639" i="1"/>
  <c r="P639" i="1"/>
  <c r="M640" i="1"/>
  <c r="N640" i="1"/>
  <c r="O640" i="1"/>
  <c r="P640" i="1"/>
  <c r="M641" i="1"/>
  <c r="N641" i="1"/>
  <c r="O641" i="1"/>
  <c r="P641" i="1"/>
  <c r="M642" i="1"/>
  <c r="N642" i="1"/>
  <c r="O642" i="1"/>
  <c r="P642" i="1"/>
  <c r="M643" i="1"/>
  <c r="N643" i="1"/>
  <c r="O643" i="1"/>
  <c r="P643" i="1"/>
  <c r="M644" i="1"/>
  <c r="N644" i="1"/>
  <c r="O644" i="1"/>
  <c r="P644" i="1"/>
  <c r="M645" i="1"/>
  <c r="N645" i="1"/>
  <c r="O645" i="1"/>
  <c r="P645" i="1"/>
  <c r="M646" i="1"/>
  <c r="N646" i="1"/>
  <c r="O646" i="1"/>
  <c r="P646" i="1"/>
  <c r="M647" i="1"/>
  <c r="N647" i="1"/>
  <c r="O647" i="1"/>
  <c r="P647" i="1"/>
  <c r="M648" i="1"/>
  <c r="N648" i="1"/>
  <c r="O648" i="1"/>
  <c r="P648" i="1"/>
  <c r="M649" i="1"/>
  <c r="N649" i="1"/>
  <c r="O649" i="1"/>
  <c r="P649" i="1"/>
  <c r="M650" i="1"/>
  <c r="N650" i="1"/>
  <c r="O650" i="1"/>
  <c r="P650" i="1"/>
  <c r="M651" i="1"/>
  <c r="N651" i="1"/>
  <c r="O651" i="1"/>
  <c r="P651" i="1"/>
  <c r="M652" i="1"/>
  <c r="N652" i="1"/>
  <c r="O652" i="1"/>
  <c r="P652" i="1"/>
  <c r="M653" i="1"/>
  <c r="N653" i="1"/>
  <c r="O653" i="1"/>
  <c r="P653" i="1"/>
  <c r="M654" i="1"/>
  <c r="N654" i="1"/>
  <c r="O654" i="1"/>
  <c r="P654" i="1"/>
  <c r="M655" i="1"/>
  <c r="N655" i="1"/>
  <c r="O655" i="1"/>
  <c r="P655" i="1"/>
  <c r="M656" i="1"/>
  <c r="N656" i="1"/>
  <c r="O656" i="1"/>
  <c r="P656" i="1"/>
  <c r="M657" i="1"/>
  <c r="N657" i="1"/>
  <c r="O657" i="1"/>
  <c r="P657" i="1"/>
  <c r="M658" i="1"/>
  <c r="N658" i="1"/>
  <c r="O658" i="1"/>
  <c r="P658" i="1"/>
  <c r="M659" i="1"/>
  <c r="N659" i="1"/>
  <c r="O659" i="1"/>
  <c r="P659" i="1"/>
  <c r="M660" i="1"/>
  <c r="N660" i="1"/>
  <c r="O660" i="1"/>
  <c r="P660" i="1"/>
  <c r="M661" i="1"/>
  <c r="N661" i="1"/>
  <c r="O661" i="1"/>
  <c r="P661" i="1"/>
  <c r="M662" i="1"/>
  <c r="N662" i="1"/>
  <c r="O662" i="1"/>
  <c r="P662" i="1"/>
  <c r="M663" i="1"/>
  <c r="N663" i="1"/>
  <c r="O663" i="1"/>
  <c r="P663" i="1"/>
  <c r="M664" i="1"/>
  <c r="N664" i="1"/>
  <c r="O664" i="1"/>
  <c r="P664" i="1"/>
  <c r="M665" i="1"/>
  <c r="N665" i="1"/>
  <c r="O665" i="1"/>
  <c r="P665" i="1"/>
  <c r="M666" i="1"/>
  <c r="N666" i="1"/>
  <c r="O666" i="1"/>
  <c r="P666" i="1"/>
  <c r="M667" i="1"/>
  <c r="N667" i="1"/>
  <c r="O667" i="1"/>
  <c r="P667" i="1"/>
  <c r="M668" i="1"/>
  <c r="N668" i="1"/>
  <c r="O668" i="1"/>
  <c r="P668" i="1"/>
  <c r="M669" i="1"/>
  <c r="N669" i="1"/>
  <c r="O669" i="1"/>
  <c r="P669" i="1"/>
  <c r="M670" i="1"/>
  <c r="N670" i="1"/>
  <c r="O670" i="1"/>
  <c r="P670" i="1"/>
  <c r="M671" i="1"/>
  <c r="N671" i="1"/>
  <c r="O671" i="1"/>
  <c r="P671" i="1"/>
  <c r="M672" i="1"/>
  <c r="N672" i="1"/>
  <c r="O672" i="1"/>
  <c r="P672" i="1"/>
  <c r="M673" i="1"/>
  <c r="N673" i="1"/>
  <c r="O673" i="1"/>
  <c r="P673" i="1"/>
  <c r="M674" i="1"/>
  <c r="N674" i="1"/>
  <c r="O674" i="1"/>
  <c r="P674" i="1"/>
  <c r="M675" i="1"/>
  <c r="N675" i="1"/>
  <c r="O675" i="1"/>
  <c r="P675" i="1"/>
  <c r="M676" i="1"/>
  <c r="N676" i="1"/>
  <c r="O676" i="1"/>
  <c r="P676" i="1"/>
  <c r="M677" i="1"/>
  <c r="N677" i="1"/>
  <c r="O677" i="1"/>
  <c r="P677" i="1"/>
  <c r="M678" i="1"/>
  <c r="N678" i="1"/>
  <c r="O678" i="1"/>
  <c r="P678" i="1"/>
  <c r="M679" i="1"/>
  <c r="N679" i="1"/>
  <c r="O679" i="1"/>
  <c r="P679" i="1"/>
  <c r="M680" i="1"/>
  <c r="N680" i="1"/>
  <c r="O680" i="1"/>
  <c r="P680" i="1"/>
  <c r="M681" i="1"/>
  <c r="N681" i="1"/>
  <c r="O681" i="1"/>
  <c r="P681" i="1"/>
  <c r="M682" i="1"/>
  <c r="N682" i="1"/>
  <c r="O682" i="1"/>
  <c r="P682" i="1"/>
  <c r="M683" i="1"/>
  <c r="N683" i="1"/>
  <c r="O683" i="1"/>
  <c r="P683" i="1"/>
  <c r="M684" i="1"/>
  <c r="N684" i="1"/>
  <c r="O684" i="1"/>
  <c r="P684" i="1"/>
  <c r="M685" i="1"/>
  <c r="N685" i="1"/>
  <c r="O685" i="1"/>
  <c r="P685" i="1"/>
  <c r="M686" i="1"/>
  <c r="N686" i="1"/>
  <c r="O686" i="1"/>
  <c r="P686" i="1"/>
  <c r="M687" i="1"/>
  <c r="N687" i="1"/>
  <c r="O687" i="1"/>
  <c r="P687" i="1"/>
  <c r="M688" i="1"/>
  <c r="N688" i="1"/>
  <c r="O688" i="1"/>
  <c r="P688" i="1"/>
  <c r="M689" i="1"/>
  <c r="N689" i="1"/>
  <c r="O689" i="1"/>
  <c r="P689" i="1"/>
  <c r="M690" i="1"/>
  <c r="N690" i="1"/>
  <c r="O690" i="1"/>
  <c r="P690" i="1"/>
  <c r="M691" i="1"/>
  <c r="N691" i="1"/>
  <c r="O691" i="1"/>
  <c r="P691" i="1"/>
  <c r="M692" i="1"/>
  <c r="N692" i="1"/>
  <c r="O692" i="1"/>
  <c r="P692" i="1"/>
  <c r="M693" i="1"/>
  <c r="N693" i="1"/>
  <c r="O693" i="1"/>
  <c r="P693" i="1"/>
  <c r="M694" i="1"/>
  <c r="N694" i="1"/>
  <c r="O694" i="1"/>
  <c r="P694" i="1"/>
  <c r="M695" i="1"/>
  <c r="N695" i="1"/>
  <c r="O695" i="1"/>
  <c r="P695" i="1"/>
  <c r="M696" i="1"/>
  <c r="N696" i="1"/>
  <c r="O696" i="1"/>
  <c r="P696" i="1"/>
  <c r="M697" i="1"/>
  <c r="N697" i="1"/>
  <c r="O697" i="1"/>
  <c r="P697" i="1"/>
  <c r="M698" i="1"/>
  <c r="N698" i="1"/>
  <c r="O698" i="1"/>
  <c r="P698" i="1"/>
  <c r="M699" i="1"/>
  <c r="N699" i="1"/>
  <c r="O699" i="1"/>
  <c r="P699" i="1"/>
  <c r="M700" i="1"/>
  <c r="N700" i="1"/>
  <c r="O700" i="1"/>
  <c r="P700" i="1"/>
  <c r="M701" i="1"/>
  <c r="N701" i="1"/>
  <c r="O701" i="1"/>
  <c r="P701" i="1"/>
  <c r="M702" i="1"/>
  <c r="N702" i="1"/>
  <c r="O702" i="1"/>
  <c r="P702" i="1"/>
  <c r="M703" i="1"/>
  <c r="N703" i="1"/>
  <c r="O703" i="1"/>
  <c r="P703" i="1"/>
  <c r="M704" i="1"/>
  <c r="N704" i="1"/>
  <c r="O704" i="1"/>
  <c r="P704" i="1"/>
  <c r="M705" i="1"/>
  <c r="N705" i="1"/>
  <c r="O705" i="1"/>
  <c r="P705" i="1"/>
  <c r="M706" i="1"/>
  <c r="N706" i="1"/>
  <c r="O706" i="1"/>
  <c r="P706" i="1"/>
  <c r="M707" i="1"/>
  <c r="N707" i="1"/>
  <c r="O707" i="1"/>
  <c r="P707" i="1"/>
  <c r="M708" i="1"/>
  <c r="N708" i="1"/>
  <c r="O708" i="1"/>
  <c r="P708" i="1"/>
  <c r="M709" i="1"/>
  <c r="N709" i="1"/>
  <c r="O709" i="1"/>
  <c r="P709" i="1"/>
  <c r="M710" i="1"/>
  <c r="N710" i="1"/>
  <c r="O710" i="1"/>
  <c r="P710" i="1"/>
  <c r="M711" i="1"/>
  <c r="N711" i="1"/>
  <c r="O711" i="1"/>
  <c r="P711" i="1"/>
  <c r="M712" i="1"/>
  <c r="N712" i="1"/>
  <c r="O712" i="1"/>
  <c r="P712" i="1"/>
  <c r="M713" i="1"/>
  <c r="N713" i="1"/>
  <c r="O713" i="1"/>
  <c r="P713" i="1"/>
  <c r="M714" i="1"/>
  <c r="N714" i="1"/>
  <c r="O714" i="1"/>
  <c r="P714" i="1"/>
  <c r="M715" i="1"/>
  <c r="N715" i="1"/>
  <c r="O715" i="1"/>
  <c r="P715" i="1"/>
  <c r="M716" i="1"/>
  <c r="N716" i="1"/>
  <c r="O716" i="1"/>
  <c r="P716" i="1"/>
  <c r="M717" i="1"/>
  <c r="N717" i="1"/>
  <c r="O717" i="1"/>
  <c r="P717" i="1"/>
  <c r="M718" i="1"/>
  <c r="N718" i="1"/>
  <c r="O718" i="1"/>
  <c r="P718" i="1"/>
  <c r="M719" i="1"/>
  <c r="N719" i="1"/>
  <c r="O719" i="1"/>
  <c r="P719" i="1"/>
  <c r="M720" i="1"/>
  <c r="N720" i="1"/>
  <c r="O720" i="1"/>
  <c r="P720" i="1"/>
  <c r="M721" i="1"/>
  <c r="N721" i="1"/>
  <c r="O721" i="1"/>
  <c r="P721" i="1"/>
  <c r="M722" i="1"/>
  <c r="N722" i="1"/>
  <c r="O722" i="1"/>
  <c r="P722" i="1"/>
  <c r="M723" i="1"/>
  <c r="N723" i="1"/>
  <c r="O723" i="1"/>
  <c r="P723" i="1"/>
  <c r="M724" i="1"/>
  <c r="N724" i="1"/>
  <c r="O724" i="1"/>
  <c r="P724" i="1"/>
  <c r="M725" i="1"/>
  <c r="N725" i="1"/>
  <c r="O725" i="1"/>
  <c r="P725" i="1"/>
  <c r="M726" i="1"/>
  <c r="N726" i="1"/>
  <c r="O726" i="1"/>
  <c r="P726" i="1"/>
  <c r="M727" i="1"/>
  <c r="N727" i="1"/>
  <c r="O727" i="1"/>
  <c r="P727" i="1"/>
  <c r="M728" i="1"/>
  <c r="N728" i="1"/>
  <c r="O728" i="1"/>
  <c r="P728" i="1"/>
  <c r="M729" i="1"/>
  <c r="N729" i="1"/>
  <c r="O729" i="1"/>
  <c r="P729" i="1"/>
  <c r="M730" i="1"/>
  <c r="N730" i="1"/>
  <c r="O730" i="1"/>
  <c r="P730" i="1"/>
  <c r="M731" i="1"/>
  <c r="N731" i="1"/>
  <c r="O731" i="1"/>
  <c r="P731" i="1"/>
  <c r="M732" i="1"/>
  <c r="N732" i="1"/>
  <c r="O732" i="1"/>
  <c r="P732" i="1"/>
  <c r="M733" i="1"/>
  <c r="N733" i="1"/>
  <c r="O733" i="1"/>
  <c r="P733" i="1"/>
  <c r="M734" i="1"/>
  <c r="N734" i="1"/>
  <c r="O734" i="1"/>
  <c r="P734" i="1"/>
  <c r="M735" i="1"/>
  <c r="N735" i="1"/>
  <c r="O735" i="1"/>
  <c r="P735" i="1"/>
  <c r="M736" i="1"/>
  <c r="N736" i="1"/>
  <c r="O736" i="1"/>
  <c r="P736" i="1"/>
  <c r="M737" i="1"/>
  <c r="N737" i="1"/>
  <c r="O737" i="1"/>
  <c r="P737" i="1"/>
  <c r="M738" i="1"/>
  <c r="N738" i="1"/>
  <c r="O738" i="1"/>
  <c r="P738" i="1"/>
  <c r="M739" i="1"/>
  <c r="N739" i="1"/>
  <c r="O739" i="1"/>
  <c r="P739" i="1"/>
  <c r="M740" i="1"/>
  <c r="N740" i="1"/>
  <c r="O740" i="1"/>
  <c r="P740" i="1"/>
  <c r="M741" i="1"/>
  <c r="N741" i="1"/>
  <c r="O741" i="1"/>
  <c r="P741" i="1"/>
  <c r="M742" i="1"/>
  <c r="N742" i="1"/>
  <c r="O742" i="1"/>
  <c r="P742" i="1"/>
  <c r="M743" i="1"/>
  <c r="N743" i="1"/>
  <c r="O743" i="1"/>
  <c r="P743" i="1"/>
  <c r="M744" i="1"/>
  <c r="N744" i="1"/>
  <c r="O744" i="1"/>
  <c r="P744" i="1"/>
  <c r="M745" i="1"/>
  <c r="N745" i="1"/>
  <c r="O745" i="1"/>
  <c r="P745" i="1"/>
  <c r="M746" i="1"/>
  <c r="N746" i="1"/>
  <c r="O746" i="1"/>
  <c r="P746" i="1"/>
  <c r="M747" i="1"/>
  <c r="N747" i="1"/>
  <c r="O747" i="1"/>
  <c r="P747" i="1"/>
  <c r="M748" i="1"/>
  <c r="N748" i="1"/>
  <c r="O748" i="1"/>
  <c r="P748" i="1"/>
  <c r="M749" i="1"/>
  <c r="N749" i="1"/>
  <c r="O749" i="1"/>
  <c r="P749" i="1"/>
  <c r="M750" i="1"/>
  <c r="N750" i="1"/>
  <c r="O750" i="1"/>
  <c r="P750" i="1"/>
  <c r="M751" i="1"/>
  <c r="N751" i="1"/>
  <c r="O751" i="1"/>
  <c r="P751" i="1"/>
  <c r="M752" i="1"/>
  <c r="N752" i="1"/>
  <c r="O752" i="1"/>
  <c r="P752" i="1"/>
  <c r="M753" i="1"/>
  <c r="N753" i="1"/>
  <c r="O753" i="1"/>
  <c r="P753" i="1"/>
  <c r="M754" i="1"/>
  <c r="N754" i="1"/>
  <c r="O754" i="1"/>
  <c r="P754" i="1"/>
  <c r="M755" i="1"/>
  <c r="N755" i="1"/>
  <c r="O755" i="1"/>
  <c r="P755" i="1"/>
  <c r="M756" i="1"/>
  <c r="N756" i="1"/>
  <c r="O756" i="1"/>
  <c r="P756" i="1"/>
  <c r="M757" i="1"/>
  <c r="N757" i="1"/>
  <c r="O757" i="1"/>
  <c r="P757" i="1"/>
  <c r="M758" i="1"/>
  <c r="N758" i="1"/>
  <c r="O758" i="1"/>
  <c r="P758" i="1"/>
  <c r="M759" i="1"/>
  <c r="N759" i="1"/>
  <c r="O759" i="1"/>
  <c r="P759" i="1"/>
  <c r="M760" i="1"/>
  <c r="N760" i="1"/>
  <c r="O760" i="1"/>
  <c r="P760" i="1"/>
  <c r="M761" i="1"/>
  <c r="N761" i="1"/>
  <c r="O761" i="1"/>
  <c r="P761" i="1"/>
  <c r="M762" i="1"/>
  <c r="N762" i="1"/>
  <c r="O762" i="1"/>
  <c r="P762" i="1"/>
  <c r="M763" i="1"/>
  <c r="N763" i="1"/>
  <c r="O763" i="1"/>
  <c r="P763" i="1"/>
  <c r="P3" i="1"/>
  <c r="O3" i="1"/>
  <c r="N3" i="1"/>
  <c r="M3" i="1"/>
  <c r="T758" i="1" l="1"/>
  <c r="M767" i="1"/>
  <c r="Q177" i="1" s="1"/>
  <c r="M766" i="1"/>
  <c r="M764" i="1"/>
  <c r="M768" i="1"/>
  <c r="M765" i="1"/>
  <c r="T476" i="1"/>
  <c r="T686" i="1"/>
  <c r="T728" i="1"/>
  <c r="T722" i="1"/>
  <c r="Q729" i="1"/>
  <c r="Q531" i="1"/>
  <c r="Q231" i="1"/>
  <c r="T746" i="1"/>
  <c r="T704" i="1"/>
  <c r="R729" i="1"/>
  <c r="R657" i="1"/>
  <c r="R567" i="1"/>
  <c r="Q705" i="1"/>
  <c r="Q669" i="1"/>
  <c r="Q603" i="1"/>
  <c r="Q645" i="1"/>
  <c r="T662" i="1"/>
  <c r="Q693" i="1"/>
  <c r="Q663" i="1"/>
  <c r="Q585" i="1"/>
  <c r="Q555" i="1"/>
  <c r="Q495" i="1"/>
  <c r="Q465" i="1"/>
  <c r="Q435" i="1"/>
  <c r="Q273" i="1"/>
  <c r="Q225" i="1"/>
  <c r="Q201" i="1"/>
  <c r="Q129" i="1"/>
  <c r="Q105" i="1"/>
  <c r="T674" i="1"/>
  <c r="R621" i="1"/>
  <c r="Q723" i="1"/>
  <c r="Q699" i="1"/>
  <c r="Q687" i="1"/>
  <c r="Q543" i="1"/>
  <c r="Q501" i="1"/>
  <c r="Q477" i="1"/>
  <c r="Q441" i="1"/>
  <c r="Q423" i="1"/>
  <c r="Q381" i="1"/>
  <c r="Q357" i="1"/>
  <c r="Q303" i="1"/>
  <c r="Q285" i="1"/>
  <c r="Q243" i="1"/>
  <c r="Q213" i="1"/>
  <c r="Q195" i="1"/>
  <c r="R579" i="1"/>
  <c r="Q711" i="1"/>
  <c r="Q681" i="1"/>
  <c r="Q615" i="1"/>
  <c r="Q579" i="1"/>
  <c r="Q507" i="1"/>
  <c r="Q483" i="1"/>
  <c r="Q429" i="1"/>
  <c r="Q393" i="1"/>
  <c r="Q369" i="1"/>
  <c r="Q183" i="1"/>
  <c r="Q135" i="1"/>
  <c r="Q99" i="1"/>
  <c r="T692" i="1"/>
  <c r="Q759" i="1"/>
  <c r="Q717" i="1"/>
  <c r="Q633" i="1"/>
  <c r="Q597" i="1"/>
  <c r="Q567" i="1"/>
  <c r="Q339" i="1"/>
  <c r="Q279" i="1"/>
  <c r="Q255" i="1"/>
  <c r="Q165" i="1"/>
  <c r="Q141" i="1"/>
  <c r="Q117" i="1"/>
  <c r="Q93" i="1"/>
  <c r="Q81" i="1"/>
  <c r="Q75" i="1"/>
  <c r="Q63" i="1"/>
  <c r="Q57" i="1"/>
  <c r="Q21" i="1"/>
  <c r="Q566" i="1"/>
  <c r="T691" i="1"/>
  <c r="T409" i="1"/>
  <c r="R435" i="1"/>
  <c r="R399" i="1"/>
  <c r="R393" i="1"/>
  <c r="R375" i="1"/>
  <c r="R123" i="1"/>
  <c r="R93" i="1"/>
  <c r="R87" i="1"/>
  <c r="R69" i="1"/>
  <c r="Q9" i="1"/>
  <c r="T56" i="1"/>
  <c r="T7" i="1"/>
  <c r="T62" i="1"/>
  <c r="Q524" i="1"/>
  <c r="Q74" i="1"/>
  <c r="T763" i="1"/>
  <c r="T325" i="1"/>
  <c r="T289" i="1"/>
  <c r="T277" i="1"/>
  <c r="T247" i="1"/>
  <c r="T229" i="1"/>
  <c r="T217" i="1"/>
  <c r="T187" i="1"/>
  <c r="T169" i="1"/>
  <c r="T157" i="1"/>
  <c r="T145" i="1"/>
  <c r="T133" i="1"/>
  <c r="T121" i="1"/>
  <c r="T109" i="1"/>
  <c r="T97" i="1"/>
  <c r="T85" i="1"/>
  <c r="Q488" i="1"/>
  <c r="Q68" i="1"/>
  <c r="T613" i="1"/>
  <c r="T529" i="1"/>
  <c r="T475" i="1"/>
  <c r="T433" i="1"/>
  <c r="T427" i="1"/>
  <c r="T415" i="1"/>
  <c r="T403" i="1"/>
  <c r="T397" i="1"/>
  <c r="T349" i="1"/>
  <c r="T331" i="1"/>
  <c r="T319" i="1"/>
  <c r="T313" i="1"/>
  <c r="T241" i="1"/>
  <c r="T223" i="1"/>
  <c r="T211" i="1"/>
  <c r="T193" i="1"/>
  <c r="T181" i="1"/>
  <c r="T175" i="1"/>
  <c r="T151" i="1"/>
  <c r="T139" i="1"/>
  <c r="T127" i="1"/>
  <c r="T115" i="1"/>
  <c r="T103" i="1"/>
  <c r="T91" i="1"/>
  <c r="T79" i="1"/>
  <c r="T73" i="1"/>
  <c r="T61" i="1"/>
  <c r="Q7" i="1"/>
  <c r="T650" i="1"/>
  <c r="T602" i="1"/>
  <c r="T572" i="1"/>
  <c r="T548" i="1"/>
  <c r="T458" i="1"/>
  <c r="T428" i="1"/>
  <c r="T398" i="1"/>
  <c r="T362" i="1"/>
  <c r="T332" i="1"/>
  <c r="T308" i="1"/>
  <c r="T284" i="1"/>
  <c r="T260" i="1"/>
  <c r="T230" i="1"/>
  <c r="T50" i="1"/>
  <c r="Q710" i="1"/>
  <c r="Q602" i="1"/>
  <c r="Q548" i="1"/>
  <c r="Q506" i="1"/>
  <c r="Q464" i="1"/>
  <c r="Q422" i="1"/>
  <c r="Q386" i="1"/>
  <c r="Q206" i="1"/>
  <c r="Q146" i="1"/>
  <c r="Q122" i="1"/>
  <c r="T715" i="1"/>
  <c r="T655" i="1"/>
  <c r="T505" i="1"/>
  <c r="T343" i="1"/>
  <c r="T12" i="1"/>
  <c r="Q6" i="1"/>
  <c r="T638" i="1"/>
  <c r="T590" i="1"/>
  <c r="T536" i="1"/>
  <c r="T482" i="1"/>
  <c r="T176" i="1"/>
  <c r="T92" i="1"/>
  <c r="T44" i="1"/>
  <c r="N768" i="1"/>
  <c r="N766" i="1"/>
  <c r="N764" i="1"/>
  <c r="R417" i="1" s="1"/>
  <c r="N767" i="1"/>
  <c r="N765" i="1"/>
  <c r="S614" i="1"/>
  <c r="S554" i="1"/>
  <c r="S398" i="1"/>
  <c r="Q758" i="1"/>
  <c r="Q722" i="1"/>
  <c r="Q692" i="1"/>
  <c r="Q482" i="1"/>
  <c r="Q410" i="1"/>
  <c r="Q380" i="1"/>
  <c r="Q242" i="1"/>
  <c r="Q212" i="1"/>
  <c r="Q110" i="1"/>
  <c r="Q44" i="1"/>
  <c r="T733" i="1"/>
  <c r="T667" i="1"/>
  <c r="T625" i="1"/>
  <c r="T553" i="1"/>
  <c r="T511" i="1"/>
  <c r="T463" i="1"/>
  <c r="T373" i="1"/>
  <c r="Q505" i="1"/>
  <c r="Q427" i="1"/>
  <c r="Q391" i="1"/>
  <c r="Q271" i="1"/>
  <c r="Q247" i="1"/>
  <c r="Q199" i="1"/>
  <c r="Q181" i="1"/>
  <c r="Q121" i="1"/>
  <c r="Q103" i="1"/>
  <c r="Q73" i="1"/>
  <c r="Q61" i="1"/>
  <c r="Q43" i="1"/>
  <c r="T750" i="1"/>
  <c r="T608" i="1"/>
  <c r="T518" i="1"/>
  <c r="T464" i="1"/>
  <c r="T356" i="1"/>
  <c r="T302" i="1"/>
  <c r="T254" i="1"/>
  <c r="T206" i="1"/>
  <c r="T158" i="1"/>
  <c r="T104" i="1"/>
  <c r="T32" i="1"/>
  <c r="R272" i="1"/>
  <c r="R44" i="1"/>
  <c r="Q698" i="1"/>
  <c r="Q662" i="1"/>
  <c r="Q530" i="1"/>
  <c r="Q470" i="1"/>
  <c r="Q350" i="1"/>
  <c r="Q302" i="1"/>
  <c r="Q218" i="1"/>
  <c r="Q176" i="1"/>
  <c r="Q152" i="1"/>
  <c r="Q116" i="1"/>
  <c r="Q56" i="1"/>
  <c r="T751" i="1"/>
  <c r="Q721" i="1"/>
  <c r="Q643" i="1"/>
  <c r="Q601" i="1"/>
  <c r="Q475" i="1"/>
  <c r="Q433" i="1"/>
  <c r="Q343" i="1"/>
  <c r="Q313" i="1"/>
  <c r="Q253" i="1"/>
  <c r="Q229" i="1"/>
  <c r="Q205" i="1"/>
  <c r="Q175" i="1"/>
  <c r="Q145" i="1"/>
  <c r="Q109" i="1"/>
  <c r="T420" i="1"/>
  <c r="S668" i="1"/>
  <c r="R146" i="1"/>
  <c r="Q716" i="1"/>
  <c r="Q14" i="1"/>
  <c r="T721" i="1"/>
  <c r="Q361" i="1"/>
  <c r="Q49" i="1"/>
  <c r="T80" i="1"/>
  <c r="P766" i="1"/>
  <c r="P764" i="1"/>
  <c r="T446" i="1" s="1"/>
  <c r="P767" i="1"/>
  <c r="P769" i="1" s="1"/>
  <c r="P770" i="1" s="1"/>
  <c r="P765" i="1"/>
  <c r="P768" i="1"/>
  <c r="Q458" i="1"/>
  <c r="Q62" i="1"/>
  <c r="T595" i="1"/>
  <c r="Q511" i="1"/>
  <c r="Q55" i="1"/>
  <c r="T666" i="1"/>
  <c r="T468" i="1"/>
  <c r="T258" i="1"/>
  <c r="T54" i="1"/>
  <c r="T620" i="1"/>
  <c r="T578" i="1"/>
  <c r="T542" i="1"/>
  <c r="T494" i="1"/>
  <c r="T440" i="1"/>
  <c r="T392" i="1"/>
  <c r="T20" i="1"/>
  <c r="O766" i="1"/>
  <c r="O764" i="1"/>
  <c r="S495" i="1" s="1"/>
  <c r="O768" i="1"/>
  <c r="O767" i="1"/>
  <c r="O769" i="1" s="1"/>
  <c r="O770" i="1" s="1"/>
  <c r="O765" i="1"/>
  <c r="R338" i="1"/>
  <c r="R290" i="1"/>
  <c r="R152" i="1"/>
  <c r="Q752" i="1"/>
  <c r="Q704" i="1"/>
  <c r="Q656" i="1"/>
  <c r="Q614" i="1"/>
  <c r="Q554" i="1"/>
  <c r="Q182" i="1"/>
  <c r="Q98" i="1"/>
  <c r="Q32" i="1"/>
  <c r="T661" i="1"/>
  <c r="T607" i="1"/>
  <c r="T535" i="1"/>
  <c r="T469" i="1"/>
  <c r="T361" i="1"/>
  <c r="Q715" i="1"/>
  <c r="Q625" i="1"/>
  <c r="Q583" i="1"/>
  <c r="Q541" i="1"/>
  <c r="Q487" i="1"/>
  <c r="Q451" i="1"/>
  <c r="Q409" i="1"/>
  <c r="Q133" i="1"/>
  <c r="Q19" i="1"/>
  <c r="T738" i="1"/>
  <c r="T660" i="1"/>
  <c r="T630" i="1"/>
  <c r="T606" i="1"/>
  <c r="T570" i="1"/>
  <c r="T546" i="1"/>
  <c r="T516" i="1"/>
  <c r="T492" i="1"/>
  <c r="T462" i="1"/>
  <c r="T438" i="1"/>
  <c r="T402" i="1"/>
  <c r="T378" i="1"/>
  <c r="T354" i="1"/>
  <c r="T330" i="1"/>
  <c r="T584" i="1"/>
  <c r="T554" i="1"/>
  <c r="T500" i="1"/>
  <c r="T452" i="1"/>
  <c r="T368" i="1"/>
  <c r="T320" i="1"/>
  <c r="T272" i="1"/>
  <c r="T224" i="1"/>
  <c r="T170" i="1"/>
  <c r="T110" i="1"/>
  <c r="T38" i="1"/>
  <c r="R164" i="1"/>
  <c r="R116" i="1"/>
  <c r="Q452" i="1"/>
  <c r="Q338" i="1"/>
  <c r="Q290" i="1"/>
  <c r="Q128" i="1"/>
  <c r="Q26" i="1"/>
  <c r="T745" i="1"/>
  <c r="T703" i="1"/>
  <c r="T673" i="1"/>
  <c r="T649" i="1"/>
  <c r="T619" i="1"/>
  <c r="T577" i="1"/>
  <c r="T559" i="1"/>
  <c r="T547" i="1"/>
  <c r="T523" i="1"/>
  <c r="T499" i="1"/>
  <c r="Q571" i="1"/>
  <c r="Q481" i="1"/>
  <c r="Q445" i="1"/>
  <c r="Q325" i="1"/>
  <c r="Q283" i="1"/>
  <c r="Q193" i="1"/>
  <c r="Q139" i="1"/>
  <c r="Q25" i="1"/>
  <c r="T756" i="1"/>
  <c r="T726" i="1"/>
  <c r="T690" i="1"/>
  <c r="T654" i="1"/>
  <c r="T624" i="1"/>
  <c r="T486" i="1"/>
  <c r="T456" i="1"/>
  <c r="T426" i="1"/>
  <c r="T372" i="1"/>
  <c r="T348" i="1"/>
  <c r="T300" i="1"/>
  <c r="T282" i="1"/>
  <c r="T252" i="1"/>
  <c r="T234" i="1"/>
  <c r="T210" i="1"/>
  <c r="T180" i="1"/>
  <c r="T138" i="1"/>
  <c r="T48" i="1"/>
  <c r="T644" i="1"/>
  <c r="T596" i="1"/>
  <c r="T530" i="1"/>
  <c r="T470" i="1"/>
  <c r="T416" i="1"/>
  <c r="T188" i="1"/>
  <c r="T128" i="1"/>
  <c r="T14" i="1"/>
  <c r="S710" i="1"/>
  <c r="S680" i="1"/>
  <c r="S548" i="1"/>
  <c r="R86" i="1"/>
  <c r="R50" i="1"/>
  <c r="Q740" i="1"/>
  <c r="Q686" i="1"/>
  <c r="Q638" i="1"/>
  <c r="Q254" i="1"/>
  <c r="Q158" i="1"/>
  <c r="Q104" i="1"/>
  <c r="T697" i="1"/>
  <c r="T643" i="1"/>
  <c r="T565" i="1"/>
  <c r="T487" i="1"/>
  <c r="T355" i="1"/>
  <c r="Q751" i="1"/>
  <c r="Q709" i="1"/>
  <c r="Q679" i="1"/>
  <c r="Q631" i="1"/>
  <c r="Q595" i="1"/>
  <c r="Q553" i="1"/>
  <c r="Q523" i="1"/>
  <c r="Q259" i="1"/>
  <c r="Q163" i="1"/>
  <c r="Q127" i="1"/>
  <c r="T744" i="1"/>
  <c r="T708" i="1"/>
  <c r="T672" i="1"/>
  <c r="T636" i="1"/>
  <c r="T612" i="1"/>
  <c r="T576" i="1"/>
  <c r="T552" i="1"/>
  <c r="T534" i="1"/>
  <c r="T522" i="1"/>
  <c r="T498" i="1"/>
  <c r="T474" i="1"/>
  <c r="T444" i="1"/>
  <c r="T312" i="1"/>
  <c r="T288" i="1"/>
  <c r="T264" i="1"/>
  <c r="T222" i="1"/>
  <c r="T198" i="1"/>
  <c r="T156" i="1"/>
  <c r="T132" i="1"/>
  <c r="T96" i="1"/>
  <c r="T30" i="1"/>
  <c r="T614" i="1"/>
  <c r="T560" i="1"/>
  <c r="T512" i="1"/>
  <c r="T434" i="1"/>
  <c r="T386" i="1"/>
  <c r="T338" i="1"/>
  <c r="T290" i="1"/>
  <c r="T242" i="1"/>
  <c r="T194" i="1"/>
  <c r="S560" i="1"/>
  <c r="S410" i="1"/>
  <c r="Q632" i="1"/>
  <c r="Q590" i="1"/>
  <c r="Q494" i="1"/>
  <c r="Q440" i="1"/>
  <c r="Q356" i="1"/>
  <c r="Q314" i="1"/>
  <c r="Q266" i="1"/>
  <c r="Q224" i="1"/>
  <c r="Q188" i="1"/>
  <c r="Q134" i="1"/>
  <c r="T631" i="1"/>
  <c r="T583" i="1"/>
  <c r="T541" i="1"/>
  <c r="T379" i="1"/>
  <c r="Q733" i="1"/>
  <c r="Q613" i="1"/>
  <c r="Q589" i="1"/>
  <c r="Q535" i="1"/>
  <c r="Q499" i="1"/>
  <c r="Q439" i="1"/>
  <c r="Q421" i="1"/>
  <c r="Q397" i="1"/>
  <c r="Q355" i="1"/>
  <c r="Q319" i="1"/>
  <c r="Q277" i="1"/>
  <c r="T762" i="1"/>
  <c r="T678" i="1"/>
  <c r="T642" i="1"/>
  <c r="T588" i="1"/>
  <c r="T558" i="1"/>
  <c r="T528" i="1"/>
  <c r="T504" i="1"/>
  <c r="T480" i="1"/>
  <c r="T450" i="1"/>
  <c r="T414" i="1"/>
  <c r="T390" i="1"/>
  <c r="T366" i="1"/>
  <c r="T342" i="1"/>
  <c r="T318" i="1"/>
  <c r="T294" i="1"/>
  <c r="T276" i="1"/>
  <c r="T186" i="1"/>
  <c r="T168" i="1"/>
  <c r="T162" i="1"/>
  <c r="T144" i="1"/>
  <c r="T126" i="1"/>
  <c r="T114" i="1"/>
  <c r="T108" i="1"/>
  <c r="T102" i="1"/>
  <c r="T90" i="1"/>
  <c r="T84" i="1"/>
  <c r="T78" i="1"/>
  <c r="T72" i="1"/>
  <c r="T66" i="1"/>
  <c r="T60" i="1"/>
  <c r="T18" i="1"/>
  <c r="S711" i="1"/>
  <c r="S699" i="1"/>
  <c r="S477" i="1"/>
  <c r="S471" i="1"/>
  <c r="S453" i="1"/>
  <c r="S441" i="1"/>
  <c r="S435" i="1"/>
  <c r="S423" i="1"/>
  <c r="S267" i="1"/>
  <c r="S213" i="1"/>
  <c r="S207" i="1"/>
  <c r="S745" i="1"/>
  <c r="S733" i="1"/>
  <c r="S727" i="1"/>
  <c r="S709" i="1"/>
  <c r="S541" i="1"/>
  <c r="S499" i="1"/>
  <c r="S481" i="1"/>
  <c r="S463" i="1"/>
  <c r="S457" i="1"/>
  <c r="S439" i="1"/>
  <c r="R727" i="1"/>
  <c r="R721" i="1"/>
  <c r="R661" i="1"/>
  <c r="R655" i="1"/>
  <c r="R631" i="1"/>
  <c r="R451" i="1"/>
  <c r="R445" i="1"/>
  <c r="R427" i="1"/>
  <c r="R385" i="1"/>
  <c r="R367" i="1"/>
  <c r="R660" i="1"/>
  <c r="R648" i="1"/>
  <c r="R630" i="1"/>
  <c r="R624" i="1"/>
  <c r="R576" i="1"/>
  <c r="R390" i="1"/>
  <c r="R378" i="1"/>
  <c r="S732" i="1"/>
  <c r="S678" i="1"/>
  <c r="S630" i="1"/>
  <c r="S522" i="1"/>
  <c r="Q732" i="1"/>
  <c r="Q690" i="1"/>
  <c r="Q630" i="1"/>
  <c r="Q618" i="1"/>
  <c r="Q606" i="1"/>
  <c r="Q588" i="1"/>
  <c r="Q552" i="1"/>
  <c r="Q540" i="1"/>
  <c r="Q456" i="1"/>
  <c r="Q426" i="1"/>
  <c r="Q414" i="1"/>
  <c r="Q378" i="1"/>
  <c r="Q366" i="1"/>
  <c r="Q348" i="1"/>
  <c r="Q336" i="1"/>
  <c r="Q312" i="1"/>
  <c r="Q300" i="1"/>
  <c r="Q288" i="1"/>
  <c r="Q276" i="1"/>
  <c r="Q264" i="1"/>
  <c r="Q252" i="1"/>
  <c r="Q168" i="1"/>
  <c r="Q144" i="1"/>
  <c r="Q132" i="1"/>
  <c r="Q96" i="1"/>
  <c r="Q90" i="1"/>
  <c r="Q66" i="1"/>
  <c r="Q54" i="1"/>
  <c r="Q36" i="1"/>
  <c r="Q24" i="1"/>
  <c r="Q18" i="1"/>
  <c r="T761" i="1"/>
  <c r="T749" i="1"/>
  <c r="T743" i="1"/>
  <c r="T713" i="1"/>
  <c r="T707" i="1"/>
  <c r="T701" i="1"/>
  <c r="T689" i="1"/>
  <c r="T683" i="1"/>
  <c r="T677" i="1"/>
  <c r="T671" i="1"/>
  <c r="T665" i="1"/>
  <c r="T659" i="1"/>
  <c r="T653" i="1"/>
  <c r="Q702" i="1"/>
  <c r="Q678" i="1"/>
  <c r="Q624" i="1"/>
  <c r="Q612" i="1"/>
  <c r="Q594" i="1"/>
  <c r="Q576" i="1"/>
  <c r="Q546" i="1"/>
  <c r="Q534" i="1"/>
  <c r="Q522" i="1"/>
  <c r="Q510" i="1"/>
  <c r="Q432" i="1"/>
  <c r="Q408" i="1"/>
  <c r="Q396" i="1"/>
  <c r="Q354" i="1"/>
  <c r="Q342" i="1"/>
  <c r="Q318" i="1"/>
  <c r="Q306" i="1"/>
  <c r="Q282" i="1"/>
  <c r="Q270" i="1"/>
  <c r="Q258" i="1"/>
  <c r="Q246" i="1"/>
  <c r="Q234" i="1"/>
  <c r="Q222" i="1"/>
  <c r="Q138" i="1"/>
  <c r="Q114" i="1"/>
  <c r="Q102" i="1"/>
  <c r="Q60" i="1"/>
  <c r="Q48" i="1"/>
  <c r="Q12" i="1"/>
  <c r="T755" i="1"/>
  <c r="S755" i="1"/>
  <c r="S749" i="1"/>
  <c r="S743" i="1"/>
  <c r="S731" i="1"/>
  <c r="Q515" i="1"/>
  <c r="Q719" i="1"/>
  <c r="T538" i="1"/>
  <c r="S660" i="1"/>
  <c r="S546" i="1"/>
  <c r="S498" i="1"/>
  <c r="S414" i="1"/>
  <c r="S330" i="1"/>
  <c r="Q726" i="1"/>
  <c r="Q660" i="1"/>
  <c r="R257" i="1"/>
  <c r="R209" i="1"/>
  <c r="R89" i="1"/>
  <c r="R17" i="1"/>
  <c r="Q737" i="1"/>
  <c r="Q683" i="1"/>
  <c r="Q659" i="1"/>
  <c r="Q635" i="1"/>
  <c r="Q611" i="1"/>
  <c r="Q599" i="1"/>
  <c r="Q575" i="1"/>
  <c r="T502" i="1"/>
  <c r="S24" i="1"/>
  <c r="R666" i="1"/>
  <c r="Q738" i="1"/>
  <c r="Q708" i="1"/>
  <c r="R635" i="1"/>
  <c r="R611" i="1"/>
  <c r="R503" i="1"/>
  <c r="Q743" i="1"/>
  <c r="Q665" i="1"/>
  <c r="Q641" i="1"/>
  <c r="Q593" i="1"/>
  <c r="Q563" i="1"/>
  <c r="Q527" i="1"/>
  <c r="T754" i="1"/>
  <c r="T736" i="1"/>
  <c r="T712" i="1"/>
  <c r="T688" i="1"/>
  <c r="T640" i="1"/>
  <c r="T550" i="1"/>
  <c r="S396" i="1"/>
  <c r="Q756" i="1"/>
  <c r="Q720" i="1"/>
  <c r="Q666" i="1"/>
  <c r="Q558" i="1"/>
  <c r="R359" i="1"/>
  <c r="R335" i="1"/>
  <c r="R221" i="1"/>
  <c r="R191" i="1"/>
  <c r="R137" i="1"/>
  <c r="Q671" i="1"/>
  <c r="Q623" i="1"/>
  <c r="Q587" i="1"/>
  <c r="T748" i="1"/>
  <c r="T730" i="1"/>
  <c r="T718" i="1"/>
  <c r="T700" i="1"/>
  <c r="T676" i="1"/>
  <c r="T652" i="1"/>
  <c r="T598" i="1"/>
  <c r="T496" i="1"/>
  <c r="S618" i="1"/>
  <c r="S204" i="1"/>
  <c r="S156" i="1"/>
  <c r="Q696" i="1"/>
  <c r="Q654" i="1"/>
  <c r="Q564" i="1"/>
  <c r="R737" i="1"/>
  <c r="R59" i="1"/>
  <c r="R47" i="1"/>
  <c r="Q629" i="1"/>
  <c r="Q581" i="1"/>
  <c r="Q569" i="1"/>
  <c r="T760" i="1"/>
  <c r="T742" i="1"/>
  <c r="T724" i="1"/>
  <c r="T706" i="1"/>
  <c r="T694" i="1"/>
  <c r="T682" i="1"/>
  <c r="T664" i="1"/>
  <c r="T658" i="1"/>
  <c r="T646" i="1"/>
  <c r="T634" i="1"/>
  <c r="T628" i="1"/>
  <c r="T622" i="1"/>
  <c r="T616" i="1"/>
  <c r="T580" i="1"/>
  <c r="T574" i="1"/>
  <c r="T568" i="1"/>
  <c r="T556" i="1"/>
  <c r="T544" i="1"/>
  <c r="S183" i="1"/>
  <c r="S171" i="1"/>
  <c r="S153" i="1"/>
  <c r="S147" i="1"/>
  <c r="S141" i="1"/>
  <c r="S129" i="1"/>
  <c r="S235" i="1"/>
  <c r="S217" i="1"/>
  <c r="S199" i="1"/>
  <c r="S181" i="1"/>
  <c r="S175" i="1"/>
  <c r="S163" i="1"/>
  <c r="S151" i="1"/>
  <c r="R235" i="1"/>
  <c r="R223" i="1"/>
  <c r="R199" i="1"/>
  <c r="R193" i="1"/>
  <c r="R181" i="1"/>
  <c r="R163" i="1"/>
  <c r="R354" i="1"/>
  <c r="R348" i="1"/>
  <c r="R294" i="1"/>
  <c r="R288" i="1"/>
  <c r="R270" i="1"/>
  <c r="R252" i="1"/>
  <c r="R90" i="1"/>
  <c r="R84" i="1"/>
  <c r="R72" i="1"/>
  <c r="R66" i="1"/>
  <c r="R60" i="1"/>
  <c r="R6" i="1"/>
  <c r="T647" i="1"/>
  <c r="T641" i="1"/>
  <c r="T635" i="1"/>
  <c r="T629" i="1"/>
  <c r="T623" i="1"/>
  <c r="T617" i="1"/>
  <c r="T611" i="1"/>
  <c r="T605" i="1"/>
  <c r="T599" i="1"/>
  <c r="T593" i="1"/>
  <c r="T587" i="1"/>
  <c r="T581" i="1"/>
  <c r="T575" i="1"/>
  <c r="T569" i="1"/>
  <c r="T563" i="1"/>
  <c r="T551" i="1"/>
  <c r="T545" i="1"/>
  <c r="T539" i="1"/>
  <c r="T533" i="1"/>
  <c r="T527" i="1"/>
  <c r="T521" i="1"/>
  <c r="T515" i="1"/>
  <c r="T509" i="1"/>
  <c r="T503" i="1"/>
  <c r="T497" i="1"/>
  <c r="T491" i="1"/>
  <c r="T485" i="1"/>
  <c r="T479" i="1"/>
  <c r="T473" i="1"/>
  <c r="T467" i="1"/>
  <c r="T461" i="1"/>
  <c r="T455" i="1"/>
  <c r="T449" i="1"/>
  <c r="T443" i="1"/>
  <c r="T437" i="1"/>
  <c r="T431" i="1"/>
  <c r="T425" i="1"/>
  <c r="T419" i="1"/>
  <c r="T407" i="1"/>
  <c r="T401" i="1"/>
  <c r="T395" i="1"/>
  <c r="T389" i="1"/>
  <c r="T383" i="1"/>
  <c r="T377" i="1"/>
  <c r="T371" i="1"/>
  <c r="T365" i="1"/>
  <c r="T359" i="1"/>
  <c r="T353" i="1"/>
  <c r="T347" i="1"/>
  <c r="T341" i="1"/>
  <c r="T335" i="1"/>
  <c r="T329" i="1"/>
  <c r="T323" i="1"/>
  <c r="T317" i="1"/>
  <c r="T311" i="1"/>
  <c r="T305" i="1"/>
  <c r="T299" i="1"/>
  <c r="T293" i="1"/>
  <c r="T287" i="1"/>
  <c r="T281" i="1"/>
  <c r="T275" i="1"/>
  <c r="T263" i="1"/>
  <c r="T257" i="1"/>
  <c r="T251" i="1"/>
  <c r="T245" i="1"/>
  <c r="T239" i="1"/>
  <c r="T233" i="1"/>
  <c r="T227" i="1"/>
  <c r="T221" i="1"/>
  <c r="T215" i="1"/>
  <c r="T209" i="1"/>
  <c r="T203" i="1"/>
  <c r="T197" i="1"/>
  <c r="T191" i="1"/>
  <c r="T185" i="1"/>
  <c r="T179" i="1"/>
  <c r="T173" i="1"/>
  <c r="T167" i="1"/>
  <c r="T161" i="1"/>
  <c r="T155" i="1"/>
  <c r="T149" i="1"/>
  <c r="T143" i="1"/>
  <c r="T137" i="1"/>
  <c r="T131" i="1"/>
  <c r="T119" i="1"/>
  <c r="T113" i="1"/>
  <c r="T107" i="1"/>
  <c r="T101" i="1"/>
  <c r="T95" i="1"/>
  <c r="T89" i="1"/>
  <c r="T83" i="1"/>
  <c r="T77" i="1"/>
  <c r="T71" i="1"/>
  <c r="T65" i="1"/>
  <c r="T59" i="1"/>
  <c r="T53" i="1"/>
  <c r="T47" i="1"/>
  <c r="T41" i="1"/>
  <c r="T35" i="1"/>
  <c r="T29" i="1"/>
  <c r="T23" i="1"/>
  <c r="T17" i="1"/>
  <c r="T11" i="1"/>
  <c r="T5" i="1"/>
  <c r="S557" i="1"/>
  <c r="S539" i="1"/>
  <c r="S533" i="1"/>
  <c r="S521" i="1"/>
  <c r="S515" i="1"/>
  <c r="S509" i="1"/>
  <c r="S503" i="1"/>
  <c r="S497" i="1"/>
  <c r="S347" i="1"/>
  <c r="S293" i="1"/>
  <c r="S287" i="1"/>
  <c r="S263" i="1"/>
  <c r="S251" i="1"/>
  <c r="S245" i="1"/>
  <c r="S239" i="1"/>
  <c r="S233" i="1"/>
  <c r="S83" i="1"/>
  <c r="S71" i="1"/>
  <c r="S65" i="1"/>
  <c r="S17" i="1"/>
  <c r="S5" i="1"/>
  <c r="Q509" i="1"/>
  <c r="Q491" i="1"/>
  <c r="Q485" i="1"/>
  <c r="Q479" i="1"/>
  <c r="Q473" i="1"/>
  <c r="Q467" i="1"/>
  <c r="Q461" i="1"/>
  <c r="Q455" i="1"/>
  <c r="Q449" i="1"/>
  <c r="Q443" i="1"/>
  <c r="Q437" i="1"/>
  <c r="Q431" i="1"/>
  <c r="Q425" i="1"/>
  <c r="Q383" i="1"/>
  <c r="Q371" i="1"/>
  <c r="Q365" i="1"/>
  <c r="Q347" i="1"/>
  <c r="Q341" i="1"/>
  <c r="Q335" i="1"/>
  <c r="Q329" i="1"/>
  <c r="Q323" i="1"/>
  <c r="Q317" i="1"/>
  <c r="Q311" i="1"/>
  <c r="Q305" i="1"/>
  <c r="Q299" i="1"/>
  <c r="Q293" i="1"/>
  <c r="Q287" i="1"/>
  <c r="Q281" i="1"/>
  <c r="Q239" i="1"/>
  <c r="Q227" i="1"/>
  <c r="Q221" i="1"/>
  <c r="Q203" i="1"/>
  <c r="Q197" i="1"/>
  <c r="Q191" i="1"/>
  <c r="Q185" i="1"/>
  <c r="Q179" i="1"/>
  <c r="Q173" i="1"/>
  <c r="Q167" i="1"/>
  <c r="Q161" i="1"/>
  <c r="Q155" i="1"/>
  <c r="Q149" i="1"/>
  <c r="Q143" i="1"/>
  <c r="Q137" i="1"/>
  <c r="Q95" i="1"/>
  <c r="Q83" i="1"/>
  <c r="Q77" i="1"/>
  <c r="Q59" i="1"/>
  <c r="Q53" i="1"/>
  <c r="Q47" i="1"/>
  <c r="Q41" i="1"/>
  <c r="Q35" i="1"/>
  <c r="Q29" i="1"/>
  <c r="Q23" i="1"/>
  <c r="Q17" i="1"/>
  <c r="Q11" i="1"/>
  <c r="Q5" i="1"/>
  <c r="T532" i="1"/>
  <c r="T526" i="1"/>
  <c r="T520" i="1"/>
  <c r="T514" i="1"/>
  <c r="T508" i="1"/>
  <c r="T478" i="1"/>
  <c r="T472" i="1"/>
  <c r="T466" i="1"/>
  <c r="T460" i="1"/>
  <c r="T454" i="1"/>
  <c r="T448" i="1"/>
  <c r="T442" i="1"/>
  <c r="T436" i="1"/>
  <c r="T430" i="1"/>
  <c r="T424" i="1"/>
  <c r="T418" i="1"/>
  <c r="T412" i="1"/>
  <c r="T406" i="1"/>
  <c r="T400" i="1"/>
  <c r="T394" i="1"/>
  <c r="T388" i="1"/>
  <c r="T382" i="1"/>
  <c r="T376" i="1"/>
  <c r="T370" i="1"/>
  <c r="T364" i="1"/>
  <c r="T358" i="1"/>
  <c r="T352" i="1"/>
  <c r="T346" i="1"/>
  <c r="T340" i="1"/>
  <c r="T334" i="1"/>
  <c r="T328" i="1"/>
  <c r="T322" i="1"/>
  <c r="T316" i="1"/>
  <c r="T310" i="1"/>
  <c r="T304" i="1"/>
  <c r="T298" i="1"/>
  <c r="T292" i="1"/>
  <c r="T286" i="1"/>
  <c r="T280" i="1"/>
  <c r="T274" i="1"/>
  <c r="T268" i="1"/>
  <c r="T262" i="1"/>
  <c r="T256" i="1"/>
  <c r="T250" i="1"/>
  <c r="T244" i="1"/>
  <c r="T238" i="1"/>
  <c r="T232" i="1"/>
  <c r="T226" i="1"/>
  <c r="T220" i="1"/>
  <c r="T214" i="1"/>
  <c r="T208" i="1"/>
  <c r="T202" i="1"/>
  <c r="T196" i="1"/>
  <c r="T190" i="1"/>
  <c r="T184" i="1"/>
  <c r="T178" i="1"/>
  <c r="T172" i="1"/>
  <c r="T166" i="1"/>
  <c r="T160" i="1"/>
  <c r="T154" i="1"/>
  <c r="T148" i="1"/>
  <c r="T142" i="1"/>
  <c r="T136" i="1"/>
  <c r="T130" i="1"/>
  <c r="T124" i="1"/>
  <c r="T118" i="1"/>
  <c r="T112" i="1"/>
  <c r="T106" i="1"/>
  <c r="T100" i="1"/>
  <c r="T94" i="1"/>
  <c r="T88" i="1"/>
  <c r="T82" i="1"/>
  <c r="T76" i="1"/>
  <c r="T70" i="1"/>
  <c r="T64" i="1"/>
  <c r="T58" i="1"/>
  <c r="T52" i="1"/>
  <c r="T46" i="1"/>
  <c r="T40" i="1"/>
  <c r="T34" i="1"/>
  <c r="T28" i="1"/>
  <c r="T22" i="1"/>
  <c r="T16" i="1"/>
  <c r="T10" i="1"/>
  <c r="T4" i="1"/>
  <c r="S718" i="1"/>
  <c r="S694" i="1"/>
  <c r="S682" i="1"/>
  <c r="S676" i="1"/>
  <c r="S670" i="1"/>
  <c r="S520" i="1"/>
  <c r="S508" i="1"/>
  <c r="S502" i="1"/>
  <c r="S454" i="1"/>
  <c r="S442" i="1"/>
  <c r="S436" i="1"/>
  <c r="S418" i="1"/>
  <c r="S412" i="1"/>
  <c r="S256" i="1"/>
  <c r="S244" i="1"/>
  <c r="S238" i="1"/>
  <c r="S226" i="1"/>
  <c r="S220" i="1"/>
  <c r="S214" i="1"/>
  <c r="S208" i="1"/>
  <c r="S166" i="1"/>
  <c r="S10" i="1"/>
  <c r="T490" i="1"/>
  <c r="S700" i="1"/>
  <c r="R700" i="1"/>
  <c r="R682" i="1"/>
  <c r="R676" i="1"/>
  <c r="R658" i="1"/>
  <c r="R490" i="1"/>
  <c r="R484" i="1"/>
  <c r="R430" i="1"/>
  <c r="R424" i="1"/>
  <c r="R406" i="1"/>
  <c r="R394" i="1"/>
  <c r="R238" i="1"/>
  <c r="R232" i="1"/>
  <c r="R220" i="1"/>
  <c r="R214" i="1"/>
  <c r="R208" i="1"/>
  <c r="R196" i="1"/>
  <c r="S760" i="1"/>
  <c r="S748" i="1"/>
  <c r="R748" i="1"/>
  <c r="R730" i="1"/>
  <c r="R706" i="1"/>
  <c r="R664" i="1"/>
  <c r="Q760" i="1"/>
  <c r="Q748" i="1"/>
  <c r="Q736" i="1"/>
  <c r="Q730" i="1"/>
  <c r="Q724" i="1"/>
  <c r="Q712" i="1"/>
  <c r="Q670" i="1"/>
  <c r="Q658" i="1"/>
  <c r="Q652" i="1"/>
  <c r="Q634" i="1"/>
  <c r="Q628" i="1"/>
  <c r="Q622" i="1"/>
  <c r="Q616" i="1"/>
  <c r="Q610" i="1"/>
  <c r="Q604" i="1"/>
  <c r="Q598" i="1"/>
  <c r="Q592" i="1"/>
  <c r="Q586" i="1"/>
  <c r="Q580" i="1"/>
  <c r="Q574" i="1"/>
  <c r="Q568" i="1"/>
  <c r="Q526" i="1"/>
  <c r="Q514" i="1"/>
  <c r="Q508" i="1"/>
  <c r="Q490" i="1"/>
  <c r="Q484" i="1"/>
  <c r="Q478" i="1"/>
  <c r="Q472" i="1"/>
  <c r="Q466" i="1"/>
  <c r="Q460" i="1"/>
  <c r="Q454" i="1"/>
  <c r="Q448" i="1"/>
  <c r="Q442" i="1"/>
  <c r="Q436" i="1"/>
  <c r="Q430" i="1"/>
  <c r="Q424" i="1"/>
  <c r="Q394" i="1"/>
  <c r="Q382" i="1"/>
  <c r="Q370" i="1"/>
  <c r="Q364" i="1"/>
  <c r="Q346" i="1"/>
  <c r="Q340" i="1"/>
  <c r="Q334" i="1"/>
  <c r="Q328" i="1"/>
  <c r="Q322" i="1"/>
  <c r="Q316" i="1"/>
  <c r="Q310" i="1"/>
  <c r="Q304" i="1"/>
  <c r="Q298" i="1"/>
  <c r="Q292" i="1"/>
  <c r="Q286" i="1"/>
  <c r="Q280" i="1"/>
  <c r="Q238" i="1"/>
  <c r="Q226" i="1"/>
  <c r="Q220" i="1"/>
  <c r="Q202" i="1"/>
  <c r="Q196" i="1"/>
  <c r="Q190" i="1"/>
  <c r="Q184" i="1"/>
  <c r="Q178" i="1"/>
  <c r="Q172" i="1"/>
  <c r="Q166" i="1"/>
  <c r="Q160" i="1"/>
  <c r="Q154" i="1"/>
  <c r="Q148" i="1"/>
  <c r="Q142" i="1"/>
  <c r="Q136" i="1"/>
  <c r="Q94" i="1"/>
  <c r="Q82" i="1"/>
  <c r="Q76" i="1"/>
  <c r="Q58" i="1"/>
  <c r="Q52" i="1"/>
  <c r="Q46" i="1"/>
  <c r="Q40" i="1"/>
  <c r="Q34" i="1"/>
  <c r="Q28" i="1"/>
  <c r="Q22" i="1"/>
  <c r="Q16" i="1"/>
  <c r="Q10" i="1"/>
  <c r="Q4" i="1"/>
  <c r="T484" i="1"/>
  <c r="Q742" i="1"/>
  <c r="Q718" i="1"/>
  <c r="T759" i="1"/>
  <c r="T753" i="1"/>
  <c r="T747" i="1"/>
  <c r="T741" i="1"/>
  <c r="T735" i="1"/>
  <c r="T729" i="1"/>
  <c r="T723" i="1"/>
  <c r="T717" i="1"/>
  <c r="T711" i="1"/>
  <c r="T705" i="1"/>
  <c r="T699" i="1"/>
  <c r="T693" i="1"/>
  <c r="T687" i="1"/>
  <c r="T681" i="1"/>
  <c r="T675" i="1"/>
  <c r="T669" i="1"/>
  <c r="T663" i="1"/>
  <c r="T657" i="1"/>
  <c r="T651" i="1"/>
  <c r="T645" i="1"/>
  <c r="T639" i="1"/>
  <c r="T633" i="1"/>
  <c r="T627" i="1"/>
  <c r="T621" i="1"/>
  <c r="T615" i="1"/>
  <c r="T609" i="1"/>
  <c r="T603" i="1"/>
  <c r="T597" i="1"/>
  <c r="T591" i="1"/>
  <c r="T585" i="1"/>
  <c r="T579" i="1"/>
  <c r="T573" i="1"/>
  <c r="T567" i="1"/>
  <c r="T561" i="1"/>
  <c r="T555" i="1"/>
  <c r="T549" i="1"/>
  <c r="T543" i="1"/>
  <c r="T537" i="1"/>
  <c r="T531" i="1"/>
  <c r="T525" i="1"/>
  <c r="T519" i="1"/>
  <c r="T513" i="1"/>
  <c r="T507" i="1"/>
  <c r="T501" i="1"/>
  <c r="T495" i="1"/>
  <c r="T489" i="1"/>
  <c r="T483" i="1"/>
  <c r="T477" i="1"/>
  <c r="T471" i="1"/>
  <c r="T465" i="1"/>
  <c r="T459" i="1"/>
  <c r="T453" i="1"/>
  <c r="T447" i="1"/>
  <c r="T441" i="1"/>
  <c r="T435" i="1"/>
  <c r="T429" i="1"/>
  <c r="T423" i="1"/>
  <c r="T417" i="1"/>
  <c r="T411" i="1"/>
  <c r="T405" i="1"/>
  <c r="T399" i="1"/>
  <c r="T393" i="1"/>
  <c r="T387" i="1"/>
  <c r="T381" i="1"/>
  <c r="T375" i="1"/>
  <c r="T369" i="1"/>
  <c r="T363" i="1"/>
  <c r="T357" i="1"/>
  <c r="T351" i="1"/>
  <c r="T345" i="1"/>
  <c r="T339" i="1"/>
  <c r="T333" i="1"/>
  <c r="T327" i="1"/>
  <c r="T321" i="1"/>
  <c r="T315" i="1"/>
  <c r="T309" i="1"/>
  <c r="T303" i="1"/>
  <c r="T297" i="1"/>
  <c r="T291" i="1"/>
  <c r="T285" i="1"/>
  <c r="T279" i="1"/>
  <c r="T273" i="1"/>
  <c r="T267" i="1"/>
  <c r="T261" i="1"/>
  <c r="T255" i="1"/>
  <c r="T249" i="1"/>
  <c r="T243" i="1"/>
  <c r="T237" i="1"/>
  <c r="T231" i="1"/>
  <c r="T225" i="1"/>
  <c r="T219" i="1"/>
  <c r="T213" i="1"/>
  <c r="T207" i="1"/>
  <c r="T201" i="1"/>
  <c r="T195" i="1"/>
  <c r="T189" i="1"/>
  <c r="T183" i="1"/>
  <c r="T177" i="1"/>
  <c r="T171" i="1"/>
  <c r="T165" i="1"/>
  <c r="T159" i="1"/>
  <c r="T153" i="1"/>
  <c r="T147" i="1"/>
  <c r="T141" i="1"/>
  <c r="T135" i="1"/>
  <c r="T129" i="1"/>
  <c r="T123" i="1"/>
  <c r="T117" i="1"/>
  <c r="T111" i="1"/>
  <c r="T105" i="1"/>
  <c r="T99" i="1"/>
  <c r="T93" i="1"/>
  <c r="T87" i="1"/>
  <c r="T81" i="1"/>
  <c r="T75" i="1"/>
  <c r="T69" i="1"/>
  <c r="T63" i="1"/>
  <c r="T57" i="1"/>
  <c r="T51" i="1"/>
  <c r="T45" i="1"/>
  <c r="T39" i="1"/>
  <c r="T33" i="1"/>
  <c r="T27" i="1"/>
  <c r="T21" i="1"/>
  <c r="T15" i="1"/>
  <c r="T9" i="1"/>
  <c r="I114" i="3"/>
  <c r="H114" i="3"/>
  <c r="G114" i="3"/>
  <c r="F114" i="3"/>
  <c r="I113" i="3"/>
  <c r="H113" i="3"/>
  <c r="G113" i="3"/>
  <c r="F113" i="3"/>
  <c r="I112" i="3"/>
  <c r="H112" i="3"/>
  <c r="G112" i="3"/>
  <c r="F112" i="3"/>
  <c r="I111" i="3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I102" i="3"/>
  <c r="H102" i="3"/>
  <c r="G102" i="3"/>
  <c r="F102" i="3"/>
  <c r="I101" i="3"/>
  <c r="H101" i="3"/>
  <c r="G101" i="3"/>
  <c r="F101" i="3"/>
  <c r="I100" i="3"/>
  <c r="H100" i="3"/>
  <c r="G100" i="3"/>
  <c r="F100" i="3"/>
  <c r="I99" i="3"/>
  <c r="H99" i="3"/>
  <c r="G99" i="3"/>
  <c r="F99" i="3"/>
  <c r="I98" i="3"/>
  <c r="H98" i="3"/>
  <c r="G98" i="3"/>
  <c r="F98" i="3"/>
  <c r="I97" i="3"/>
  <c r="H97" i="3"/>
  <c r="G97" i="3"/>
  <c r="F97" i="3"/>
  <c r="I96" i="3"/>
  <c r="H96" i="3"/>
  <c r="G96" i="3"/>
  <c r="F96" i="3"/>
  <c r="I95" i="3"/>
  <c r="H95" i="3"/>
  <c r="G95" i="3"/>
  <c r="F95" i="3"/>
  <c r="I94" i="3"/>
  <c r="H94" i="3"/>
  <c r="G94" i="3"/>
  <c r="F94" i="3"/>
  <c r="I93" i="3"/>
  <c r="H93" i="3"/>
  <c r="G93" i="3"/>
  <c r="F93" i="3"/>
  <c r="I92" i="3"/>
  <c r="H92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I69" i="3"/>
  <c r="H69" i="3"/>
  <c r="G69" i="3"/>
  <c r="F69" i="3"/>
  <c r="I68" i="3"/>
  <c r="H68" i="3"/>
  <c r="G68" i="3"/>
  <c r="F68" i="3"/>
  <c r="I67" i="3"/>
  <c r="H67" i="3"/>
  <c r="G67" i="3"/>
  <c r="F67" i="3"/>
  <c r="I66" i="3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1" i="3"/>
  <c r="H61" i="3"/>
  <c r="G61" i="3"/>
  <c r="F61" i="3"/>
  <c r="I60" i="3"/>
  <c r="H60" i="3"/>
  <c r="G60" i="3"/>
  <c r="F60" i="3"/>
  <c r="I59" i="3"/>
  <c r="H59" i="3"/>
  <c r="G59" i="3"/>
  <c r="F59" i="3"/>
  <c r="I58" i="3"/>
  <c r="H58" i="3"/>
  <c r="G58" i="3"/>
  <c r="F58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G53" i="3"/>
  <c r="F53" i="3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3" i="3"/>
  <c r="H13" i="3"/>
  <c r="G13" i="3"/>
  <c r="F13" i="3"/>
  <c r="I12" i="3"/>
  <c r="H12" i="3"/>
  <c r="G12" i="3"/>
  <c r="F12" i="3"/>
  <c r="I10" i="3"/>
  <c r="H10" i="3"/>
  <c r="G10" i="3"/>
  <c r="F10" i="3"/>
  <c r="I9" i="3"/>
  <c r="H9" i="3"/>
  <c r="G9" i="3"/>
  <c r="F9" i="3"/>
  <c r="I8" i="3"/>
  <c r="H8" i="3"/>
  <c r="G8" i="3"/>
  <c r="F8" i="3"/>
  <c r="I206" i="2"/>
  <c r="H206" i="2"/>
  <c r="G206" i="2"/>
  <c r="F206" i="2"/>
  <c r="I205" i="2"/>
  <c r="H205" i="2"/>
  <c r="G205" i="2"/>
  <c r="F205" i="2"/>
  <c r="I204" i="2"/>
  <c r="H204" i="2"/>
  <c r="G204" i="2"/>
  <c r="F204" i="2"/>
  <c r="I203" i="2"/>
  <c r="H203" i="2"/>
  <c r="G203" i="2"/>
  <c r="F203" i="2"/>
  <c r="I202" i="2"/>
  <c r="H202" i="2"/>
  <c r="G202" i="2"/>
  <c r="F202" i="2"/>
  <c r="I201" i="2"/>
  <c r="H201" i="2"/>
  <c r="G201" i="2"/>
  <c r="F201" i="2"/>
  <c r="I200" i="2"/>
  <c r="H200" i="2"/>
  <c r="G200" i="2"/>
  <c r="F200" i="2"/>
  <c r="I199" i="2"/>
  <c r="H199" i="2"/>
  <c r="G199" i="2"/>
  <c r="F199" i="2"/>
  <c r="I198" i="2"/>
  <c r="H198" i="2"/>
  <c r="G198" i="2"/>
  <c r="F198" i="2"/>
  <c r="I197" i="2"/>
  <c r="H197" i="2"/>
  <c r="G197" i="2"/>
  <c r="F197" i="2"/>
  <c r="I196" i="2"/>
  <c r="H196" i="2"/>
  <c r="G196" i="2"/>
  <c r="F196" i="2"/>
  <c r="I195" i="2"/>
  <c r="H195" i="2"/>
  <c r="G195" i="2"/>
  <c r="F195" i="2"/>
  <c r="I193" i="2"/>
  <c r="H193" i="2"/>
  <c r="G193" i="2"/>
  <c r="F193" i="2"/>
  <c r="I192" i="2"/>
  <c r="H192" i="2"/>
  <c r="G192" i="2"/>
  <c r="F192" i="2"/>
  <c r="I191" i="2"/>
  <c r="H191" i="2"/>
  <c r="G191" i="2"/>
  <c r="F191" i="2"/>
  <c r="I190" i="2"/>
  <c r="H190" i="2"/>
  <c r="G190" i="2"/>
  <c r="F190" i="2"/>
  <c r="I189" i="2"/>
  <c r="H189" i="2"/>
  <c r="G189" i="2"/>
  <c r="F189" i="2"/>
  <c r="I188" i="2"/>
  <c r="H188" i="2"/>
  <c r="G188" i="2"/>
  <c r="F188" i="2"/>
  <c r="I187" i="2"/>
  <c r="H187" i="2"/>
  <c r="G187" i="2"/>
  <c r="F187" i="2"/>
  <c r="I186" i="2"/>
  <c r="H186" i="2"/>
  <c r="G186" i="2"/>
  <c r="F186" i="2"/>
  <c r="I185" i="2"/>
  <c r="H185" i="2"/>
  <c r="G185" i="2"/>
  <c r="F185" i="2"/>
  <c r="I184" i="2"/>
  <c r="H184" i="2"/>
  <c r="G184" i="2"/>
  <c r="F184" i="2"/>
  <c r="I183" i="2"/>
  <c r="H183" i="2"/>
  <c r="G183" i="2"/>
  <c r="F183" i="2"/>
  <c r="I182" i="2"/>
  <c r="H182" i="2"/>
  <c r="G182" i="2"/>
  <c r="F182" i="2"/>
  <c r="I181" i="2"/>
  <c r="H181" i="2"/>
  <c r="G181" i="2"/>
  <c r="F181" i="2"/>
  <c r="I180" i="2"/>
  <c r="H180" i="2"/>
  <c r="G180" i="2"/>
  <c r="F180" i="2"/>
  <c r="I179" i="2"/>
  <c r="H179" i="2"/>
  <c r="G179" i="2"/>
  <c r="F179" i="2"/>
  <c r="I178" i="2"/>
  <c r="H178" i="2"/>
  <c r="G178" i="2"/>
  <c r="F178" i="2"/>
  <c r="I177" i="2"/>
  <c r="H177" i="2"/>
  <c r="G177" i="2"/>
  <c r="F177" i="2"/>
  <c r="I176" i="2"/>
  <c r="H176" i="2"/>
  <c r="G176" i="2"/>
  <c r="F176" i="2"/>
  <c r="I175" i="2"/>
  <c r="H175" i="2"/>
  <c r="G175" i="2"/>
  <c r="F175" i="2"/>
  <c r="I174" i="2"/>
  <c r="H174" i="2"/>
  <c r="G174" i="2"/>
  <c r="F174" i="2"/>
  <c r="I173" i="2"/>
  <c r="H173" i="2"/>
  <c r="G173" i="2"/>
  <c r="F173" i="2"/>
  <c r="I172" i="2"/>
  <c r="H172" i="2"/>
  <c r="G172" i="2"/>
  <c r="F172" i="2"/>
  <c r="I171" i="2"/>
  <c r="H171" i="2"/>
  <c r="G171" i="2"/>
  <c r="F171" i="2"/>
  <c r="I170" i="2"/>
  <c r="H170" i="2"/>
  <c r="G170" i="2"/>
  <c r="F170" i="2"/>
  <c r="I169" i="2"/>
  <c r="H169" i="2"/>
  <c r="G169" i="2"/>
  <c r="F169" i="2"/>
  <c r="I168" i="2"/>
  <c r="H168" i="2"/>
  <c r="G168" i="2"/>
  <c r="F168" i="2"/>
  <c r="I167" i="2"/>
  <c r="H167" i="2"/>
  <c r="G167" i="2"/>
  <c r="F167" i="2"/>
  <c r="I166" i="2"/>
  <c r="H166" i="2"/>
  <c r="G166" i="2"/>
  <c r="F166" i="2"/>
  <c r="I165" i="2"/>
  <c r="H165" i="2"/>
  <c r="G165" i="2"/>
  <c r="F165" i="2"/>
  <c r="I164" i="2"/>
  <c r="H164" i="2"/>
  <c r="G164" i="2"/>
  <c r="F164" i="2"/>
  <c r="I163" i="2"/>
  <c r="H163" i="2"/>
  <c r="G163" i="2"/>
  <c r="F163" i="2"/>
  <c r="I162" i="2"/>
  <c r="H162" i="2"/>
  <c r="G162" i="2"/>
  <c r="F162" i="2"/>
  <c r="I161" i="2"/>
  <c r="H161" i="2"/>
  <c r="G161" i="2"/>
  <c r="F161" i="2"/>
  <c r="I160" i="2"/>
  <c r="H160" i="2"/>
  <c r="G160" i="2"/>
  <c r="F160" i="2"/>
  <c r="I159" i="2"/>
  <c r="H159" i="2"/>
  <c r="G159" i="2"/>
  <c r="F159" i="2"/>
  <c r="I158" i="2"/>
  <c r="H158" i="2"/>
  <c r="G158" i="2"/>
  <c r="F158" i="2"/>
  <c r="I157" i="2"/>
  <c r="H157" i="2"/>
  <c r="G157" i="2"/>
  <c r="F157" i="2"/>
  <c r="I156" i="2"/>
  <c r="H156" i="2"/>
  <c r="G156" i="2"/>
  <c r="F156" i="2"/>
  <c r="I155" i="2"/>
  <c r="H155" i="2"/>
  <c r="G155" i="2"/>
  <c r="F155" i="2"/>
  <c r="I154" i="2"/>
  <c r="H154" i="2"/>
  <c r="G154" i="2"/>
  <c r="F154" i="2"/>
  <c r="I153" i="2"/>
  <c r="H153" i="2"/>
  <c r="G153" i="2"/>
  <c r="F153" i="2"/>
  <c r="I152" i="2"/>
  <c r="H152" i="2"/>
  <c r="G152" i="2"/>
  <c r="F152" i="2"/>
  <c r="I150" i="2"/>
  <c r="H150" i="2"/>
  <c r="G150" i="2"/>
  <c r="F150" i="2"/>
  <c r="I149" i="2"/>
  <c r="H149" i="2"/>
  <c r="G149" i="2"/>
  <c r="F149" i="2"/>
  <c r="I148" i="2"/>
  <c r="H148" i="2"/>
  <c r="G148" i="2"/>
  <c r="F148" i="2"/>
  <c r="I146" i="2"/>
  <c r="H146" i="2"/>
  <c r="G146" i="2"/>
  <c r="F146" i="2"/>
  <c r="I145" i="2"/>
  <c r="H145" i="2"/>
  <c r="G145" i="2"/>
  <c r="F145" i="2"/>
  <c r="I144" i="2"/>
  <c r="H144" i="2"/>
  <c r="G144" i="2"/>
  <c r="F144" i="2"/>
  <c r="I143" i="2"/>
  <c r="H143" i="2"/>
  <c r="G143" i="2"/>
  <c r="F143" i="2"/>
  <c r="I142" i="2"/>
  <c r="H142" i="2"/>
  <c r="G142" i="2"/>
  <c r="F142" i="2"/>
  <c r="I141" i="2"/>
  <c r="H141" i="2"/>
  <c r="G141" i="2"/>
  <c r="F141" i="2"/>
  <c r="I140" i="2"/>
  <c r="H140" i="2"/>
  <c r="G140" i="2"/>
  <c r="F140" i="2"/>
  <c r="I139" i="2"/>
  <c r="H139" i="2"/>
  <c r="G139" i="2"/>
  <c r="F139" i="2"/>
  <c r="I137" i="2"/>
  <c r="H137" i="2"/>
  <c r="G137" i="2"/>
  <c r="F137" i="2"/>
  <c r="I136" i="2"/>
  <c r="H136" i="2"/>
  <c r="G136" i="2"/>
  <c r="F136" i="2"/>
  <c r="I134" i="2"/>
  <c r="H134" i="2"/>
  <c r="G134" i="2"/>
  <c r="F134" i="2"/>
  <c r="I133" i="2"/>
  <c r="H133" i="2"/>
  <c r="G133" i="2"/>
  <c r="F133" i="2"/>
  <c r="I132" i="2"/>
  <c r="H132" i="2"/>
  <c r="G132" i="2"/>
  <c r="F132" i="2"/>
  <c r="I131" i="2"/>
  <c r="H131" i="2"/>
  <c r="G131" i="2"/>
  <c r="F131" i="2"/>
  <c r="I130" i="2"/>
  <c r="H130" i="2"/>
  <c r="G130" i="2"/>
  <c r="F130" i="2"/>
  <c r="I129" i="2"/>
  <c r="H129" i="2"/>
  <c r="G129" i="2"/>
  <c r="F129" i="2"/>
  <c r="I127" i="2"/>
  <c r="H127" i="2"/>
  <c r="G127" i="2"/>
  <c r="F127" i="2"/>
  <c r="I126" i="2"/>
  <c r="H126" i="2"/>
  <c r="G126" i="2"/>
  <c r="F126" i="2"/>
  <c r="I125" i="2"/>
  <c r="H125" i="2"/>
  <c r="G125" i="2"/>
  <c r="F125" i="2"/>
  <c r="I124" i="2"/>
  <c r="H124" i="2"/>
  <c r="G124" i="2"/>
  <c r="F124" i="2"/>
  <c r="I123" i="2"/>
  <c r="H123" i="2"/>
  <c r="G123" i="2"/>
  <c r="F123" i="2"/>
  <c r="I122" i="2"/>
  <c r="H122" i="2"/>
  <c r="G122" i="2"/>
  <c r="F122" i="2"/>
  <c r="I121" i="2"/>
  <c r="H121" i="2"/>
  <c r="G121" i="2"/>
  <c r="F121" i="2"/>
  <c r="I120" i="2"/>
  <c r="H120" i="2"/>
  <c r="G120" i="2"/>
  <c r="F120" i="2"/>
  <c r="I119" i="2"/>
  <c r="H119" i="2"/>
  <c r="G119" i="2"/>
  <c r="F119" i="2"/>
  <c r="I118" i="2"/>
  <c r="H118" i="2"/>
  <c r="G118" i="2"/>
  <c r="F118" i="2"/>
  <c r="I117" i="2"/>
  <c r="H117" i="2"/>
  <c r="G117" i="2"/>
  <c r="F117" i="2"/>
  <c r="I116" i="2"/>
  <c r="H116" i="2"/>
  <c r="G116" i="2"/>
  <c r="F116" i="2"/>
  <c r="I115" i="2"/>
  <c r="H115" i="2"/>
  <c r="G115" i="2"/>
  <c r="F115" i="2"/>
  <c r="I114" i="2"/>
  <c r="H114" i="2"/>
  <c r="G114" i="2"/>
  <c r="F114" i="2"/>
  <c r="I113" i="2"/>
  <c r="H113" i="2"/>
  <c r="G113" i="2"/>
  <c r="F113" i="2"/>
  <c r="I112" i="2"/>
  <c r="H112" i="2"/>
  <c r="G112" i="2"/>
  <c r="F112" i="2"/>
  <c r="I111" i="2"/>
  <c r="H111" i="2"/>
  <c r="G111" i="2"/>
  <c r="F111" i="2"/>
  <c r="I110" i="2"/>
  <c r="H110" i="2"/>
  <c r="G110" i="2"/>
  <c r="F110" i="2"/>
  <c r="I109" i="2"/>
  <c r="H109" i="2"/>
  <c r="G109" i="2"/>
  <c r="F109" i="2"/>
  <c r="I108" i="2"/>
  <c r="H108" i="2"/>
  <c r="G108" i="2"/>
  <c r="F108" i="2"/>
  <c r="I107" i="2"/>
  <c r="H107" i="2"/>
  <c r="G107" i="2"/>
  <c r="F107" i="2"/>
  <c r="I106" i="2"/>
  <c r="H106" i="2"/>
  <c r="G106" i="2"/>
  <c r="F106" i="2"/>
  <c r="I105" i="2"/>
  <c r="H105" i="2"/>
  <c r="G105" i="2"/>
  <c r="F105" i="2"/>
  <c r="I104" i="2"/>
  <c r="H104" i="2"/>
  <c r="G104" i="2"/>
  <c r="F104" i="2"/>
  <c r="I103" i="2"/>
  <c r="H103" i="2"/>
  <c r="G103" i="2"/>
  <c r="F103" i="2"/>
  <c r="I102" i="2"/>
  <c r="H102" i="2"/>
  <c r="G102" i="2"/>
  <c r="F102" i="2"/>
  <c r="I101" i="2"/>
  <c r="H101" i="2"/>
  <c r="G101" i="2"/>
  <c r="F101" i="2"/>
  <c r="I100" i="2"/>
  <c r="H100" i="2"/>
  <c r="G100" i="2"/>
  <c r="F100" i="2"/>
  <c r="I99" i="2"/>
  <c r="H99" i="2"/>
  <c r="G99" i="2"/>
  <c r="F99" i="2"/>
  <c r="I98" i="2"/>
  <c r="H98" i="2"/>
  <c r="G98" i="2"/>
  <c r="F98" i="2"/>
  <c r="I97" i="2"/>
  <c r="H97" i="2"/>
  <c r="G97" i="2"/>
  <c r="F97" i="2"/>
  <c r="I96" i="2"/>
  <c r="H96" i="2"/>
  <c r="G96" i="2"/>
  <c r="F96" i="2"/>
  <c r="I95" i="2"/>
  <c r="H95" i="2"/>
  <c r="G95" i="2"/>
  <c r="F95" i="2"/>
  <c r="I94" i="2"/>
  <c r="H94" i="2"/>
  <c r="G94" i="2"/>
  <c r="F94" i="2"/>
  <c r="I93" i="2"/>
  <c r="H93" i="2"/>
  <c r="G93" i="2"/>
  <c r="F93" i="2"/>
  <c r="I92" i="2"/>
  <c r="H92" i="2"/>
  <c r="G92" i="2"/>
  <c r="F92" i="2"/>
  <c r="I91" i="2"/>
  <c r="H91" i="2"/>
  <c r="G91" i="2"/>
  <c r="F91" i="2"/>
  <c r="I90" i="2"/>
  <c r="H90" i="2"/>
  <c r="G90" i="2"/>
  <c r="F90" i="2"/>
  <c r="I89" i="2"/>
  <c r="H89" i="2"/>
  <c r="G89" i="2"/>
  <c r="F89" i="2"/>
  <c r="I88" i="2"/>
  <c r="H88" i="2"/>
  <c r="G88" i="2"/>
  <c r="F88" i="2"/>
  <c r="I87" i="2"/>
  <c r="H87" i="2"/>
  <c r="G87" i="2"/>
  <c r="F87" i="2"/>
  <c r="I86" i="2"/>
  <c r="H86" i="2"/>
  <c r="G86" i="2"/>
  <c r="F86" i="2"/>
  <c r="I85" i="2"/>
  <c r="H85" i="2"/>
  <c r="G85" i="2"/>
  <c r="F85" i="2"/>
  <c r="I84" i="2"/>
  <c r="H84" i="2"/>
  <c r="G84" i="2"/>
  <c r="F84" i="2"/>
  <c r="I83" i="2"/>
  <c r="H83" i="2"/>
  <c r="G83" i="2"/>
  <c r="F83" i="2"/>
  <c r="I81" i="2"/>
  <c r="H81" i="2"/>
  <c r="G81" i="2"/>
  <c r="F81" i="2"/>
  <c r="I77" i="2"/>
  <c r="H77" i="2"/>
  <c r="G77" i="2"/>
  <c r="F77" i="2"/>
  <c r="I75" i="2"/>
  <c r="H75" i="2"/>
  <c r="G75" i="2"/>
  <c r="F75" i="2"/>
  <c r="I74" i="2"/>
  <c r="H74" i="2"/>
  <c r="G74" i="2"/>
  <c r="F74" i="2"/>
  <c r="I73" i="2"/>
  <c r="H73" i="2"/>
  <c r="G73" i="2"/>
  <c r="F73" i="2"/>
  <c r="I71" i="2"/>
  <c r="H71" i="2"/>
  <c r="G71" i="2"/>
  <c r="F71" i="2"/>
  <c r="I70" i="2"/>
  <c r="H70" i="2"/>
  <c r="G70" i="2"/>
  <c r="F70" i="2"/>
  <c r="I69" i="2"/>
  <c r="H69" i="2"/>
  <c r="G69" i="2"/>
  <c r="F69" i="2"/>
  <c r="I68" i="2"/>
  <c r="H68" i="2"/>
  <c r="G68" i="2"/>
  <c r="F68" i="2"/>
  <c r="I67" i="2"/>
  <c r="H67" i="2"/>
  <c r="G67" i="2"/>
  <c r="F67" i="2"/>
  <c r="I66" i="2"/>
  <c r="H66" i="2"/>
  <c r="G66" i="2"/>
  <c r="F66" i="2"/>
  <c r="I65" i="2"/>
  <c r="H65" i="2"/>
  <c r="G65" i="2"/>
  <c r="F65" i="2"/>
  <c r="I64" i="2"/>
  <c r="H64" i="2"/>
  <c r="G64" i="2"/>
  <c r="F64" i="2"/>
  <c r="I63" i="2"/>
  <c r="H63" i="2"/>
  <c r="G63" i="2"/>
  <c r="F63" i="2"/>
  <c r="I62" i="2"/>
  <c r="H62" i="2"/>
  <c r="G62" i="2"/>
  <c r="F62" i="2"/>
  <c r="I61" i="2"/>
  <c r="H61" i="2"/>
  <c r="G61" i="2"/>
  <c r="F61" i="2"/>
  <c r="I60" i="2"/>
  <c r="H60" i="2"/>
  <c r="G60" i="2"/>
  <c r="F60" i="2"/>
  <c r="I59" i="2"/>
  <c r="H59" i="2"/>
  <c r="G59" i="2"/>
  <c r="F59" i="2"/>
  <c r="I58" i="2"/>
  <c r="H58" i="2"/>
  <c r="G58" i="2"/>
  <c r="F58" i="2"/>
  <c r="I57" i="2"/>
  <c r="H57" i="2"/>
  <c r="G57" i="2"/>
  <c r="F57" i="2"/>
  <c r="I56" i="2"/>
  <c r="H56" i="2"/>
  <c r="G56" i="2"/>
  <c r="F56" i="2"/>
  <c r="I55" i="2"/>
  <c r="H55" i="2"/>
  <c r="G55" i="2"/>
  <c r="F55" i="2"/>
  <c r="I54" i="2"/>
  <c r="H54" i="2"/>
  <c r="G54" i="2"/>
  <c r="F54" i="2"/>
  <c r="I53" i="2"/>
  <c r="H53" i="2"/>
  <c r="G53" i="2"/>
  <c r="F53" i="2"/>
  <c r="I52" i="2"/>
  <c r="H52" i="2"/>
  <c r="G52" i="2"/>
  <c r="F52" i="2"/>
  <c r="I51" i="2"/>
  <c r="H51" i="2"/>
  <c r="G51" i="2"/>
  <c r="F51" i="2"/>
  <c r="I50" i="2"/>
  <c r="H50" i="2"/>
  <c r="G50" i="2"/>
  <c r="F50" i="2"/>
  <c r="I49" i="2"/>
  <c r="H49" i="2"/>
  <c r="G49" i="2"/>
  <c r="F49" i="2"/>
  <c r="I48" i="2"/>
  <c r="H48" i="2"/>
  <c r="G48" i="2"/>
  <c r="F48" i="2"/>
  <c r="I47" i="2"/>
  <c r="H47" i="2"/>
  <c r="G47" i="2"/>
  <c r="F47" i="2"/>
  <c r="I46" i="2"/>
  <c r="H46" i="2"/>
  <c r="G46" i="2"/>
  <c r="F46" i="2"/>
  <c r="I45" i="2"/>
  <c r="H45" i="2"/>
  <c r="G45" i="2"/>
  <c r="F45" i="2"/>
  <c r="I44" i="2"/>
  <c r="H44" i="2"/>
  <c r="G44" i="2"/>
  <c r="F44" i="2"/>
  <c r="I43" i="2"/>
  <c r="H43" i="2"/>
  <c r="G43" i="2"/>
  <c r="F43" i="2"/>
  <c r="I42" i="2"/>
  <c r="H42" i="2"/>
  <c r="G42" i="2"/>
  <c r="F42" i="2"/>
  <c r="I41" i="2"/>
  <c r="H41" i="2"/>
  <c r="G41" i="2"/>
  <c r="F41" i="2"/>
  <c r="I40" i="2"/>
  <c r="H40" i="2"/>
  <c r="G40" i="2"/>
  <c r="F40" i="2"/>
  <c r="I39" i="2"/>
  <c r="H39" i="2"/>
  <c r="G39" i="2"/>
  <c r="F39" i="2"/>
  <c r="I38" i="2"/>
  <c r="H38" i="2"/>
  <c r="G38" i="2"/>
  <c r="F38" i="2"/>
  <c r="I37" i="2"/>
  <c r="H37" i="2"/>
  <c r="G37" i="2"/>
  <c r="F37" i="2"/>
  <c r="I36" i="2"/>
  <c r="H36" i="2"/>
  <c r="G36" i="2"/>
  <c r="F36" i="2"/>
  <c r="I35" i="2"/>
  <c r="H35" i="2"/>
  <c r="G35" i="2"/>
  <c r="F35" i="2"/>
  <c r="I34" i="2"/>
  <c r="H34" i="2"/>
  <c r="G34" i="2"/>
  <c r="F34" i="2"/>
  <c r="I33" i="2"/>
  <c r="H33" i="2"/>
  <c r="G33" i="2"/>
  <c r="F33" i="2"/>
  <c r="I32" i="2"/>
  <c r="H32" i="2"/>
  <c r="G32" i="2"/>
  <c r="F32" i="2"/>
  <c r="I31" i="2"/>
  <c r="H31" i="2"/>
  <c r="G31" i="2"/>
  <c r="F31" i="2"/>
  <c r="I30" i="2"/>
  <c r="H30" i="2"/>
  <c r="G30" i="2"/>
  <c r="F30" i="2"/>
  <c r="I29" i="2"/>
  <c r="H29" i="2"/>
  <c r="G29" i="2"/>
  <c r="F29" i="2"/>
  <c r="I28" i="2"/>
  <c r="H28" i="2"/>
  <c r="G28" i="2"/>
  <c r="F28" i="2"/>
  <c r="I27" i="2"/>
  <c r="H27" i="2"/>
  <c r="G27" i="2"/>
  <c r="F27" i="2"/>
  <c r="I26" i="2"/>
  <c r="H26" i="2"/>
  <c r="G26" i="2"/>
  <c r="F26" i="2"/>
  <c r="I25" i="2"/>
  <c r="H25" i="2"/>
  <c r="G25" i="2"/>
  <c r="F25" i="2"/>
  <c r="I24" i="2"/>
  <c r="H24" i="2"/>
  <c r="G24" i="2"/>
  <c r="F24" i="2"/>
  <c r="I23" i="2"/>
  <c r="H23" i="2"/>
  <c r="G23" i="2"/>
  <c r="F23" i="2"/>
  <c r="I22" i="2"/>
  <c r="H22" i="2"/>
  <c r="G22" i="2"/>
  <c r="F22" i="2"/>
  <c r="I21" i="2"/>
  <c r="H21" i="2"/>
  <c r="G21" i="2"/>
  <c r="F21" i="2"/>
  <c r="I20" i="2"/>
  <c r="H20" i="2"/>
  <c r="G20" i="2"/>
  <c r="F20" i="2"/>
  <c r="I19" i="2"/>
  <c r="H19" i="2"/>
  <c r="G19" i="2"/>
  <c r="F19" i="2"/>
  <c r="I18" i="2"/>
  <c r="H18" i="2"/>
  <c r="G18" i="2"/>
  <c r="F18" i="2"/>
  <c r="I17" i="2"/>
  <c r="H17" i="2"/>
  <c r="G17" i="2"/>
  <c r="F17" i="2"/>
  <c r="I16" i="2"/>
  <c r="H16" i="2"/>
  <c r="G16" i="2"/>
  <c r="F16" i="2"/>
  <c r="I15" i="2"/>
  <c r="H15" i="2"/>
  <c r="G15" i="2"/>
  <c r="F15" i="2"/>
  <c r="I14" i="2"/>
  <c r="H14" i="2"/>
  <c r="G14" i="2"/>
  <c r="F14" i="2"/>
  <c r="I10" i="2"/>
  <c r="H10" i="2"/>
  <c r="G10" i="2"/>
  <c r="F10" i="2"/>
  <c r="R154" i="1" l="1"/>
  <c r="R388" i="1"/>
  <c r="R646" i="1"/>
  <c r="S154" i="1"/>
  <c r="S400" i="1"/>
  <c r="S664" i="1"/>
  <c r="S227" i="1"/>
  <c r="S491" i="1"/>
  <c r="R246" i="1"/>
  <c r="R157" i="1"/>
  <c r="S145" i="1"/>
  <c r="S123" i="1"/>
  <c r="R695" i="1"/>
  <c r="S360" i="1"/>
  <c r="R449" i="1"/>
  <c r="S300" i="1"/>
  <c r="S725" i="1"/>
  <c r="S474" i="1"/>
  <c r="R564" i="1"/>
  <c r="R349" i="1"/>
  <c r="R619" i="1"/>
  <c r="S427" i="1"/>
  <c r="S703" i="1"/>
  <c r="S417" i="1"/>
  <c r="S657" i="1"/>
  <c r="S290" i="1"/>
  <c r="S488" i="1"/>
  <c r="S740" i="1"/>
  <c r="R32" i="1"/>
  <c r="S350" i="1"/>
  <c r="S638" i="1"/>
  <c r="R63" i="1"/>
  <c r="R363" i="1"/>
  <c r="R525" i="1"/>
  <c r="R549" i="1"/>
  <c r="R688" i="1"/>
  <c r="R202" i="1"/>
  <c r="R400" i="1"/>
  <c r="R670" i="1"/>
  <c r="R18" i="1"/>
  <c r="R264" i="1"/>
  <c r="R175" i="1"/>
  <c r="S157" i="1"/>
  <c r="S135" i="1"/>
  <c r="R167" i="1"/>
  <c r="S468" i="1"/>
  <c r="R527" i="1"/>
  <c r="S372" i="1"/>
  <c r="S737" i="1"/>
  <c r="S576" i="1"/>
  <c r="R618" i="1"/>
  <c r="R373" i="1"/>
  <c r="R637" i="1"/>
  <c r="S445" i="1"/>
  <c r="S715" i="1"/>
  <c r="S429" i="1"/>
  <c r="S705" i="1"/>
  <c r="S464" i="1"/>
  <c r="S572" i="1"/>
  <c r="R200" i="1"/>
  <c r="S452" i="1"/>
  <c r="R75" i="1"/>
  <c r="R381" i="1"/>
  <c r="R741" i="1"/>
  <c r="R627" i="1"/>
  <c r="R678" i="1"/>
  <c r="R245" i="1"/>
  <c r="R689" i="1"/>
  <c r="R113" i="1"/>
  <c r="R636" i="1"/>
  <c r="R433" i="1"/>
  <c r="R673" i="1"/>
  <c r="R440" i="1"/>
  <c r="S716" i="1"/>
  <c r="R105" i="1"/>
  <c r="R411" i="1"/>
  <c r="R760" i="1"/>
  <c r="R226" i="1"/>
  <c r="R442" i="1"/>
  <c r="R736" i="1"/>
  <c r="S232" i="1"/>
  <c r="S496" i="1"/>
  <c r="S724" i="1"/>
  <c r="S59" i="1"/>
  <c r="S269" i="1"/>
  <c r="S527" i="1"/>
  <c r="R78" i="1"/>
  <c r="R306" i="1"/>
  <c r="R217" i="1"/>
  <c r="S193" i="1"/>
  <c r="S165" i="1"/>
  <c r="R744" i="1"/>
  <c r="R275" i="1"/>
  <c r="R185" i="1"/>
  <c r="S612" i="1"/>
  <c r="R372" i="1"/>
  <c r="R642" i="1"/>
  <c r="R439" i="1"/>
  <c r="R715" i="1"/>
  <c r="S487" i="1"/>
  <c r="S751" i="1"/>
  <c r="S459" i="1"/>
  <c r="R80" i="1"/>
  <c r="R530" i="1"/>
  <c r="R111" i="1"/>
  <c r="R633" i="1"/>
  <c r="R489" i="1"/>
  <c r="R345" i="1"/>
  <c r="R201" i="1"/>
  <c r="R57" i="1"/>
  <c r="R248" i="1"/>
  <c r="R614" i="1"/>
  <c r="R38" i="1"/>
  <c r="R512" i="1"/>
  <c r="R709" i="1"/>
  <c r="R565" i="1"/>
  <c r="R421" i="1"/>
  <c r="R612" i="1"/>
  <c r="R468" i="1"/>
  <c r="R413" i="1"/>
  <c r="R227" i="1"/>
  <c r="R725" i="1"/>
  <c r="R107" i="1"/>
  <c r="R563" i="1"/>
  <c r="R29" i="1"/>
  <c r="R271" i="1"/>
  <c r="R127" i="1"/>
  <c r="R342" i="1"/>
  <c r="R198" i="1"/>
  <c r="R54" i="1"/>
  <c r="R622" i="1"/>
  <c r="R478" i="1"/>
  <c r="R334" i="1"/>
  <c r="R190" i="1"/>
  <c r="R46" i="1"/>
  <c r="R174" i="1"/>
  <c r="R454" i="1"/>
  <c r="R519" i="1"/>
  <c r="R609" i="1"/>
  <c r="R483" i="1"/>
  <c r="R339" i="1"/>
  <c r="R195" i="1"/>
  <c r="R51" i="1"/>
  <c r="R224" i="1"/>
  <c r="R62" i="1"/>
  <c r="R464" i="1"/>
  <c r="R703" i="1"/>
  <c r="R559" i="1"/>
  <c r="R415" i="1"/>
  <c r="R606" i="1"/>
  <c r="R462" i="1"/>
  <c r="R389" i="1"/>
  <c r="R197" i="1"/>
  <c r="R707" i="1"/>
  <c r="R71" i="1"/>
  <c r="R533" i="1"/>
  <c r="R265" i="1"/>
  <c r="R121" i="1"/>
  <c r="R336" i="1"/>
  <c r="R192" i="1"/>
  <c r="R48" i="1"/>
  <c r="R616" i="1"/>
  <c r="R472" i="1"/>
  <c r="R328" i="1"/>
  <c r="R184" i="1"/>
  <c r="R40" i="1"/>
  <c r="R754" i="1"/>
  <c r="R318" i="1"/>
  <c r="R166" i="1"/>
  <c r="R591" i="1"/>
  <c r="R477" i="1"/>
  <c r="R333" i="1"/>
  <c r="R189" i="1"/>
  <c r="R45" i="1"/>
  <c r="R728" i="1"/>
  <c r="R194" i="1"/>
  <c r="R404" i="1"/>
  <c r="R697" i="1"/>
  <c r="R553" i="1"/>
  <c r="R409" i="1"/>
  <c r="R600" i="1"/>
  <c r="R456" i="1"/>
  <c r="R719" i="1"/>
  <c r="R365" i="1"/>
  <c r="R173" i="1"/>
  <c r="R683" i="1"/>
  <c r="R11" i="1"/>
  <c r="R509" i="1"/>
  <c r="R259" i="1"/>
  <c r="R115" i="1"/>
  <c r="R330" i="1"/>
  <c r="R186" i="1"/>
  <c r="R42" i="1"/>
  <c r="R610" i="1"/>
  <c r="R466" i="1"/>
  <c r="R322" i="1"/>
  <c r="R178" i="1"/>
  <c r="R34" i="1"/>
  <c r="R742" i="1"/>
  <c r="R247" i="1"/>
  <c r="R310" i="1"/>
  <c r="R573" i="1"/>
  <c r="R471" i="1"/>
  <c r="R327" i="1"/>
  <c r="R183" i="1"/>
  <c r="R39" i="1"/>
  <c r="R674" i="1"/>
  <c r="R170" i="1"/>
  <c r="R704" i="1"/>
  <c r="R356" i="1"/>
  <c r="R691" i="1"/>
  <c r="R547" i="1"/>
  <c r="R403" i="1"/>
  <c r="R594" i="1"/>
  <c r="R450" i="1"/>
  <c r="R593" i="1"/>
  <c r="R341" i="1"/>
  <c r="R761" i="1"/>
  <c r="R143" i="1"/>
  <c r="R665" i="1"/>
  <c r="R485" i="1"/>
  <c r="R253" i="1"/>
  <c r="R109" i="1"/>
  <c r="R324" i="1"/>
  <c r="R180" i="1"/>
  <c r="R36" i="1"/>
  <c r="R604" i="1"/>
  <c r="R460" i="1"/>
  <c r="R316" i="1"/>
  <c r="R172" i="1"/>
  <c r="R28" i="1"/>
  <c r="R724" i="1"/>
  <c r="R103" i="1"/>
  <c r="R30" i="1"/>
  <c r="R598" i="1"/>
  <c r="R22" i="1"/>
  <c r="R712" i="1"/>
  <c r="R561" i="1"/>
  <c r="R644" i="1"/>
  <c r="R465" i="1"/>
  <c r="R321" i="1"/>
  <c r="R177" i="1"/>
  <c r="R33" i="1"/>
  <c r="R596" i="1"/>
  <c r="R140" i="1"/>
  <c r="R632" i="1"/>
  <c r="R746" i="1"/>
  <c r="R308" i="1"/>
  <c r="R685" i="1"/>
  <c r="R541" i="1"/>
  <c r="R397" i="1"/>
  <c r="R588" i="1"/>
  <c r="R444" i="1"/>
  <c r="R461" i="1"/>
  <c r="R317" i="1"/>
  <c r="R743" i="1"/>
  <c r="R119" i="1"/>
  <c r="R647" i="1"/>
  <c r="R455" i="1"/>
  <c r="R543" i="1"/>
  <c r="R723" i="1"/>
  <c r="R74" i="1"/>
  <c r="R459" i="1"/>
  <c r="R315" i="1"/>
  <c r="R171" i="1"/>
  <c r="R27" i="1"/>
  <c r="R542" i="1"/>
  <c r="R104" i="1"/>
  <c r="R572" i="1"/>
  <c r="R716" i="1"/>
  <c r="R254" i="1"/>
  <c r="R679" i="1"/>
  <c r="R535" i="1"/>
  <c r="R391" i="1"/>
  <c r="R582" i="1"/>
  <c r="R438" i="1"/>
  <c r="R305" i="1"/>
  <c r="R287" i="1"/>
  <c r="R713" i="1"/>
  <c r="R95" i="1"/>
  <c r="R629" i="1"/>
  <c r="R431" i="1"/>
  <c r="R241" i="1"/>
  <c r="R97" i="1"/>
  <c r="R312" i="1"/>
  <c r="R168" i="1"/>
  <c r="R24" i="1"/>
  <c r="R592" i="1"/>
  <c r="R448" i="1"/>
  <c r="R304" i="1"/>
  <c r="R160" i="1"/>
  <c r="R16" i="1"/>
  <c r="R694" i="1"/>
  <c r="R651" i="1"/>
  <c r="R447" i="1"/>
  <c r="R303" i="1"/>
  <c r="R159" i="1"/>
  <c r="R15" i="1"/>
  <c r="R56" i="1"/>
  <c r="R428" i="1"/>
  <c r="R752" i="1"/>
  <c r="R500" i="1"/>
  <c r="R620" i="1"/>
  <c r="R158" i="1"/>
  <c r="R667" i="1"/>
  <c r="R523" i="1"/>
  <c r="R379" i="1"/>
  <c r="R570" i="1"/>
  <c r="R426" i="1"/>
  <c r="R672" i="1"/>
  <c r="R233" i="1"/>
  <c r="R659" i="1"/>
  <c r="R53" i="1"/>
  <c r="R569" i="1"/>
  <c r="R377" i="1"/>
  <c r="R229" i="1"/>
  <c r="R85" i="1"/>
  <c r="R300" i="1"/>
  <c r="R156" i="1"/>
  <c r="R12" i="1"/>
  <c r="R580" i="1"/>
  <c r="R436" i="1"/>
  <c r="R292" i="1"/>
  <c r="R148" i="1"/>
  <c r="R4" i="1"/>
  <c r="R615" i="1"/>
  <c r="R441" i="1"/>
  <c r="R297" i="1"/>
  <c r="R153" i="1"/>
  <c r="R9" i="1"/>
  <c r="R380" i="1"/>
  <c r="R710" i="1"/>
  <c r="R758" i="1"/>
  <c r="R5" i="1"/>
  <c r="R470" i="1"/>
  <c r="R675" i="1"/>
  <c r="R537" i="1"/>
  <c r="R429" i="1"/>
  <c r="R285" i="1"/>
  <c r="R141" i="1"/>
  <c r="R278" i="1"/>
  <c r="R3" i="1"/>
  <c r="R608" i="1"/>
  <c r="R692" i="1"/>
  <c r="R416" i="1"/>
  <c r="R722" i="1"/>
  <c r="R482" i="1"/>
  <c r="R649" i="1"/>
  <c r="R505" i="1"/>
  <c r="R361" i="1"/>
  <c r="R552" i="1"/>
  <c r="R408" i="1"/>
  <c r="R702" i="1"/>
  <c r="R155" i="1"/>
  <c r="R575" i="1"/>
  <c r="R491" i="1"/>
  <c r="R299" i="1"/>
  <c r="R211" i="1"/>
  <c r="R67" i="1"/>
  <c r="R282" i="1"/>
  <c r="R138" i="1"/>
  <c r="R562" i="1"/>
  <c r="R418" i="1"/>
  <c r="R274" i="1"/>
  <c r="R130" i="1"/>
  <c r="R645" i="1"/>
  <c r="R423" i="1"/>
  <c r="R279" i="1"/>
  <c r="R135" i="1"/>
  <c r="R230" i="1"/>
  <c r="R560" i="1"/>
  <c r="R650" i="1"/>
  <c r="R680" i="1"/>
  <c r="R374" i="1"/>
  <c r="R662" i="1"/>
  <c r="R434" i="1"/>
  <c r="R643" i="1"/>
  <c r="R499" i="1"/>
  <c r="R355" i="1"/>
  <c r="R546" i="1"/>
  <c r="R402" i="1"/>
  <c r="R755" i="1"/>
  <c r="R131" i="1"/>
  <c r="R551" i="1"/>
  <c r="R467" i="1"/>
  <c r="R281" i="1"/>
  <c r="R205" i="1"/>
  <c r="R61" i="1"/>
  <c r="R276" i="1"/>
  <c r="R132" i="1"/>
  <c r="R556" i="1"/>
  <c r="R412" i="1"/>
  <c r="R268" i="1"/>
  <c r="R124" i="1"/>
  <c r="R753" i="1"/>
  <c r="R699" i="1"/>
  <c r="R669" i="1"/>
  <c r="R405" i="1"/>
  <c r="R261" i="1"/>
  <c r="R117" i="1"/>
  <c r="R92" i="1"/>
  <c r="R386" i="1"/>
  <c r="R518" i="1"/>
  <c r="R242" i="1"/>
  <c r="R494" i="1"/>
  <c r="R302" i="1"/>
  <c r="R625" i="1"/>
  <c r="R481" i="1"/>
  <c r="R337" i="1"/>
  <c r="R714" i="1"/>
  <c r="R528" i="1"/>
  <c r="R384" i="1"/>
  <c r="R677" i="1"/>
  <c r="R65" i="1"/>
  <c r="R479" i="1"/>
  <c r="R383" i="1"/>
  <c r="R215" i="1"/>
  <c r="R187" i="1"/>
  <c r="R43" i="1"/>
  <c r="R258" i="1"/>
  <c r="R114" i="1"/>
  <c r="R718" i="1"/>
  <c r="R538" i="1"/>
  <c r="R603" i="1"/>
  <c r="R687" i="1"/>
  <c r="R555" i="1"/>
  <c r="R387" i="1"/>
  <c r="R243" i="1"/>
  <c r="R99" i="1"/>
  <c r="R236" i="1"/>
  <c r="R422" i="1"/>
  <c r="R98" i="1"/>
  <c r="R362" i="1"/>
  <c r="R176" i="1"/>
  <c r="R751" i="1"/>
  <c r="R607" i="1"/>
  <c r="R463" i="1"/>
  <c r="R319" i="1"/>
  <c r="R654" i="1"/>
  <c r="R510" i="1"/>
  <c r="R366" i="1"/>
  <c r="R41" i="1"/>
  <c r="R581" i="1"/>
  <c r="R395" i="1"/>
  <c r="R720" i="1"/>
  <c r="R311" i="1"/>
  <c r="R161" i="1"/>
  <c r="R169" i="1"/>
  <c r="R25" i="1"/>
  <c r="R735" i="1"/>
  <c r="R513" i="1"/>
  <c r="R369" i="1"/>
  <c r="R225" i="1"/>
  <c r="R81" i="1"/>
  <c r="R68" i="1"/>
  <c r="R14" i="1"/>
  <c r="R344" i="1"/>
  <c r="R129" i="1"/>
  <c r="R453" i="1"/>
  <c r="R693" i="1"/>
  <c r="R10" i="1"/>
  <c r="R244" i="1"/>
  <c r="R496" i="1"/>
  <c r="S4" i="1"/>
  <c r="S250" i="1"/>
  <c r="S514" i="1"/>
  <c r="S77" i="1"/>
  <c r="S305" i="1"/>
  <c r="S551" i="1"/>
  <c r="R96" i="1"/>
  <c r="R360" i="1"/>
  <c r="R277" i="1"/>
  <c r="S223" i="1"/>
  <c r="S189" i="1"/>
  <c r="R83" i="1"/>
  <c r="S294" i="1"/>
  <c r="R407" i="1"/>
  <c r="R726" i="1"/>
  <c r="R443" i="1"/>
  <c r="R396" i="1"/>
  <c r="R684" i="1"/>
  <c r="R457" i="1"/>
  <c r="R733" i="1"/>
  <c r="S547" i="1"/>
  <c r="S225" i="1"/>
  <c r="R128" i="1"/>
  <c r="R212" i="1"/>
  <c r="R296" i="1"/>
  <c r="R147" i="1"/>
  <c r="R495" i="1"/>
  <c r="R473" i="1"/>
  <c r="O771" i="1"/>
  <c r="O772" i="1"/>
  <c r="S56" i="1"/>
  <c r="S308" i="1"/>
  <c r="S440" i="1"/>
  <c r="S428" i="1"/>
  <c r="S188" i="1"/>
  <c r="S693" i="1"/>
  <c r="S549" i="1"/>
  <c r="S405" i="1"/>
  <c r="S261" i="1"/>
  <c r="S679" i="1"/>
  <c r="S535" i="1"/>
  <c r="S391" i="1"/>
  <c r="S636" i="1"/>
  <c r="S444" i="1"/>
  <c r="S384" i="1"/>
  <c r="S719" i="1"/>
  <c r="S216" i="1"/>
  <c r="S744" i="1"/>
  <c r="S570" i="1"/>
  <c r="S117" i="1"/>
  <c r="S271" i="1"/>
  <c r="S127" i="1"/>
  <c r="S629" i="1"/>
  <c r="S485" i="1"/>
  <c r="S341" i="1"/>
  <c r="S197" i="1"/>
  <c r="S53" i="1"/>
  <c r="S634" i="1"/>
  <c r="S490" i="1"/>
  <c r="S346" i="1"/>
  <c r="S202" i="1"/>
  <c r="S58" i="1"/>
  <c r="S688" i="1"/>
  <c r="S103" i="1"/>
  <c r="S317" i="1"/>
  <c r="S610" i="1"/>
  <c r="S178" i="1"/>
  <c r="S44" i="1"/>
  <c r="S254" i="1"/>
  <c r="S392" i="1"/>
  <c r="S380" i="1"/>
  <c r="S146" i="1"/>
  <c r="S687" i="1"/>
  <c r="S543" i="1"/>
  <c r="S399" i="1"/>
  <c r="S255" i="1"/>
  <c r="S673" i="1"/>
  <c r="S529" i="1"/>
  <c r="S385" i="1"/>
  <c r="S588" i="1"/>
  <c r="S408" i="1"/>
  <c r="S336" i="1"/>
  <c r="S713" i="1"/>
  <c r="S180" i="1"/>
  <c r="S702" i="1"/>
  <c r="S516" i="1"/>
  <c r="S111" i="1"/>
  <c r="S265" i="1"/>
  <c r="S121" i="1"/>
  <c r="S623" i="1"/>
  <c r="S479" i="1"/>
  <c r="S335" i="1"/>
  <c r="S191" i="1"/>
  <c r="S47" i="1"/>
  <c r="S628" i="1"/>
  <c r="S484" i="1"/>
  <c r="S340" i="1"/>
  <c r="S196" i="1"/>
  <c r="S52" i="1"/>
  <c r="S198" i="1"/>
  <c r="S93" i="1"/>
  <c r="S173" i="1"/>
  <c r="S34" i="1"/>
  <c r="S602" i="1"/>
  <c r="S194" i="1"/>
  <c r="S344" i="1"/>
  <c r="S332" i="1"/>
  <c r="S92" i="1"/>
  <c r="S681" i="1"/>
  <c r="S537" i="1"/>
  <c r="S393" i="1"/>
  <c r="S249" i="1"/>
  <c r="S667" i="1"/>
  <c r="S523" i="1"/>
  <c r="S379" i="1"/>
  <c r="S534" i="1"/>
  <c r="S366" i="1"/>
  <c r="S288" i="1"/>
  <c r="S707" i="1"/>
  <c r="S144" i="1"/>
  <c r="S648" i="1"/>
  <c r="S486" i="1"/>
  <c r="S105" i="1"/>
  <c r="S259" i="1"/>
  <c r="S115" i="1"/>
  <c r="S617" i="1"/>
  <c r="S473" i="1"/>
  <c r="S329" i="1"/>
  <c r="S185" i="1"/>
  <c r="S41" i="1"/>
  <c r="S622" i="1"/>
  <c r="S478" i="1"/>
  <c r="S334" i="1"/>
  <c r="S190" i="1"/>
  <c r="S46" i="1"/>
  <c r="S461" i="1"/>
  <c r="S322" i="1"/>
  <c r="S206" i="1"/>
  <c r="S158" i="1"/>
  <c r="S302" i="1"/>
  <c r="S284" i="1"/>
  <c r="S20" i="1"/>
  <c r="S728" i="1"/>
  <c r="S675" i="1"/>
  <c r="S531" i="1"/>
  <c r="S387" i="1"/>
  <c r="S243" i="1"/>
  <c r="S661" i="1"/>
  <c r="S517" i="1"/>
  <c r="S373" i="1"/>
  <c r="S492" i="1"/>
  <c r="S312" i="1"/>
  <c r="S240" i="1"/>
  <c r="S701" i="1"/>
  <c r="S108" i="1"/>
  <c r="S600" i="1"/>
  <c r="S456" i="1"/>
  <c r="S99" i="1"/>
  <c r="S253" i="1"/>
  <c r="S109" i="1"/>
  <c r="S611" i="1"/>
  <c r="S467" i="1"/>
  <c r="S323" i="1"/>
  <c r="S179" i="1"/>
  <c r="S35" i="1"/>
  <c r="S616" i="1"/>
  <c r="S472" i="1"/>
  <c r="S328" i="1"/>
  <c r="S184" i="1"/>
  <c r="S40" i="1"/>
  <c r="S605" i="1"/>
  <c r="S29" i="1"/>
  <c r="S466" i="1"/>
  <c r="S650" i="1"/>
  <c r="S110" i="1"/>
  <c r="S248" i="1"/>
  <c r="S230" i="1"/>
  <c r="S686" i="1"/>
  <c r="S669" i="1"/>
  <c r="S525" i="1"/>
  <c r="S381" i="1"/>
  <c r="S237" i="1"/>
  <c r="S655" i="1"/>
  <c r="S511" i="1"/>
  <c r="S367" i="1"/>
  <c r="S438" i="1"/>
  <c r="S258" i="1"/>
  <c r="S695" i="1"/>
  <c r="S72" i="1"/>
  <c r="S558" i="1"/>
  <c r="S402" i="1"/>
  <c r="S247" i="1"/>
  <c r="S170" i="1"/>
  <c r="S68" i="1"/>
  <c r="S200" i="1"/>
  <c r="S164" i="1"/>
  <c r="S620" i="1"/>
  <c r="S663" i="1"/>
  <c r="S519" i="1"/>
  <c r="S375" i="1"/>
  <c r="S231" i="1"/>
  <c r="S649" i="1"/>
  <c r="S505" i="1"/>
  <c r="S361" i="1"/>
  <c r="S390" i="1"/>
  <c r="S210" i="1"/>
  <c r="S162" i="1"/>
  <c r="S689" i="1"/>
  <c r="S36" i="1"/>
  <c r="S738" i="1"/>
  <c r="S510" i="1"/>
  <c r="S348" i="1"/>
  <c r="S87" i="1"/>
  <c r="S241" i="1"/>
  <c r="S97" i="1"/>
  <c r="S599" i="1"/>
  <c r="S455" i="1"/>
  <c r="S311" i="1"/>
  <c r="S167" i="1"/>
  <c r="S23" i="1"/>
  <c r="S604" i="1"/>
  <c r="S460" i="1"/>
  <c r="S316" i="1"/>
  <c r="S172" i="1"/>
  <c r="S28" i="1"/>
  <c r="S752" i="1"/>
  <c r="S26" i="1"/>
  <c r="S722" i="1"/>
  <c r="S98" i="1"/>
  <c r="S734" i="1"/>
  <c r="S512" i="1"/>
  <c r="S651" i="1"/>
  <c r="S507" i="1"/>
  <c r="S363" i="1"/>
  <c r="S219" i="1"/>
  <c r="S637" i="1"/>
  <c r="S493" i="1"/>
  <c r="S349" i="1"/>
  <c r="S282" i="1"/>
  <c r="S138" i="1"/>
  <c r="S78" i="1"/>
  <c r="S677" i="1"/>
  <c r="S642" i="1"/>
  <c r="S432" i="1"/>
  <c r="S252" i="1"/>
  <c r="S75" i="1"/>
  <c r="S229" i="1"/>
  <c r="S85" i="1"/>
  <c r="S587" i="1"/>
  <c r="S443" i="1"/>
  <c r="S299" i="1"/>
  <c r="S155" i="1"/>
  <c r="S11" i="1"/>
  <c r="S592" i="1"/>
  <c r="S448" i="1"/>
  <c r="S304" i="1"/>
  <c r="S160" i="1"/>
  <c r="S16" i="1"/>
  <c r="S6" i="1"/>
  <c r="S698" i="1"/>
  <c r="S662" i="1"/>
  <c r="S584" i="1"/>
  <c r="S266" i="1"/>
  <c r="S542" i="1"/>
  <c r="S644" i="1"/>
  <c r="S362" i="1"/>
  <c r="S633" i="1"/>
  <c r="S489" i="1"/>
  <c r="S345" i="1"/>
  <c r="S763" i="1"/>
  <c r="S619" i="1"/>
  <c r="S475" i="1"/>
  <c r="S331" i="1"/>
  <c r="S132" i="1"/>
  <c r="S66" i="1"/>
  <c r="S659" i="1"/>
  <c r="S762" i="1"/>
  <c r="S504" i="1"/>
  <c r="S306" i="1"/>
  <c r="S102" i="1"/>
  <c r="S201" i="1"/>
  <c r="S57" i="1"/>
  <c r="S211" i="1"/>
  <c r="S67" i="1"/>
  <c r="S569" i="1"/>
  <c r="S425" i="1"/>
  <c r="S281" i="1"/>
  <c r="S137" i="1"/>
  <c r="S574" i="1"/>
  <c r="S430" i="1"/>
  <c r="S286" i="1"/>
  <c r="S142" i="1"/>
  <c r="S730" i="1"/>
  <c r="S42" i="1"/>
  <c r="S754" i="1"/>
  <c r="S8" i="1"/>
  <c r="S536" i="1"/>
  <c r="S494" i="1"/>
  <c r="S608" i="1"/>
  <c r="S320" i="1"/>
  <c r="S627" i="1"/>
  <c r="S483" i="1"/>
  <c r="S339" i="1"/>
  <c r="S757" i="1"/>
  <c r="S613" i="1"/>
  <c r="S469" i="1"/>
  <c r="S325" i="1"/>
  <c r="S84" i="1"/>
  <c r="S653" i="1"/>
  <c r="S708" i="1"/>
  <c r="S462" i="1"/>
  <c r="S264" i="1"/>
  <c r="S30" i="1"/>
  <c r="S195" i="1"/>
  <c r="S51" i="1"/>
  <c r="S205" i="1"/>
  <c r="S61" i="1"/>
  <c r="S563" i="1"/>
  <c r="S419" i="1"/>
  <c r="S275" i="1"/>
  <c r="S131" i="1"/>
  <c r="S568" i="1"/>
  <c r="S424" i="1"/>
  <c r="S280" i="1"/>
  <c r="S136" i="1"/>
  <c r="S736" i="1"/>
  <c r="S706" i="1"/>
  <c r="S747" i="1"/>
  <c r="S404" i="1"/>
  <c r="S374" i="1"/>
  <c r="S518" i="1"/>
  <c r="S218" i="1"/>
  <c r="S609" i="1"/>
  <c r="S465" i="1"/>
  <c r="S321" i="1"/>
  <c r="S739" i="1"/>
  <c r="S595" i="1"/>
  <c r="S451" i="1"/>
  <c r="S307" i="1"/>
  <c r="S60" i="1"/>
  <c r="S582" i="1"/>
  <c r="S318" i="1"/>
  <c r="S150" i="1"/>
  <c r="S177" i="1"/>
  <c r="S33" i="1"/>
  <c r="S187" i="1"/>
  <c r="S43" i="1"/>
  <c r="S545" i="1"/>
  <c r="S401" i="1"/>
  <c r="S257" i="1"/>
  <c r="S113" i="1"/>
  <c r="S712" i="1"/>
  <c r="S550" i="1"/>
  <c r="S406" i="1"/>
  <c r="S262" i="1"/>
  <c r="S118" i="1"/>
  <c r="S729" i="1"/>
  <c r="S596" i="1"/>
  <c r="S278" i="1"/>
  <c r="S674" i="1"/>
  <c r="S224" i="1"/>
  <c r="S434" i="1"/>
  <c r="S14" i="1"/>
  <c r="S591" i="1"/>
  <c r="S447" i="1"/>
  <c r="S303" i="1"/>
  <c r="S721" i="1"/>
  <c r="S577" i="1"/>
  <c r="S433" i="1"/>
  <c r="S684" i="1"/>
  <c r="S761" i="1"/>
  <c r="S450" i="1"/>
  <c r="S174" i="1"/>
  <c r="S159" i="1"/>
  <c r="S15" i="1"/>
  <c r="S169" i="1"/>
  <c r="S25" i="1"/>
  <c r="S152" i="1"/>
  <c r="S506" i="1"/>
  <c r="S626" i="1"/>
  <c r="S690" i="1"/>
  <c r="R314" i="1"/>
  <c r="R26" i="1"/>
  <c r="R165" i="1"/>
  <c r="R501" i="1"/>
  <c r="R663" i="1"/>
  <c r="R58" i="1"/>
  <c r="S22" i="1"/>
  <c r="R368" i="1"/>
  <c r="R134" i="1"/>
  <c r="R207" i="1"/>
  <c r="R507" i="1"/>
  <c r="R681" i="1"/>
  <c r="R64" i="1"/>
  <c r="R514" i="1"/>
  <c r="S64" i="1"/>
  <c r="S274" i="1"/>
  <c r="S532" i="1"/>
  <c r="S95" i="1"/>
  <c r="S359" i="1"/>
  <c r="S581" i="1"/>
  <c r="R120" i="1"/>
  <c r="R19" i="1"/>
  <c r="S7" i="1"/>
  <c r="S283" i="1"/>
  <c r="R149" i="1"/>
  <c r="S714" i="1"/>
  <c r="R545" i="1"/>
  <c r="S222" i="1"/>
  <c r="R515" i="1"/>
  <c r="R756" i="1"/>
  <c r="R732" i="1"/>
  <c r="R432" i="1"/>
  <c r="S186" i="1"/>
  <c r="R487" i="1"/>
  <c r="R757" i="1"/>
  <c r="S565" i="1"/>
  <c r="S279" i="1"/>
  <c r="S555" i="1"/>
  <c r="R20" i="1"/>
  <c r="R350" i="1"/>
  <c r="R410" i="1"/>
  <c r="S3" i="1"/>
  <c r="R392" i="1"/>
  <c r="R188" i="1"/>
  <c r="R213" i="1"/>
  <c r="S717" i="1"/>
  <c r="R711" i="1"/>
  <c r="R52" i="1"/>
  <c r="R102" i="1"/>
  <c r="R7" i="1"/>
  <c r="R283" i="1"/>
  <c r="R437" i="1"/>
  <c r="R35" i="1"/>
  <c r="R762" i="1"/>
  <c r="S553" i="1"/>
  <c r="S501" i="1"/>
  <c r="R218" i="1"/>
  <c r="R266" i="1"/>
  <c r="R256" i="1"/>
  <c r="R508" i="1"/>
  <c r="S268" i="1"/>
  <c r="S526" i="1"/>
  <c r="S89" i="1"/>
  <c r="S353" i="1"/>
  <c r="S575" i="1"/>
  <c r="R108" i="1"/>
  <c r="R13" i="1"/>
  <c r="R289" i="1"/>
  <c r="S277" i="1"/>
  <c r="R125" i="1"/>
  <c r="S666" i="1"/>
  <c r="R521" i="1"/>
  <c r="S114" i="1"/>
  <c r="R497" i="1"/>
  <c r="R708" i="1"/>
  <c r="R420" i="1"/>
  <c r="S54" i="1"/>
  <c r="R475" i="1"/>
  <c r="R745" i="1"/>
  <c r="S559" i="1"/>
  <c r="S273" i="1"/>
  <c r="S513" i="1"/>
  <c r="R260" i="1"/>
  <c r="R320" i="1"/>
  <c r="R262" i="1"/>
  <c r="R70" i="1"/>
  <c r="R280" i="1"/>
  <c r="R520" i="1"/>
  <c r="S70" i="1"/>
  <c r="S292" i="1"/>
  <c r="S538" i="1"/>
  <c r="S101" i="1"/>
  <c r="S365" i="1"/>
  <c r="S593" i="1"/>
  <c r="R126" i="1"/>
  <c r="R31" i="1"/>
  <c r="S13" i="1"/>
  <c r="S289" i="1"/>
  <c r="R179" i="1"/>
  <c r="S750" i="1"/>
  <c r="R599" i="1"/>
  <c r="S270" i="1"/>
  <c r="R539" i="1"/>
  <c r="S48" i="1"/>
  <c r="S12" i="1"/>
  <c r="R474" i="1"/>
  <c r="S234" i="1"/>
  <c r="R493" i="1"/>
  <c r="R763" i="1"/>
  <c r="S571" i="1"/>
  <c r="S285" i="1"/>
  <c r="S561" i="1"/>
  <c r="R110" i="1"/>
  <c r="R398" i="1"/>
  <c r="R452" i="1"/>
  <c r="S50" i="1"/>
  <c r="R446" i="1"/>
  <c r="R326" i="1"/>
  <c r="R219" i="1"/>
  <c r="S723" i="1"/>
  <c r="R759" i="1"/>
  <c r="R502" i="1"/>
  <c r="R414" i="1"/>
  <c r="R652" i="1"/>
  <c r="R526" i="1"/>
  <c r="S19" i="1"/>
  <c r="S378" i="1"/>
  <c r="S126" i="1"/>
  <c r="S342" i="1"/>
  <c r="R511" i="1"/>
  <c r="S583" i="1"/>
  <c r="S567" i="1"/>
  <c r="R206" i="1"/>
  <c r="R524" i="1"/>
  <c r="S74" i="1"/>
  <c r="R476" i="1"/>
  <c r="R488" i="1"/>
  <c r="S742" i="1"/>
  <c r="R82" i="1"/>
  <c r="R298" i="1"/>
  <c r="R532" i="1"/>
  <c r="S82" i="1"/>
  <c r="S310" i="1"/>
  <c r="S556" i="1"/>
  <c r="S119" i="1"/>
  <c r="S377" i="1"/>
  <c r="S641" i="1"/>
  <c r="R150" i="1"/>
  <c r="R49" i="1"/>
  <c r="S31" i="1"/>
  <c r="S301" i="1"/>
  <c r="R239" i="1"/>
  <c r="R23" i="1"/>
  <c r="S420" i="1"/>
  <c r="R617" i="1"/>
  <c r="S552" i="1"/>
  <c r="S426" i="1"/>
  <c r="R486" i="1"/>
  <c r="S672" i="1"/>
  <c r="R517" i="1"/>
  <c r="S319" i="1"/>
  <c r="S589" i="1"/>
  <c r="S297" i="1"/>
  <c r="S573" i="1"/>
  <c r="R548" i="1"/>
  <c r="R566" i="1"/>
  <c r="R590" i="1"/>
  <c r="S134" i="1"/>
  <c r="R554" i="1"/>
  <c r="S80" i="1"/>
  <c r="R237" i="1"/>
  <c r="S741" i="1"/>
  <c r="R639" i="1"/>
  <c r="R88" i="1"/>
  <c r="R340" i="1"/>
  <c r="R544" i="1"/>
  <c r="S88" i="1"/>
  <c r="S352" i="1"/>
  <c r="S562" i="1"/>
  <c r="S125" i="1"/>
  <c r="S383" i="1"/>
  <c r="S647" i="1"/>
  <c r="R162" i="1"/>
  <c r="R55" i="1"/>
  <c r="S37" i="1"/>
  <c r="S9" i="1"/>
  <c r="R263" i="1"/>
  <c r="R77" i="1"/>
  <c r="S564" i="1"/>
  <c r="R641" i="1"/>
  <c r="S480" i="1"/>
  <c r="R492" i="1"/>
  <c r="S720" i="1"/>
  <c r="R529" i="1"/>
  <c r="S337" i="1"/>
  <c r="S601" i="1"/>
  <c r="S309" i="1"/>
  <c r="S579" i="1"/>
  <c r="R578" i="1"/>
  <c r="R686" i="1"/>
  <c r="S38" i="1"/>
  <c r="S272" i="1"/>
  <c r="R584" i="1"/>
  <c r="R122" i="1"/>
  <c r="S104" i="1"/>
  <c r="R638" i="1"/>
  <c r="R249" i="1"/>
  <c r="S753" i="1"/>
  <c r="R705" i="1"/>
  <c r="R531" i="1"/>
  <c r="R101" i="1"/>
  <c r="R286" i="1"/>
  <c r="S635" i="1"/>
  <c r="R231" i="1"/>
  <c r="R346" i="1"/>
  <c r="S580" i="1"/>
  <c r="R204" i="1"/>
  <c r="R329" i="1"/>
  <c r="S606" i="1"/>
  <c r="S540" i="1"/>
  <c r="S343" i="1"/>
  <c r="S326" i="1"/>
  <c r="S759" i="1"/>
  <c r="R100" i="1"/>
  <c r="R352" i="1"/>
  <c r="R568" i="1"/>
  <c r="S100" i="1"/>
  <c r="S364" i="1"/>
  <c r="S586" i="1"/>
  <c r="S149" i="1"/>
  <c r="S395" i="1"/>
  <c r="R210" i="1"/>
  <c r="R79" i="1"/>
  <c r="S55" i="1"/>
  <c r="S27" i="1"/>
  <c r="R353" i="1"/>
  <c r="R269" i="1"/>
  <c r="S696" i="1"/>
  <c r="R731" i="1"/>
  <c r="R671" i="1"/>
  <c r="S594" i="1"/>
  <c r="R504" i="1"/>
  <c r="R301" i="1"/>
  <c r="R577" i="1"/>
  <c r="S355" i="1"/>
  <c r="S625" i="1"/>
  <c r="S327" i="1"/>
  <c r="S597" i="1"/>
  <c r="R668" i="1"/>
  <c r="S296" i="1"/>
  <c r="S122" i="1"/>
  <c r="S422" i="1"/>
  <c r="S128" i="1"/>
  <c r="R284" i="1"/>
  <c r="S182" i="1"/>
  <c r="R267" i="1"/>
  <c r="R717" i="1"/>
  <c r="R255" i="1"/>
  <c r="S161" i="1"/>
  <c r="S407" i="1"/>
  <c r="S73" i="1"/>
  <c r="S39" i="1"/>
  <c r="R401" i="1"/>
  <c r="R690" i="1"/>
  <c r="R293" i="1"/>
  <c r="S354" i="1"/>
  <c r="S624" i="1"/>
  <c r="R696" i="1"/>
  <c r="R516" i="1"/>
  <c r="R307" i="1"/>
  <c r="R583" i="1"/>
  <c r="S397" i="1"/>
  <c r="S631" i="1"/>
  <c r="S333" i="1"/>
  <c r="S603" i="1"/>
  <c r="R698" i="1"/>
  <c r="S338" i="1"/>
  <c r="S476" i="1"/>
  <c r="S458" i="1"/>
  <c r="S176" i="1"/>
  <c r="S482" i="1"/>
  <c r="R332" i="1"/>
  <c r="S236" i="1"/>
  <c r="R273" i="1"/>
  <c r="S76" i="1"/>
  <c r="S107" i="1"/>
  <c r="R203" i="1"/>
  <c r="R557" i="1"/>
  <c r="S313" i="1"/>
  <c r="R536" i="1"/>
  <c r="S735" i="1"/>
  <c r="S94" i="1"/>
  <c r="R73" i="1"/>
  <c r="R419" i="1"/>
  <c r="R295" i="1"/>
  <c r="S607" i="1"/>
  <c r="S242" i="1"/>
  <c r="R734" i="1"/>
  <c r="R182" i="1"/>
  <c r="S116" i="1"/>
  <c r="S212" i="1"/>
  <c r="R747" i="1"/>
  <c r="R358" i="1"/>
  <c r="R216" i="1"/>
  <c r="R112" i="1"/>
  <c r="R364" i="1"/>
  <c r="R586" i="1"/>
  <c r="S112" i="1"/>
  <c r="S376" i="1"/>
  <c r="S640" i="1"/>
  <c r="S203" i="1"/>
  <c r="S413" i="1"/>
  <c r="R222" i="1"/>
  <c r="R133" i="1"/>
  <c r="S79" i="1"/>
  <c r="S45" i="1"/>
  <c r="R587" i="1"/>
  <c r="S18" i="1"/>
  <c r="R323" i="1"/>
  <c r="S528" i="1"/>
  <c r="S654" i="1"/>
  <c r="R750" i="1"/>
  <c r="R522" i="1"/>
  <c r="R313" i="1"/>
  <c r="R589" i="1"/>
  <c r="S403" i="1"/>
  <c r="S643" i="1"/>
  <c r="S351" i="1"/>
  <c r="S615" i="1"/>
  <c r="R740" i="1"/>
  <c r="S368" i="1"/>
  <c r="S530" i="1"/>
  <c r="S590" i="1"/>
  <c r="S632" i="1"/>
  <c r="S524" i="1"/>
  <c r="R458" i="1"/>
  <c r="S314" i="1"/>
  <c r="R8" i="1"/>
  <c r="R291" i="1"/>
  <c r="R76" i="1"/>
  <c r="R144" i="1"/>
  <c r="S324" i="1"/>
  <c r="S358" i="1"/>
  <c r="S49" i="1"/>
  <c r="R251" i="1"/>
  <c r="S585" i="1"/>
  <c r="S62" i="1"/>
  <c r="S370" i="1"/>
  <c r="R91" i="1"/>
  <c r="R118" i="1"/>
  <c r="R370" i="1"/>
  <c r="R628" i="1"/>
  <c r="S124" i="1"/>
  <c r="S382" i="1"/>
  <c r="S646" i="1"/>
  <c r="S209" i="1"/>
  <c r="S431" i="1"/>
  <c r="R228" i="1"/>
  <c r="R139" i="1"/>
  <c r="S91" i="1"/>
  <c r="S63" i="1"/>
  <c r="R605" i="1"/>
  <c r="S96" i="1"/>
  <c r="R347" i="1"/>
  <c r="R738" i="1"/>
  <c r="S665" i="1"/>
  <c r="S726" i="1"/>
  <c r="S90" i="1"/>
  <c r="R534" i="1"/>
  <c r="R325" i="1"/>
  <c r="R595" i="1"/>
  <c r="S409" i="1"/>
  <c r="S685" i="1"/>
  <c r="S357" i="1"/>
  <c r="S621" i="1"/>
  <c r="S86" i="1"/>
  <c r="S386" i="1"/>
  <c r="S578" i="1"/>
  <c r="S758" i="1"/>
  <c r="S566" i="1"/>
  <c r="R506" i="1"/>
  <c r="S356" i="1"/>
  <c r="R602" i="1"/>
  <c r="R309" i="1"/>
  <c r="R739" i="1"/>
  <c r="S298" i="1"/>
  <c r="S371" i="1"/>
  <c r="R37" i="1"/>
  <c r="R749" i="1"/>
  <c r="R480" i="1"/>
  <c r="R550" i="1"/>
  <c r="S389" i="1"/>
  <c r="S21" i="1"/>
  <c r="R498" i="1"/>
  <c r="R571" i="1"/>
  <c r="R574" i="1"/>
  <c r="S598" i="1"/>
  <c r="R136" i="1"/>
  <c r="R376" i="1"/>
  <c r="R634" i="1"/>
  <c r="S130" i="1"/>
  <c r="S388" i="1"/>
  <c r="S652" i="1"/>
  <c r="S215" i="1"/>
  <c r="S437" i="1"/>
  <c r="R234" i="1"/>
  <c r="R145" i="1"/>
  <c r="S133" i="1"/>
  <c r="S69" i="1"/>
  <c r="R623" i="1"/>
  <c r="S192" i="1"/>
  <c r="R371" i="1"/>
  <c r="S246" i="1"/>
  <c r="S671" i="1"/>
  <c r="S756" i="1"/>
  <c r="S120" i="1"/>
  <c r="R540" i="1"/>
  <c r="R331" i="1"/>
  <c r="R601" i="1"/>
  <c r="S415" i="1"/>
  <c r="S691" i="1"/>
  <c r="S369" i="1"/>
  <c r="S639" i="1"/>
  <c r="S140" i="1"/>
  <c r="S416" i="1"/>
  <c r="S656" i="1"/>
  <c r="S692" i="1"/>
  <c r="R656" i="1"/>
  <c r="S446" i="1"/>
  <c r="R351" i="1"/>
  <c r="R250" i="1"/>
  <c r="R469" i="1"/>
  <c r="S544" i="1"/>
  <c r="S295" i="1"/>
  <c r="S291" i="1"/>
  <c r="R597" i="1"/>
  <c r="R94" i="1"/>
  <c r="S143" i="1"/>
  <c r="R701" i="1"/>
  <c r="S315" i="1"/>
  <c r="R626" i="1"/>
  <c r="R585" i="1"/>
  <c r="R106" i="1"/>
  <c r="S106" i="1"/>
  <c r="R142" i="1"/>
  <c r="R382" i="1"/>
  <c r="R640" i="1"/>
  <c r="S148" i="1"/>
  <c r="S394" i="1"/>
  <c r="S658" i="1"/>
  <c r="S221" i="1"/>
  <c r="S449" i="1"/>
  <c r="R240" i="1"/>
  <c r="R151" i="1"/>
  <c r="S139" i="1"/>
  <c r="S81" i="1"/>
  <c r="R653" i="1"/>
  <c r="S228" i="1"/>
  <c r="R425" i="1"/>
  <c r="S276" i="1"/>
  <c r="S683" i="1"/>
  <c r="S168" i="1"/>
  <c r="R558" i="1"/>
  <c r="R343" i="1"/>
  <c r="R613" i="1"/>
  <c r="S421" i="1"/>
  <c r="S697" i="1"/>
  <c r="S411" i="1"/>
  <c r="S645" i="1"/>
  <c r="S260" i="1"/>
  <c r="S470" i="1"/>
  <c r="S704" i="1"/>
  <c r="S746" i="1"/>
  <c r="S32" i="1"/>
  <c r="S500" i="1"/>
  <c r="R21" i="1"/>
  <c r="R357" i="1"/>
  <c r="Q69" i="1"/>
  <c r="Q675" i="1"/>
  <c r="Q459" i="1"/>
  <c r="Q267" i="1"/>
  <c r="Q747" i="1"/>
  <c r="Q519" i="1"/>
  <c r="Q753" i="1"/>
  <c r="Q707" i="1"/>
  <c r="Q294" i="1"/>
  <c r="Q600" i="1"/>
  <c r="Q42" i="1"/>
  <c r="Q324" i="1"/>
  <c r="Q672" i="1"/>
  <c r="Q469" i="1"/>
  <c r="Q398" i="1"/>
  <c r="Q727" i="1"/>
  <c r="Q97" i="1"/>
  <c r="Q673" i="1"/>
  <c r="Q637" i="1"/>
  <c r="Q289" i="1"/>
  <c r="Q260" i="1"/>
  <c r="Q157" i="1"/>
  <c r="Q763" i="1"/>
  <c r="Q650" i="1"/>
  <c r="Q87" i="1"/>
  <c r="Q549" i="1"/>
  <c r="Q327" i="1"/>
  <c r="Q621" i="1"/>
  <c r="T734" i="1"/>
  <c r="Q744" i="1"/>
  <c r="Q617" i="1"/>
  <c r="Q30" i="1"/>
  <c r="Q330" i="1"/>
  <c r="Q648" i="1"/>
  <c r="Q78" i="1"/>
  <c r="Q360" i="1"/>
  <c r="Q762" i="1"/>
  <c r="Q559" i="1"/>
  <c r="Q542" i="1"/>
  <c r="Q241" i="1"/>
  <c r="Q434" i="1"/>
  <c r="Q385" i="1"/>
  <c r="Q404" i="1"/>
  <c r="Q223" i="1"/>
  <c r="Q164" i="1"/>
  <c r="T589" i="1"/>
  <c r="T506" i="1"/>
  <c r="T163" i="1"/>
  <c r="T439" i="1"/>
  <c r="T199" i="1"/>
  <c r="Q8" i="1"/>
  <c r="Q123" i="1"/>
  <c r="Q639" i="1"/>
  <c r="Q405" i="1"/>
  <c r="Q39" i="1"/>
  <c r="Q735" i="1"/>
  <c r="Q64" i="1"/>
  <c r="Q208" i="1"/>
  <c r="Q352" i="1"/>
  <c r="Q496" i="1"/>
  <c r="Q640" i="1"/>
  <c r="Q65" i="1"/>
  <c r="Q209" i="1"/>
  <c r="Q353" i="1"/>
  <c r="Q497" i="1"/>
  <c r="Q521" i="1"/>
  <c r="Q689" i="1"/>
  <c r="Q72" i="1"/>
  <c r="Q372" i="1"/>
  <c r="Q750" i="1"/>
  <c r="Q108" i="1"/>
  <c r="Q390" i="1"/>
  <c r="Q661" i="1"/>
  <c r="Q680" i="1"/>
  <c r="Q31" i="1"/>
  <c r="Q367" i="1"/>
  <c r="Q194" i="1"/>
  <c r="Q517" i="1"/>
  <c r="Q578" i="1"/>
  <c r="Q307" i="1"/>
  <c r="Q284" i="1"/>
  <c r="N769" i="1"/>
  <c r="N770" i="1" s="1"/>
  <c r="N771" i="1" s="1"/>
  <c r="Q50" i="1"/>
  <c r="Q649" i="1"/>
  <c r="Q189" i="1"/>
  <c r="Q741" i="1"/>
  <c r="Q453" i="1"/>
  <c r="Q153" i="1"/>
  <c r="Q70" i="1"/>
  <c r="Q214" i="1"/>
  <c r="Q358" i="1"/>
  <c r="Q502" i="1"/>
  <c r="Q646" i="1"/>
  <c r="Q71" i="1"/>
  <c r="Q215" i="1"/>
  <c r="Q359" i="1"/>
  <c r="Q503" i="1"/>
  <c r="Q533" i="1"/>
  <c r="Q557" i="1"/>
  <c r="Q713" i="1"/>
  <c r="Q570" i="1"/>
  <c r="Q84" i="1"/>
  <c r="Q384" i="1"/>
  <c r="Q120" i="1"/>
  <c r="Q402" i="1"/>
  <c r="T120" i="1"/>
  <c r="T618" i="1"/>
  <c r="Q697" i="1"/>
  <c r="Q734" i="1"/>
  <c r="T174" i="1"/>
  <c r="Q85" i="1"/>
  <c r="Q20" i="1"/>
  <c r="T324" i="1"/>
  <c r="Q403" i="1"/>
  <c r="Q248" i="1"/>
  <c r="T410" i="1"/>
  <c r="T702" i="1"/>
  <c r="T709" i="1"/>
  <c r="T727" i="1"/>
  <c r="Q565" i="1"/>
  <c r="Q620" i="1"/>
  <c r="T404" i="1"/>
  <c r="Q349" i="1"/>
  <c r="Q332" i="1"/>
  <c r="Q86" i="1"/>
  <c r="T632" i="1"/>
  <c r="T205" i="1"/>
  <c r="T757" i="1"/>
  <c r="T265" i="1"/>
  <c r="T8" i="1"/>
  <c r="Q757" i="1"/>
  <c r="Q219" i="1"/>
  <c r="Q27" i="1"/>
  <c r="Q471" i="1"/>
  <c r="T698" i="1"/>
  <c r="M770" i="1"/>
  <c r="M772" i="1" s="1"/>
  <c r="M769" i="1"/>
  <c r="Q754" i="1"/>
  <c r="Q88" i="1"/>
  <c r="Q232" i="1"/>
  <c r="Q376" i="1"/>
  <c r="Q520" i="1"/>
  <c r="Q664" i="1"/>
  <c r="Q89" i="1"/>
  <c r="Q233" i="1"/>
  <c r="Q377" i="1"/>
  <c r="T562" i="1"/>
  <c r="Q605" i="1"/>
  <c r="Q647" i="1"/>
  <c r="Q755" i="1"/>
  <c r="Q126" i="1"/>
  <c r="Q420" i="1"/>
  <c r="T695" i="1"/>
  <c r="Q156" i="1"/>
  <c r="Q438" i="1"/>
  <c r="T150" i="1"/>
  <c r="T714" i="1"/>
  <c r="T481" i="1"/>
  <c r="T240" i="1"/>
  <c r="Q211" i="1"/>
  <c r="Q200" i="1"/>
  <c r="T396" i="1"/>
  <c r="Q529" i="1"/>
  <c r="Q392" i="1"/>
  <c r="T524" i="1"/>
  <c r="Q91" i="1"/>
  <c r="Q140" i="1"/>
  <c r="T36" i="1"/>
  <c r="Q685" i="1"/>
  <c r="Q746" i="1"/>
  <c r="T566" i="1"/>
  <c r="Q463" i="1"/>
  <c r="Q446" i="1"/>
  <c r="T140" i="1"/>
  <c r="Q170" i="1"/>
  <c r="T6" i="1"/>
  <c r="T235" i="1"/>
  <c r="T307" i="1"/>
  <c r="Q80" i="1"/>
  <c r="Q309" i="1"/>
  <c r="Q159" i="1"/>
  <c r="Q513" i="1"/>
  <c r="Q249" i="1"/>
  <c r="Q45" i="1"/>
  <c r="Q651" i="1"/>
  <c r="Q100" i="1"/>
  <c r="Q244" i="1"/>
  <c r="Q388" i="1"/>
  <c r="Q532" i="1"/>
  <c r="Q676" i="1"/>
  <c r="Q101" i="1"/>
  <c r="Q245" i="1"/>
  <c r="Q389" i="1"/>
  <c r="Q653" i="1"/>
  <c r="Q695" i="1"/>
  <c r="Q150" i="1"/>
  <c r="Q444" i="1"/>
  <c r="Q180" i="1"/>
  <c r="Q468" i="1"/>
  <c r="Q37" i="1"/>
  <c r="Q301" i="1"/>
  <c r="Q308" i="1"/>
  <c r="Q607" i="1"/>
  <c r="Q512" i="1"/>
  <c r="Q169" i="1"/>
  <c r="Q230" i="1"/>
  <c r="T582" i="1"/>
  <c r="T367" i="1"/>
  <c r="T656" i="1"/>
  <c r="Q547" i="1"/>
  <c r="Q518" i="1"/>
  <c r="T218" i="1"/>
  <c r="Q236" i="1"/>
  <c r="T86" i="1"/>
  <c r="T19" i="1"/>
  <c r="T253" i="1"/>
  <c r="T337" i="1"/>
  <c r="Q363" i="1"/>
  <c r="Q207" i="1"/>
  <c r="Q561" i="1"/>
  <c r="Q297" i="1"/>
  <c r="T122" i="1"/>
  <c r="Q677" i="1"/>
  <c r="Q725" i="1"/>
  <c r="Q450" i="1"/>
  <c r="Q192" i="1"/>
  <c r="Q79" i="1"/>
  <c r="Q337" i="1"/>
  <c r="Q362" i="1"/>
  <c r="Q655" i="1"/>
  <c r="Q572" i="1"/>
  <c r="T626" i="1"/>
  <c r="Q217" i="1"/>
  <c r="Q278" i="1"/>
  <c r="T134" i="1"/>
  <c r="P771" i="1"/>
  <c r="P772" i="1"/>
  <c r="T648" i="1"/>
  <c r="T457" i="1"/>
  <c r="T24" i="1"/>
  <c r="Q577" i="1"/>
  <c r="Q560" i="1"/>
  <c r="T266" i="1"/>
  <c r="Q272" i="1"/>
  <c r="T116" i="1"/>
  <c r="T25" i="1"/>
  <c r="T259" i="1"/>
  <c r="T391" i="1"/>
  <c r="Q387" i="1"/>
  <c r="Q237" i="1"/>
  <c r="T680" i="1"/>
  <c r="Q573" i="1"/>
  <c r="Q321" i="1"/>
  <c r="T752" i="1"/>
  <c r="T740" i="1"/>
  <c r="Q480" i="1"/>
  <c r="Q112" i="1"/>
  <c r="Q256" i="1"/>
  <c r="Q400" i="1"/>
  <c r="Q544" i="1"/>
  <c r="Q688" i="1"/>
  <c r="Q113" i="1"/>
  <c r="Q257" i="1"/>
  <c r="Q401" i="1"/>
  <c r="T586" i="1"/>
  <c r="Q701" i="1"/>
  <c r="Q749" i="1"/>
  <c r="T670" i="1"/>
  <c r="Q174" i="1"/>
  <c r="Q462" i="1"/>
  <c r="T719" i="1"/>
  <c r="Q204" i="1"/>
  <c r="Q492" i="1"/>
  <c r="T204" i="1"/>
  <c r="Q115" i="1"/>
  <c r="T679" i="1"/>
  <c r="T336" i="1"/>
  <c r="Q379" i="1"/>
  <c r="Q416" i="1"/>
  <c r="T236" i="1"/>
  <c r="T510" i="1"/>
  <c r="Q691" i="1"/>
  <c r="Q626" i="1"/>
  <c r="T42" i="1"/>
  <c r="Q265" i="1"/>
  <c r="Q326" i="1"/>
  <c r="T200" i="1"/>
  <c r="T696" i="1"/>
  <c r="T517" i="1"/>
  <c r="T432" i="1"/>
  <c r="Q619" i="1"/>
  <c r="Q584" i="1"/>
  <c r="T314" i="1"/>
  <c r="Q296" i="1"/>
  <c r="T146" i="1"/>
  <c r="T31" i="1"/>
  <c r="T271" i="1"/>
  <c r="T74" i="1"/>
  <c r="T421" i="1"/>
  <c r="Q417" i="1"/>
  <c r="Q261" i="1"/>
  <c r="Q33" i="1"/>
  <c r="Q591" i="1"/>
  <c r="Q333" i="1"/>
  <c r="T710" i="1"/>
  <c r="T716" i="1"/>
  <c r="Q250" i="1"/>
  <c r="Q251" i="1"/>
  <c r="Q118" i="1"/>
  <c r="Q262" i="1"/>
  <c r="Q406" i="1"/>
  <c r="Q550" i="1"/>
  <c r="Q694" i="1"/>
  <c r="Q119" i="1"/>
  <c r="Q263" i="1"/>
  <c r="Q407" i="1"/>
  <c r="T592" i="1"/>
  <c r="Q731" i="1"/>
  <c r="Q582" i="1"/>
  <c r="Q539" i="1"/>
  <c r="Q186" i="1"/>
  <c r="Q474" i="1"/>
  <c r="T725" i="1"/>
  <c r="Q216" i="1"/>
  <c r="Q504" i="1"/>
  <c r="T216" i="1"/>
  <c r="Q151" i="1"/>
  <c r="T739" i="1"/>
  <c r="T26" i="1"/>
  <c r="T360" i="1"/>
  <c r="Q415" i="1"/>
  <c r="Q476" i="1"/>
  <c r="T278" i="1"/>
  <c r="T540" i="1"/>
  <c r="Q745" i="1"/>
  <c r="Q668" i="1"/>
  <c r="T192" i="1"/>
  <c r="Q295" i="1"/>
  <c r="Q374" i="1"/>
  <c r="T248" i="1"/>
  <c r="T3" i="1"/>
  <c r="T732" i="1"/>
  <c r="T571" i="1"/>
  <c r="T600" i="1"/>
  <c r="Q667" i="1"/>
  <c r="Q608" i="1"/>
  <c r="T350" i="1"/>
  <c r="Q320" i="1"/>
  <c r="T164" i="1"/>
  <c r="T37" i="1"/>
  <c r="T283" i="1"/>
  <c r="T13" i="1"/>
  <c r="T445" i="1"/>
  <c r="Q447" i="1"/>
  <c r="Q291" i="1"/>
  <c r="Q111" i="1"/>
  <c r="Q609" i="1"/>
  <c r="Q351" i="1"/>
  <c r="Q51" i="1"/>
  <c r="Q15" i="1"/>
  <c r="Q106" i="1"/>
  <c r="Q538" i="1"/>
  <c r="Q107" i="1"/>
  <c r="Q124" i="1"/>
  <c r="Q268" i="1"/>
  <c r="Q412" i="1"/>
  <c r="Q556" i="1"/>
  <c r="Q700" i="1"/>
  <c r="Q125" i="1"/>
  <c r="Q269" i="1"/>
  <c r="Q413" i="1"/>
  <c r="T604" i="1"/>
  <c r="Q761" i="1"/>
  <c r="Q642" i="1"/>
  <c r="Q545" i="1"/>
  <c r="Q636" i="1"/>
  <c r="Q198" i="1"/>
  <c r="Q486" i="1"/>
  <c r="T731" i="1"/>
  <c r="Q228" i="1"/>
  <c r="Q516" i="1"/>
  <c r="T228" i="1"/>
  <c r="Q187" i="1"/>
  <c r="Q38" i="1"/>
  <c r="T98" i="1"/>
  <c r="T384" i="1"/>
  <c r="Q457" i="1"/>
  <c r="Q536" i="1"/>
  <c r="T326" i="1"/>
  <c r="T564" i="1"/>
  <c r="T385" i="1"/>
  <c r="Q728" i="1"/>
  <c r="T270" i="1"/>
  <c r="Q331" i="1"/>
  <c r="Q428" i="1"/>
  <c r="T296" i="1"/>
  <c r="Q13" i="1"/>
  <c r="T637" i="1"/>
  <c r="T684" i="1"/>
  <c r="Q703" i="1"/>
  <c r="Q644" i="1"/>
  <c r="T380" i="1"/>
  <c r="Q344" i="1"/>
  <c r="T182" i="1"/>
  <c r="T49" i="1"/>
  <c r="T295" i="1"/>
  <c r="T43" i="1"/>
  <c r="T493" i="1"/>
  <c r="T68" i="1"/>
  <c r="Q489" i="1"/>
  <c r="Q315" i="1"/>
  <c r="Q147" i="1"/>
  <c r="Q627" i="1"/>
  <c r="Q375" i="1"/>
  <c r="Q411" i="1"/>
  <c r="Q682" i="1"/>
  <c r="Q395" i="1"/>
  <c r="Q162" i="1"/>
  <c r="Q130" i="1"/>
  <c r="Q274" i="1"/>
  <c r="Q418" i="1"/>
  <c r="Q562" i="1"/>
  <c r="Q706" i="1"/>
  <c r="Q131" i="1"/>
  <c r="Q275" i="1"/>
  <c r="Q419" i="1"/>
  <c r="T125" i="1"/>
  <c r="T269" i="1"/>
  <c r="T413" i="1"/>
  <c r="T557" i="1"/>
  <c r="T610" i="1"/>
  <c r="Q684" i="1"/>
  <c r="Q551" i="1"/>
  <c r="Q714" i="1"/>
  <c r="Q210" i="1"/>
  <c r="Q498" i="1"/>
  <c r="T737" i="1"/>
  <c r="Q240" i="1"/>
  <c r="Q528" i="1"/>
  <c r="T246" i="1"/>
  <c r="Q235" i="1"/>
  <c r="Q92" i="1"/>
  <c r="T152" i="1"/>
  <c r="T408" i="1"/>
  <c r="Q493" i="1"/>
  <c r="Q596" i="1"/>
  <c r="T374" i="1"/>
  <c r="T594" i="1"/>
  <c r="T451" i="1"/>
  <c r="T306" i="1"/>
  <c r="Q373" i="1"/>
  <c r="Q500" i="1"/>
  <c r="T344" i="1"/>
  <c r="Q67" i="1"/>
  <c r="T685" i="1"/>
  <c r="T720" i="1"/>
  <c r="Q739" i="1"/>
  <c r="Q674" i="1"/>
  <c r="T422" i="1"/>
  <c r="Q368" i="1"/>
  <c r="T212" i="1"/>
  <c r="T55" i="1"/>
  <c r="T301" i="1"/>
  <c r="T67" i="1"/>
  <c r="T601" i="1"/>
  <c r="T668" i="1"/>
  <c r="Q525" i="1"/>
  <c r="Q345" i="1"/>
  <c r="Q171" i="1"/>
  <c r="Q657" i="1"/>
  <c r="Q399" i="1"/>
  <c r="Q537" i="1"/>
  <c r="T488" i="1"/>
  <c r="M771" i="1" l="1"/>
  <c r="N772" i="1"/>
</calcChain>
</file>

<file path=xl/sharedStrings.xml><?xml version="1.0" encoding="utf-8"?>
<sst xmlns="http://schemas.openxmlformats.org/spreadsheetml/2006/main" count="1583" uniqueCount="1544">
  <si>
    <t>WDPAID</t>
  </si>
  <si>
    <t>WDPA_PID</t>
  </si>
  <si>
    <t>123</t>
  </si>
  <si>
    <t>191</t>
  </si>
  <si>
    <t>201</t>
  </si>
  <si>
    <t>2012</t>
  </si>
  <si>
    <t>2018</t>
  </si>
  <si>
    <t>2026</t>
  </si>
  <si>
    <t>2077</t>
  </si>
  <si>
    <t>2093</t>
  </si>
  <si>
    <t>2102</t>
  </si>
  <si>
    <t>2123</t>
  </si>
  <si>
    <t>2126</t>
  </si>
  <si>
    <t>2135</t>
  </si>
  <si>
    <t>2164</t>
  </si>
  <si>
    <t>2548</t>
  </si>
  <si>
    <t>2554</t>
  </si>
  <si>
    <t>2571</t>
  </si>
  <si>
    <t>2572</t>
  </si>
  <si>
    <t>2578</t>
  </si>
  <si>
    <t>3030</t>
  </si>
  <si>
    <t>3034</t>
  </si>
  <si>
    <t>3044</t>
  </si>
  <si>
    <t>4325</t>
  </si>
  <si>
    <t>5000</t>
  </si>
  <si>
    <t>5002</t>
  </si>
  <si>
    <t>5004</t>
  </si>
  <si>
    <t>5083</t>
  </si>
  <si>
    <t>5121</t>
  </si>
  <si>
    <t>5191</t>
  </si>
  <si>
    <t>7165</t>
  </si>
  <si>
    <t>10715</t>
  </si>
  <si>
    <t>10722</t>
  </si>
  <si>
    <t>12464</t>
  </si>
  <si>
    <t>12465</t>
  </si>
  <si>
    <t>12754</t>
  </si>
  <si>
    <t>14067</t>
  </si>
  <si>
    <t>14177</t>
  </si>
  <si>
    <t>17157</t>
  </si>
  <si>
    <t>17166</t>
  </si>
  <si>
    <t>17167</t>
  </si>
  <si>
    <t>17706</t>
  </si>
  <si>
    <t>17711</t>
  </si>
  <si>
    <t>17713</t>
  </si>
  <si>
    <t>17726</t>
  </si>
  <si>
    <t>17757</t>
  </si>
  <si>
    <t>17759</t>
  </si>
  <si>
    <t>20062</t>
  </si>
  <si>
    <t>20388</t>
  </si>
  <si>
    <t>26620</t>
  </si>
  <si>
    <t>26652</t>
  </si>
  <si>
    <t>29771</t>
  </si>
  <si>
    <t>29806</t>
  </si>
  <si>
    <t>29808</t>
  </si>
  <si>
    <t>29809</t>
  </si>
  <si>
    <t>61409</t>
  </si>
  <si>
    <t>61611</t>
  </si>
  <si>
    <t>67724</t>
  </si>
  <si>
    <t>67725</t>
  </si>
  <si>
    <t>67726</t>
  </si>
  <si>
    <t>67730</t>
  </si>
  <si>
    <t>67737</t>
  </si>
  <si>
    <t>67742</t>
  </si>
  <si>
    <t>67743</t>
  </si>
  <si>
    <t>67762</t>
  </si>
  <si>
    <t>67764</t>
  </si>
  <si>
    <t>67765</t>
  </si>
  <si>
    <t>67767</t>
  </si>
  <si>
    <t>67769</t>
  </si>
  <si>
    <t>67770</t>
  </si>
  <si>
    <t>67774</t>
  </si>
  <si>
    <t>67779</t>
  </si>
  <si>
    <t>67780</t>
  </si>
  <si>
    <t>67782</t>
  </si>
  <si>
    <t>67786</t>
  </si>
  <si>
    <t>67792</t>
  </si>
  <si>
    <t>67794</t>
  </si>
  <si>
    <t>67795</t>
  </si>
  <si>
    <t>67797</t>
  </si>
  <si>
    <t>67800</t>
  </si>
  <si>
    <t>67808</t>
  </si>
  <si>
    <t>67811</t>
  </si>
  <si>
    <t>67817</t>
  </si>
  <si>
    <t>67825</t>
  </si>
  <si>
    <t>67826</t>
  </si>
  <si>
    <t>67833</t>
  </si>
  <si>
    <t>67841</t>
  </si>
  <si>
    <t>67842</t>
  </si>
  <si>
    <t>67844</t>
  </si>
  <si>
    <t>67845</t>
  </si>
  <si>
    <t>67846</t>
  </si>
  <si>
    <t>67849</t>
  </si>
  <si>
    <t>67851</t>
  </si>
  <si>
    <t>67853</t>
  </si>
  <si>
    <t>67854</t>
  </si>
  <si>
    <t>67863</t>
  </si>
  <si>
    <t>67865</t>
  </si>
  <si>
    <t>67869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</si>
  <si>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</si>
  <si>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</si>
  <si>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</si>
  <si>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</si>
  <si>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</si>
  <si>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</si>
  <si>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</si>
  <si>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</si>
  <si>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</si>
  <si>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</si>
  <si>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</si>
  <si>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</si>
  <si>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</si>
  <si>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</si>
  <si>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</si>
  <si>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</si>
  <si>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</si>
  <si>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</si>
  <si>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</si>
  <si>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</si>
  <si>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</si>
  <si>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</si>
  <si>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67898</t>
  </si>
  <si>
    <t>67900</t>
  </si>
  <si>
    <t>67923</t>
  </si>
  <si>
    <t>67926</t>
  </si>
  <si>
    <t>67927</t>
  </si>
  <si>
    <t>67931</t>
  </si>
  <si>
    <t>67932</t>
  </si>
  <si>
    <t>67933</t>
  </si>
  <si>
    <t>67934</t>
  </si>
  <si>
    <t>67935</t>
  </si>
  <si>
    <t>67936</t>
  </si>
  <si>
    <t>67937</t>
  </si>
  <si>
    <t>67951</t>
  </si>
  <si>
    <t>67962</t>
  </si>
  <si>
    <t>67964</t>
  </si>
  <si>
    <t>67970</t>
  </si>
  <si>
    <t>67971</t>
  </si>
  <si>
    <t>67972</t>
  </si>
  <si>
    <t>67974</t>
  </si>
  <si>
    <t>67977</t>
  </si>
  <si>
    <t>67979</t>
  </si>
  <si>
    <t>67980</t>
  </si>
  <si>
    <t>67981</t>
  </si>
  <si>
    <t>67984</t>
  </si>
  <si>
    <t>67985</t>
  </si>
  <si>
    <t>67986</t>
  </si>
  <si>
    <t>67987</t>
  </si>
  <si>
    <t>68005</t>
  </si>
  <si>
    <t>68011</t>
  </si>
  <si>
    <t>68015</t>
  </si>
  <si>
    <t>68017</t>
  </si>
  <si>
    <t>68024</t>
  </si>
  <si>
    <t>68025</t>
  </si>
  <si>
    <t>68030</t>
  </si>
  <si>
    <t>68031</t>
  </si>
  <si>
    <t>68039</t>
  </si>
  <si>
    <t>68044</t>
  </si>
  <si>
    <t>68052</t>
  </si>
  <si>
    <t>68053</t>
  </si>
  <si>
    <t>68054</t>
  </si>
  <si>
    <t>68056</t>
  </si>
  <si>
    <t>68057</t>
  </si>
  <si>
    <t>68058</t>
  </si>
  <si>
    <t>68061</t>
  </si>
  <si>
    <t>68062</t>
  </si>
  <si>
    <t>68065</t>
  </si>
  <si>
    <t>68066</t>
  </si>
  <si>
    <t>68067</t>
  </si>
  <si>
    <t>68068</t>
  </si>
  <si>
    <t>68069</t>
  </si>
  <si>
    <t>68071</t>
  </si>
  <si>
    <t>68078</t>
  </si>
  <si>
    <t>68079</t>
  </si>
  <si>
    <t>68081</t>
  </si>
  <si>
    <t>68085</t>
  </si>
  <si>
    <t>68087</t>
  </si>
  <si>
    <t>68088</t>
  </si>
  <si>
    <t>68089</t>
  </si>
  <si>
    <t>68101</t>
  </si>
  <si>
    <t>68102</t>
  </si>
  <si>
    <t>68103</t>
  </si>
  <si>
    <t>68104</t>
  </si>
  <si>
    <t>68105</t>
  </si>
  <si>
    <t>68111</t>
  </si>
  <si>
    <t>68112</t>
  </si>
  <si>
    <t>68114</t>
  </si>
  <si>
    <t>68115</t>
  </si>
  <si>
    <t>68122</t>
  </si>
  <si>
    <t>68123</t>
  </si>
  <si>
    <t>68125</t>
  </si>
  <si>
    <t>68126</t>
  </si>
  <si>
    <t>68135</t>
  </si>
  <si>
    <t>68136</t>
  </si>
  <si>
    <t>68137</t>
  </si>
  <si>
    <t>68139</t>
  </si>
  <si>
    <t>68145</t>
  </si>
  <si>
    <t>68146</t>
  </si>
  <si>
    <t>68151</t>
  </si>
  <si>
    <t>68154</t>
  </si>
  <si>
    <t>68165</t>
  </si>
  <si>
    <t>68167</t>
  </si>
  <si>
    <t>68168</t>
  </si>
  <si>
    <t>68169</t>
  </si>
  <si>
    <t>68171</t>
  </si>
  <si>
    <t>68172</t>
  </si>
  <si>
    <t>68173</t>
  </si>
  <si>
    <t>68174</t>
  </si>
  <si>
    <t>68175</t>
  </si>
  <si>
    <t>68180</t>
  </si>
  <si>
    <t>68181</t>
  </si>
  <si>
    <t>68182</t>
  </si>
  <si>
    <t>68185</t>
  </si>
  <si>
    <t>68186</t>
  </si>
  <si>
    <t>68190</t>
  </si>
  <si>
    <t>68192</t>
  </si>
  <si>
    <t>68193</t>
  </si>
  <si>
    <t>68198</t>
  </si>
  <si>
    <t>68199</t>
  </si>
  <si>
    <t>68200</t>
  </si>
  <si>
    <t>68201</t>
  </si>
  <si>
    <t>68202</t>
  </si>
  <si>
    <t>68203</t>
  </si>
  <si>
    <t>68206</t>
  </si>
  <si>
    <t>68207</t>
  </si>
  <si>
    <t>68208</t>
  </si>
  <si>
    <t>68210</t>
  </si>
  <si>
    <t>68224</t>
  </si>
  <si>
    <t>68225</t>
  </si>
  <si>
    <t>68243</t>
  </si>
  <si>
    <t>68247</t>
  </si>
  <si>
    <t>68252</t>
  </si>
  <si>
    <t>68253</t>
  </si>
  <si>
    <t>68260</t>
  </si>
  <si>
    <t>68262</t>
  </si>
  <si>
    <t>68263</t>
  </si>
  <si>
    <t>68264</t>
  </si>
  <si>
    <t>68273</t>
  </si>
  <si>
    <t>68274</t>
  </si>
  <si>
    <t>68276</t>
  </si>
  <si>
    <t>68277</t>
  </si>
  <si>
    <t>68278</t>
  </si>
  <si>
    <t>68280</t>
  </si>
  <si>
    <t>68286</t>
  </si>
  <si>
    <t>68293</t>
  </si>
  <si>
    <t>68296</t>
  </si>
  <si>
    <t>68303</t>
  </si>
  <si>
    <t>68305</t>
  </si>
  <si>
    <t>68307</t>
  </si>
  <si>
    <t>68308</t>
  </si>
  <si>
    <t>68310</t>
  </si>
  <si>
    <t>68311</t>
  </si>
  <si>
    <t>68316</t>
  </si>
  <si>
    <t>68318</t>
  </si>
  <si>
    <t>68319</t>
  </si>
  <si>
    <t>68324</t>
  </si>
  <si>
    <t>68918</t>
  </si>
  <si>
    <t>93767</t>
  </si>
  <si>
    <t>94064</t>
  </si>
  <si>
    <t>94070</t>
  </si>
  <si>
    <t>94071</t>
  </si>
  <si>
    <t>94075</t>
  </si>
  <si>
    <t>94077</t>
  </si>
  <si>
    <t>94082</t>
  </si>
  <si>
    <t>94085</t>
  </si>
  <si>
    <t>95287</t>
  </si>
  <si>
    <t>95290</t>
  </si>
  <si>
    <t>95291</t>
  </si>
  <si>
    <t>95292</t>
  </si>
  <si>
    <t>95293</t>
  </si>
  <si>
    <t>95296</t>
  </si>
  <si>
    <t>95297</t>
  </si>
  <si>
    <t>95298</t>
  </si>
  <si>
    <t>95299</t>
  </si>
  <si>
    <t>95301</t>
  </si>
  <si>
    <t>95302</t>
  </si>
  <si>
    <t>95303</t>
  </si>
  <si>
    <t>95307</t>
  </si>
  <si>
    <t>95308</t>
  </si>
  <si>
    <t>95310</t>
  </si>
  <si>
    <t>95315</t>
  </si>
  <si>
    <t>95317</t>
  </si>
  <si>
    <t>95318</t>
  </si>
  <si>
    <t>95331</t>
  </si>
  <si>
    <t>95335</t>
  </si>
  <si>
    <t>95336</t>
  </si>
  <si>
    <t>95337</t>
  </si>
  <si>
    <t>95339</t>
  </si>
  <si>
    <t>95340</t>
  </si>
  <si>
    <t>95349</t>
  </si>
  <si>
    <t>95350</t>
  </si>
  <si>
    <t>95351</t>
  </si>
  <si>
    <t>95353</t>
  </si>
  <si>
    <t>95354</t>
  </si>
  <si>
    <t>95357</t>
  </si>
  <si>
    <t>95358</t>
  </si>
  <si>
    <t>95360</t>
  </si>
  <si>
    <t>95381</t>
  </si>
  <si>
    <t>95382</t>
  </si>
  <si>
    <t>95384</t>
  </si>
  <si>
    <t>95393</t>
  </si>
  <si>
    <t>95394</t>
  </si>
  <si>
    <t>95399</t>
  </si>
  <si>
    <t>102876</t>
  </si>
  <si>
    <t>102877</t>
  </si>
  <si>
    <t>102880</t>
  </si>
  <si>
    <t>103547</t>
  </si>
  <si>
    <t>103548</t>
  </si>
  <si>
    <t>107289</t>
  </si>
  <si>
    <t>107383</t>
  </si>
  <si>
    <t>109005</t>
  </si>
  <si>
    <t>109007</t>
  </si>
  <si>
    <t>109017</t>
  </si>
  <si>
    <t>109018</t>
  </si>
  <si>
    <t>109023</t>
  </si>
  <si>
    <t>109024</t>
  </si>
  <si>
    <t>109027</t>
  </si>
  <si>
    <t>109032</t>
  </si>
  <si>
    <t>109037</t>
  </si>
  <si>
    <t>109063</t>
  </si>
  <si>
    <t>109065</t>
  </si>
  <si>
    <t>109070</t>
  </si>
  <si>
    <t>109071</t>
  </si>
  <si>
    <t>109073</t>
  </si>
  <si>
    <t>109074</t>
  </si>
  <si>
    <t>109075</t>
  </si>
  <si>
    <t>109076</t>
  </si>
  <si>
    <t>109077</t>
  </si>
  <si>
    <t>109083</t>
  </si>
  <si>
    <t>109098</t>
  </si>
  <si>
    <t>124383</t>
  </si>
  <si>
    <t>124387</t>
  </si>
  <si>
    <t>127842</t>
  </si>
  <si>
    <t>127847</t>
  </si>
  <si>
    <t>127848</t>
  </si>
  <si>
    <t>127850</t>
  </si>
  <si>
    <t>127851</t>
  </si>
  <si>
    <t>127852</t>
  </si>
  <si>
    <t>127853</t>
  </si>
  <si>
    <t>127854</t>
  </si>
  <si>
    <t>127855</t>
  </si>
  <si>
    <t>127856</t>
  </si>
  <si>
    <t>127865</t>
  </si>
  <si>
    <t>127867</t>
  </si>
  <si>
    <t>127872</t>
  </si>
  <si>
    <t>127878</t>
  </si>
  <si>
    <t>127879</t>
  </si>
  <si>
    <t>127880</t>
  </si>
  <si>
    <t>127884</t>
  </si>
  <si>
    <t>127885</t>
  </si>
  <si>
    <t>127889</t>
  </si>
  <si>
    <t>127890</t>
  </si>
  <si>
    <t>127891</t>
  </si>
  <si>
    <t>127892</t>
  </si>
  <si>
    <t>127895</t>
  </si>
  <si>
    <t>134946</t>
  </si>
  <si>
    <t>134949</t>
  </si>
  <si>
    <t>134951</t>
  </si>
  <si>
    <t>134954</t>
  </si>
  <si>
    <t>134955</t>
  </si>
  <si>
    <t>145501</t>
  </si>
  <si>
    <t>145507</t>
  </si>
  <si>
    <t>145509</t>
  </si>
  <si>
    <t>145514</t>
  </si>
  <si>
    <t>145515</t>
  </si>
  <si>
    <t>145517</t>
  </si>
  <si>
    <t>145523</t>
  </si>
  <si>
    <t>145524</t>
  </si>
  <si>
    <t>145525</t>
  </si>
  <si>
    <t>145527</t>
  </si>
  <si>
    <t>145528</t>
  </si>
  <si>
    <t>145529</t>
  </si>
  <si>
    <t>145540</t>
  </si>
  <si>
    <t>145541</t>
  </si>
  <si>
    <t>145549</t>
  </si>
  <si>
    <t>145555</t>
  </si>
  <si>
    <t>145556</t>
  </si>
  <si>
    <t>145557</t>
  </si>
  <si>
    <t>145558</t>
  </si>
  <si>
    <t>145580</t>
  </si>
  <si>
    <t>145594</t>
  </si>
  <si>
    <t>145809</t>
  </si>
  <si>
    <t>145815</t>
  </si>
  <si>
    <t>145816</t>
  </si>
  <si>
    <t>166755</t>
  </si>
  <si>
    <t>166862</t>
  </si>
  <si>
    <t>166871</t>
  </si>
  <si>
    <t>166872</t>
  </si>
  <si>
    <t>166875</t>
  </si>
  <si>
    <t>166880</t>
  </si>
  <si>
    <t>166884</t>
  </si>
  <si>
    <t>166887</t>
  </si>
  <si>
    <t>168216</t>
  </si>
  <si>
    <t>168239</t>
  </si>
  <si>
    <t>168242</t>
  </si>
  <si>
    <t>198291</t>
  </si>
  <si>
    <t>198292</t>
  </si>
  <si>
    <t>198293</t>
  </si>
  <si>
    <t>198294</t>
  </si>
  <si>
    <t>198296</t>
  </si>
  <si>
    <t>198297</t>
  </si>
  <si>
    <t>198298</t>
  </si>
  <si>
    <t>198302</t>
  </si>
  <si>
    <t>198306</t>
  </si>
  <si>
    <t>198308</t>
  </si>
  <si>
    <t>198315</t>
  </si>
  <si>
    <t>198318</t>
  </si>
  <si>
    <t>198322</t>
  </si>
  <si>
    <t>198324</t>
  </si>
  <si>
    <t>198331</t>
  </si>
  <si>
    <t>198336</t>
  </si>
  <si>
    <t>198339</t>
  </si>
  <si>
    <t>198342</t>
  </si>
  <si>
    <t>220045</t>
  </si>
  <si>
    <t>220048</t>
  </si>
  <si>
    <t>220049</t>
  </si>
  <si>
    <t>220052</t>
  </si>
  <si>
    <t>220053</t>
  </si>
  <si>
    <t>220057</t>
  </si>
  <si>
    <t>220061</t>
  </si>
  <si>
    <t>220064</t>
  </si>
  <si>
    <t>220065</t>
  </si>
  <si>
    <t>220070</t>
  </si>
  <si>
    <t>220072</t>
  </si>
  <si>
    <t>220073</t>
  </si>
  <si>
    <t>220076</t>
  </si>
  <si>
    <t>220079</t>
  </si>
  <si>
    <t>220082</t>
  </si>
  <si>
    <t>220083</t>
  </si>
  <si>
    <t>220084</t>
  </si>
  <si>
    <t>220086</t>
  </si>
  <si>
    <t>220088</t>
  </si>
  <si>
    <t>220089</t>
  </si>
  <si>
    <t>220093</t>
  </si>
  <si>
    <t>220094</t>
  </si>
  <si>
    <t>220252</t>
  </si>
  <si>
    <t>478006</t>
  </si>
  <si>
    <t>478007</t>
  </si>
  <si>
    <t>478009</t>
  </si>
  <si>
    <t>478016</t>
  </si>
  <si>
    <t>478023</t>
  </si>
  <si>
    <t>478151</t>
  </si>
  <si>
    <t>478276</t>
  </si>
  <si>
    <t>478277</t>
  </si>
  <si>
    <t>478282</t>
  </si>
  <si>
    <t>478284</t>
  </si>
  <si>
    <t>478286</t>
  </si>
  <si>
    <t>478638</t>
  </si>
  <si>
    <t>900008</t>
  </si>
  <si>
    <t>900560</t>
  </si>
  <si>
    <t>900570</t>
  </si>
  <si>
    <t>900574</t>
  </si>
  <si>
    <t>900575</t>
  </si>
  <si>
    <t>900582</t>
  </si>
  <si>
    <t>900583</t>
  </si>
  <si>
    <t>900585</t>
  </si>
  <si>
    <t>900586</t>
  </si>
  <si>
    <t>900594</t>
  </si>
  <si>
    <t>900616</t>
  </si>
  <si>
    <t>900617</t>
  </si>
  <si>
    <t>900629</t>
  </si>
  <si>
    <t>900632</t>
  </si>
  <si>
    <t>900634</t>
  </si>
  <si>
    <t>900673</t>
  </si>
  <si>
    <t>900674</t>
  </si>
  <si>
    <t>900676</t>
  </si>
  <si>
    <t>900682</t>
  </si>
  <si>
    <t>900686</t>
  </si>
  <si>
    <t>900699</t>
  </si>
  <si>
    <t>900700</t>
  </si>
  <si>
    <t>900702</t>
  </si>
  <si>
    <t>900703</t>
  </si>
  <si>
    <t>900711</t>
  </si>
  <si>
    <t>900726</t>
  </si>
  <si>
    <t>900745</t>
  </si>
  <si>
    <t>900746</t>
  </si>
  <si>
    <t>900747</t>
  </si>
  <si>
    <t>900752</t>
  </si>
  <si>
    <t>900753</t>
  </si>
  <si>
    <t>900763</t>
  </si>
  <si>
    <t>900764</t>
  </si>
  <si>
    <t>900765</t>
  </si>
  <si>
    <t>900766</t>
  </si>
  <si>
    <t>900793</t>
  </si>
  <si>
    <t>900796</t>
  </si>
  <si>
    <t>900799</t>
  </si>
  <si>
    <t>900828</t>
  </si>
  <si>
    <t>900832</t>
  </si>
  <si>
    <t>900835</t>
  </si>
  <si>
    <t>900838</t>
  </si>
  <si>
    <t>900840</t>
  </si>
  <si>
    <t>900841</t>
  </si>
  <si>
    <t>900847</t>
  </si>
  <si>
    <t>900848</t>
  </si>
  <si>
    <t>900850</t>
  </si>
  <si>
    <t>900889</t>
  </si>
  <si>
    <t>900891</t>
  </si>
  <si>
    <t>900894</t>
  </si>
  <si>
    <t>900898</t>
  </si>
  <si>
    <t>900899</t>
  </si>
  <si>
    <t>901218</t>
  </si>
  <si>
    <t>901221</t>
  </si>
  <si>
    <t>901231</t>
  </si>
  <si>
    <t>901232</t>
  </si>
  <si>
    <t>901253</t>
  </si>
  <si>
    <t>901294</t>
  </si>
  <si>
    <t>901295</t>
  </si>
  <si>
    <t>902265</t>
  </si>
  <si>
    <t>902272</t>
  </si>
  <si>
    <t>902273</t>
  </si>
  <si>
    <t>902279</t>
  </si>
  <si>
    <t>902280</t>
  </si>
  <si>
    <t>902281</t>
  </si>
  <si>
    <t>902284</t>
  </si>
  <si>
    <t>902287</t>
  </si>
  <si>
    <t>902290</t>
  </si>
  <si>
    <t>902291</t>
  </si>
  <si>
    <t>902292</t>
  </si>
  <si>
    <t>902293</t>
  </si>
  <si>
    <t>902294</t>
  </si>
  <si>
    <t>902297</t>
  </si>
  <si>
    <t>902298</t>
  </si>
  <si>
    <t>902300</t>
  </si>
  <si>
    <t>902301</t>
  </si>
  <si>
    <t>902305</t>
  </si>
  <si>
    <t>902306</t>
  </si>
  <si>
    <t>902307</t>
  </si>
  <si>
    <t>902309</t>
  </si>
  <si>
    <t>902311</t>
  </si>
  <si>
    <t>902313</t>
  </si>
  <si>
    <t>902319</t>
  </si>
  <si>
    <t>902335</t>
  </si>
  <si>
    <t>902347</t>
  </si>
  <si>
    <t>902367</t>
  </si>
  <si>
    <t>902368</t>
  </si>
  <si>
    <t>902393</t>
  </si>
  <si>
    <t>902394</t>
  </si>
  <si>
    <t>902395</t>
  </si>
  <si>
    <t>902397</t>
  </si>
  <si>
    <t>902406</t>
  </si>
  <si>
    <t>902408</t>
  </si>
  <si>
    <t>902412</t>
  </si>
  <si>
    <t>902479</t>
  </si>
  <si>
    <t>902481</t>
  </si>
  <si>
    <t>902482</t>
  </si>
  <si>
    <t>902496</t>
  </si>
  <si>
    <t>902524</t>
  </si>
  <si>
    <t>902601</t>
  </si>
  <si>
    <t>902678</t>
  </si>
  <si>
    <t>902679</t>
  </si>
  <si>
    <t>902681</t>
  </si>
  <si>
    <t>902689</t>
  </si>
  <si>
    <t>902698</t>
  </si>
  <si>
    <t>902700</t>
  </si>
  <si>
    <t>902705</t>
  </si>
  <si>
    <t>902708</t>
  </si>
  <si>
    <t>902710</t>
  </si>
  <si>
    <t>902712</t>
  </si>
  <si>
    <t>902718</t>
  </si>
  <si>
    <t>902743</t>
  </si>
  <si>
    <t>902744</t>
  </si>
  <si>
    <t>902745</t>
  </si>
  <si>
    <t>902761</t>
  </si>
  <si>
    <t>902810</t>
  </si>
  <si>
    <t>902812</t>
  </si>
  <si>
    <t>902813</t>
  </si>
  <si>
    <t>902814</t>
  </si>
  <si>
    <t>902816</t>
  </si>
  <si>
    <t>902819</t>
  </si>
  <si>
    <t>902833</t>
  </si>
  <si>
    <t>902834</t>
  </si>
  <si>
    <t>902835</t>
  </si>
  <si>
    <t>902836</t>
  </si>
  <si>
    <t>902856</t>
  </si>
  <si>
    <t>902857</t>
  </si>
  <si>
    <t>902859</t>
  </si>
  <si>
    <t>902864</t>
  </si>
  <si>
    <t>902866</t>
  </si>
  <si>
    <t>902870</t>
  </si>
  <si>
    <t>902873</t>
  </si>
  <si>
    <t>902883</t>
  </si>
  <si>
    <t>903005</t>
  </si>
  <si>
    <t>903012</t>
  </si>
  <si>
    <t>903013</t>
  </si>
  <si>
    <t>903019</t>
  </si>
  <si>
    <t>903024</t>
  </si>
  <si>
    <t>903025</t>
  </si>
  <si>
    <t>903026</t>
  </si>
  <si>
    <t>903046</t>
  </si>
  <si>
    <t>903047</t>
  </si>
  <si>
    <t>903057</t>
  </si>
  <si>
    <t>903062</t>
  </si>
  <si>
    <t>903071</t>
  </si>
  <si>
    <t>903072</t>
  </si>
  <si>
    <t>903074</t>
  </si>
  <si>
    <t>903075</t>
  </si>
  <si>
    <t>903076</t>
  </si>
  <si>
    <t>903078</t>
  </si>
  <si>
    <t>903080</t>
  </si>
  <si>
    <t>903081</t>
  </si>
  <si>
    <t>903083</t>
  </si>
  <si>
    <t>903087</t>
  </si>
  <si>
    <t>903096</t>
  </si>
  <si>
    <t>903098</t>
  </si>
  <si>
    <t>903099</t>
  </si>
  <si>
    <t>903101</t>
  </si>
  <si>
    <t>903102</t>
  </si>
  <si>
    <t>903116</t>
  </si>
  <si>
    <t>903120</t>
  </si>
  <si>
    <t>903124</t>
  </si>
  <si>
    <t>903125</t>
  </si>
  <si>
    <t>903133</t>
  </si>
  <si>
    <t>903134</t>
  </si>
  <si>
    <t>903138</t>
  </si>
  <si>
    <t>555512002</t>
  </si>
  <si>
    <t>555542338</t>
  </si>
  <si>
    <t>555542446</t>
  </si>
  <si>
    <t>555542688</t>
  </si>
  <si>
    <t>555542722</t>
  </si>
  <si>
    <t>555542744</t>
  </si>
  <si>
    <t>555542754</t>
  </si>
  <si>
    <t>555542782</t>
  </si>
  <si>
    <t>555542783</t>
  </si>
  <si>
    <t>555542809</t>
  </si>
  <si>
    <t>555543046</t>
  </si>
  <si>
    <t>555543059</t>
  </si>
  <si>
    <t>555543070</t>
  </si>
  <si>
    <t>555543073</t>
  </si>
  <si>
    <t>555543078</t>
  </si>
  <si>
    <t>555543082</t>
  </si>
  <si>
    <t>555543087</t>
  </si>
  <si>
    <t>555543088</t>
  </si>
  <si>
    <t>555543089</t>
  </si>
  <si>
    <t>555543090</t>
  </si>
  <si>
    <t>555543094</t>
  </si>
  <si>
    <t>555543095</t>
  </si>
  <si>
    <t>555543708</t>
  </si>
  <si>
    <t>555543709</t>
  </si>
  <si>
    <t>555543796</t>
  </si>
  <si>
    <t>555547395</t>
  </si>
  <si>
    <t>555547400</t>
  </si>
  <si>
    <t>555547531</t>
  </si>
  <si>
    <t>555547536</t>
  </si>
  <si>
    <t>555547544</t>
  </si>
  <si>
    <t>555547560</t>
  </si>
  <si>
    <t>555547566</t>
  </si>
  <si>
    <t>555547569</t>
  </si>
  <si>
    <t>555547583</t>
  </si>
  <si>
    <t>555547593</t>
  </si>
  <si>
    <t>555547958</t>
  </si>
  <si>
    <t>555547967</t>
  </si>
  <si>
    <t>555547968</t>
  </si>
  <si>
    <t>555547975</t>
  </si>
  <si>
    <t>555547980</t>
  </si>
  <si>
    <t>555547983</t>
  </si>
  <si>
    <t>555547992</t>
  </si>
  <si>
    <t>555555574</t>
  </si>
  <si>
    <t>555555577</t>
  </si>
  <si>
    <t>555555578</t>
  </si>
  <si>
    <t>555556046</t>
  </si>
  <si>
    <t>555556048</t>
  </si>
  <si>
    <t>555558370</t>
  </si>
  <si>
    <t>555558372</t>
  </si>
  <si>
    <t>555558375</t>
  </si>
  <si>
    <t>555558376</t>
  </si>
  <si>
    <t>555558392</t>
  </si>
  <si>
    <t>555558393</t>
  </si>
  <si>
    <t>555558402</t>
  </si>
  <si>
    <t>555558407</t>
  </si>
  <si>
    <t>555558446</t>
  </si>
  <si>
    <t>555558449</t>
  </si>
  <si>
    <t>555558450</t>
  </si>
  <si>
    <t>555563757</t>
  </si>
  <si>
    <t>555570443</t>
  </si>
  <si>
    <t>555571008</t>
  </si>
  <si>
    <t>555571057</t>
  </si>
  <si>
    <t>555587168</t>
  </si>
  <si>
    <t>555592545</t>
  </si>
  <si>
    <t>555592554</t>
  </si>
  <si>
    <t>555592565</t>
  </si>
  <si>
    <t>555592571</t>
  </si>
  <si>
    <t>555592573</t>
  </si>
  <si>
    <t>555592574</t>
  </si>
  <si>
    <t>555592575</t>
  </si>
  <si>
    <t>555622045</t>
  </si>
  <si>
    <t>555622046</t>
  </si>
  <si>
    <t>555622710</t>
  </si>
  <si>
    <t>555623703</t>
  </si>
  <si>
    <t>555624131</t>
  </si>
  <si>
    <t>555624132</t>
  </si>
  <si>
    <t>555624133</t>
  </si>
  <si>
    <t>555624135</t>
  </si>
  <si>
    <t>555624137</t>
  </si>
  <si>
    <t>555624138</t>
  </si>
  <si>
    <t>555624146</t>
  </si>
  <si>
    <t>555624149</t>
  </si>
  <si>
    <t>555624168</t>
  </si>
  <si>
    <t>555624180</t>
  </si>
  <si>
    <t>555624182</t>
  </si>
  <si>
    <t>555624200</t>
  </si>
  <si>
    <t>555624201</t>
  </si>
  <si>
    <t>555624202</t>
  </si>
  <si>
    <t>555624277</t>
  </si>
  <si>
    <t>555624666</t>
  </si>
  <si>
    <t>555624677</t>
  </si>
  <si>
    <t>555624679</t>
  </si>
  <si>
    <t>555624681</t>
  </si>
  <si>
    <t>555624682</t>
  </si>
  <si>
    <t>555624683</t>
  </si>
  <si>
    <t>555624684</t>
  </si>
  <si>
    <t>555624685</t>
  </si>
  <si>
    <t>555624691</t>
  </si>
  <si>
    <t>555624844</t>
  </si>
  <si>
    <t>555624849</t>
  </si>
  <si>
    <t>555624850</t>
  </si>
  <si>
    <t>555624853</t>
  </si>
  <si>
    <t>555624854</t>
  </si>
  <si>
    <t>555624855</t>
  </si>
  <si>
    <t>555625658</t>
  </si>
  <si>
    <t>555625769</t>
  </si>
  <si>
    <t>555625770</t>
  </si>
  <si>
    <t>555625777</t>
  </si>
  <si>
    <t>555626085</t>
  </si>
  <si>
    <t>555626100</t>
  </si>
  <si>
    <t>555626105</t>
  </si>
  <si>
    <t>555626109</t>
  </si>
  <si>
    <t>555626110</t>
  </si>
  <si>
    <t>555626111</t>
  </si>
  <si>
    <t>555626112</t>
  </si>
  <si>
    <t>555629210</t>
  </si>
  <si>
    <t>555629212</t>
  </si>
  <si>
    <t>555629213</t>
  </si>
  <si>
    <t>555629214</t>
  </si>
  <si>
    <t>555629240</t>
  </si>
  <si>
    <t>555635834</t>
  </si>
  <si>
    <t>555637331</t>
  </si>
  <si>
    <t>555637355</t>
  </si>
  <si>
    <t>555637432</t>
  </si>
  <si>
    <t>555637439</t>
  </si>
  <si>
    <t>555697868</t>
  </si>
  <si>
    <t>555698088</t>
  </si>
  <si>
    <t>555703204</t>
  </si>
  <si>
    <t>555703392</t>
  </si>
  <si>
    <t>555703541</t>
  </si>
  <si>
    <t>555705849</t>
  </si>
  <si>
    <t>555705850</t>
  </si>
  <si>
    <t>555705851</t>
  </si>
  <si>
    <t>555720804</t>
  </si>
  <si>
    <t>555721652</t>
  </si>
  <si>
    <t>2</t>
  </si>
  <si>
    <t>67785_A</t>
  </si>
  <si>
    <t>555744966_G</t>
  </si>
  <si>
    <t>555744966_F</t>
  </si>
  <si>
    <t>555744966_A</t>
  </si>
  <si>
    <t>555744966_J</t>
  </si>
  <si>
    <t>Predicted sea level rise value (m)</t>
    <phoneticPr fontId="1" type="noConversion"/>
  </si>
  <si>
    <t>Longitude (°)</t>
    <phoneticPr fontId="1" type="noConversion"/>
  </si>
  <si>
    <t>Latitude (°)</t>
    <phoneticPr fontId="1" type="noConversion"/>
  </si>
  <si>
    <t>Predicted temperature (℃)</t>
    <phoneticPr fontId="1" type="noConversion"/>
  </si>
  <si>
    <t>Id</t>
    <phoneticPr fontId="1" type="noConversion"/>
  </si>
  <si>
    <t>Name</t>
    <phoneticPr fontId="1" type="noConversion"/>
  </si>
  <si>
    <t>Bosque Fray Jorge</t>
  </si>
  <si>
    <t>Everglades National Park</t>
  </si>
  <si>
    <t>Kluane / Wrangell-St Elias / Glacier Bay / Tatshenshini-Alsek</t>
  </si>
  <si>
    <t>Olympic</t>
  </si>
  <si>
    <t>Laguna San Rafael</t>
  </si>
  <si>
    <t>Darien National Park</t>
  </si>
  <si>
    <t>Redwood National and State Parks</t>
  </si>
  <si>
    <t>La Amistad</t>
  </si>
  <si>
    <t>Parque Costero del Sur</t>
  </si>
  <si>
    <t>Peninsula de Guanahacabibes</t>
  </si>
  <si>
    <t>Cuchillas del Toa</t>
  </si>
  <si>
    <t>Het Spaans Lagoen</t>
  </si>
  <si>
    <t>Gros Morne National Park</t>
  </si>
  <si>
    <t>Sian Ka'an</t>
  </si>
  <si>
    <t>Manglares Churute</t>
  </si>
  <si>
    <t>Golfo de Montijo</t>
  </si>
  <si>
    <t>Lagoa do Peixe</t>
  </si>
  <si>
    <t>Cap Tourmente</t>
  </si>
  <si>
    <t>Fraser River Delta</t>
  </si>
  <si>
    <t>Chignecto</t>
  </si>
  <si>
    <t>Polar Bear Provincial Park</t>
  </si>
  <si>
    <t>Shepody Bay</t>
  </si>
  <si>
    <t>Grand Codroy Estuary</t>
  </si>
  <si>
    <t>Southern James Bay (Moose River &amp; Hannah Bay)</t>
  </si>
  <si>
    <t>Musquodoboit Harbour</t>
  </si>
  <si>
    <t>Southern Bight-Minas Basin</t>
  </si>
  <si>
    <t>Malpeque Bay</t>
  </si>
  <si>
    <t>Palo Verde</t>
  </si>
  <si>
    <t>Tamarindo</t>
  </si>
  <si>
    <t>Het Lac</t>
  </si>
  <si>
    <t>Het Pekelmeer</t>
  </si>
  <si>
    <t>Het Gotomeer</t>
  </si>
  <si>
    <t>De Slagbaai</t>
  </si>
  <si>
    <t>San San Pond Sak</t>
  </si>
  <si>
    <t>Paracas</t>
  </si>
  <si>
    <t>Coppenamemonding</t>
  </si>
  <si>
    <t>North, Middle &amp; East Caicos Islands</t>
  </si>
  <si>
    <t>Edwin B Forsythe National Wildlife Refuge</t>
  </si>
  <si>
    <t>Izembek Lagoon National Wildlife Refuge</t>
  </si>
  <si>
    <t>Chesapeake Bay Estuarine Complex</t>
  </si>
  <si>
    <t>Delaware Bay Estuary</t>
  </si>
  <si>
    <t>Refugio de Fauna Silvestre de Cuare</t>
  </si>
  <si>
    <t>Whale Sanctuary of El Vizcaino</t>
  </si>
  <si>
    <t>Reentrancias Maranhenses</t>
  </si>
  <si>
    <t>Basse-Mana</t>
  </si>
  <si>
    <t>Marais De Kaw</t>
  </si>
  <si>
    <t>Booby Pond and Rookery Animal Sanctuary/RAMSAR Site</t>
  </si>
  <si>
    <t>Reserva Costa Atlantica de Tierra del Fuego</t>
  </si>
  <si>
    <t>Parque Nacional Jeanette Kawas</t>
  </si>
  <si>
    <t>Marismas Nacionales</t>
  </si>
  <si>
    <t>Reserva de la Biosfera Pantanos de Centla</t>
  </si>
  <si>
    <t>Grand Cul-de-Sac Marin de la Guadeloupe</t>
  </si>
  <si>
    <t>Damani-Guariviara</t>
  </si>
  <si>
    <t>Xiriualtique-Jiquilisco</t>
  </si>
  <si>
    <t>Estuaire du fleuve Sinnamary</t>
  </si>
  <si>
    <t>Humedales Mogote - Ensenada de La Paz</t>
  </si>
  <si>
    <t>Lagunas de Chacahua</t>
  </si>
  <si>
    <t>Sistema Estuarino Puerto Arista</t>
  </si>
  <si>
    <t>Sistema Lagunar Ceuta</t>
  </si>
  <si>
    <t>Sistema Lagunar San Ignacio - Navachiste - Macapule</t>
  </si>
  <si>
    <t>Manglares de San Pedro de Vice</t>
  </si>
  <si>
    <t>Belize Barrier Reef Reserve System</t>
  </si>
  <si>
    <t>Islas del Golfo de California</t>
  </si>
  <si>
    <t>Inagua National Park</t>
  </si>
  <si>
    <t>Humedal el Yali</t>
  </si>
  <si>
    <t>Gandoca-Manzanillo</t>
  </si>
  <si>
    <t>Humedal Caribe Noreste</t>
  </si>
  <si>
    <t>Terraba-Sierpe</t>
  </si>
  <si>
    <t>Reserva de la Biosfera La Encrucijada</t>
  </si>
  <si>
    <t>Santuario Nacional Los Manglares de Tumbes</t>
  </si>
  <si>
    <t>Laguna de La Restinga</t>
  </si>
  <si>
    <t>Laguna de Tacarigua</t>
  </si>
  <si>
    <t>Black River Lower Morass</t>
  </si>
  <si>
    <t>Discovery Coast Atlantic Forest Reserves</t>
  </si>
  <si>
    <t>Atlantic Forest Southeast Reserves</t>
  </si>
  <si>
    <t>Miguasha National Park</t>
  </si>
  <si>
    <t>Desembarco del Granma National Park</t>
  </si>
  <si>
    <t>Laguna Respringue</t>
  </si>
  <si>
    <t>Punta de Manabique</t>
  </si>
  <si>
    <t>Alto Golfo de California y El Pinacate</t>
  </si>
  <si>
    <t>Spittal Pond</t>
  </si>
  <si>
    <t>Western Ponds</t>
  </si>
  <si>
    <t>Delta del Parana</t>
  </si>
  <si>
    <t>Estero La Manzanilla</t>
  </si>
  <si>
    <t>Laguna Barra de Navidad</t>
  </si>
  <si>
    <t>Laguna Chalacatepec</t>
  </si>
  <si>
    <t>Sea Lion Island</t>
  </si>
  <si>
    <t>Bertha's Beach</t>
  </si>
  <si>
    <t>Dzilam</t>
  </si>
  <si>
    <t>Cayos Miskitos y Franja Costera Inmediata</t>
  </si>
  <si>
    <t>Delta del Estero Real y Llanos de Apacunca</t>
  </si>
  <si>
    <t>Buenavista</t>
  </si>
  <si>
    <t>Humedal Delta del Cauto</t>
  </si>
  <si>
    <t>Parque Nacional Arrecifes de Xcalak</t>
  </si>
  <si>
    <t>Cuencas y corales de la zona costera de Huatulco</t>
  </si>
  <si>
    <t>Playa Tortuguera Tierra Colorada</t>
  </si>
  <si>
    <t>Reserva Estatal El Palmar</t>
  </si>
  <si>
    <t>La Mancha y El Llano</t>
  </si>
  <si>
    <t>Laguna Ojo de Liebre</t>
  </si>
  <si>
    <t>Laguna Playa Colorada-Santa Marea La Reforma</t>
  </si>
  <si>
    <t>Laguna San Ignacio</t>
  </si>
  <si>
    <t>Manglares y humedales de la Laguna de Sontecomapan</t>
  </si>
  <si>
    <t>Parque Nacional Arrecife de Puerto Morelos</t>
  </si>
  <si>
    <t>Parque Nacional Sistema Arrecifal Veracruzano</t>
  </si>
  <si>
    <t>Playa Tortuguera El Verde Camacho</t>
  </si>
  <si>
    <t>Play贸n Mexiquillo</t>
  </si>
  <si>
    <t>Reserva de la Biosfera Los Petenes</t>
  </si>
  <si>
    <t>Sistema Lagunar Alvarado</t>
  </si>
  <si>
    <t>Laguna Madre</t>
  </si>
  <si>
    <t>Pitons Management Area</t>
  </si>
  <si>
    <t>Parque Nacional Arrecife de Cozumel</t>
  </si>
  <si>
    <t>Coiba National Park and its Special Zone of Marine Protection</t>
  </si>
  <si>
    <t>Islands and Protected Areas of the Gulf of California</t>
  </si>
  <si>
    <t>Cabo de Hornos</t>
  </si>
  <si>
    <t>Codrington Lagoon</t>
  </si>
  <si>
    <t>Sarstoon Temash National Park</t>
  </si>
  <si>
    <t>Corredor Costero La Asamblea - San Francisquito</t>
  </si>
  <si>
    <t>Laguna de Tamiahua</t>
  </si>
  <si>
    <t>Portland Bight Wetlands and Cays</t>
  </si>
  <si>
    <t>Manglares y humedales de Tuxpan</t>
  </si>
  <si>
    <t>Estero de Punta Banda</t>
  </si>
  <si>
    <t>Chamela-Cuixmala</t>
  </si>
  <si>
    <t>Los Tuxtlas</t>
  </si>
  <si>
    <t>Sistema Arrecifal Veracruzano</t>
  </si>
  <si>
    <t>Laguna Huizache Caimanero</t>
  </si>
  <si>
    <t>Sistema Estuarino Boca del Cielo</t>
  </si>
  <si>
    <t>Ensenada de Pabellones</t>
  </si>
  <si>
    <t>Santuario Playa Boca de Apiza-El Chupadero-El Tecuanillo</t>
  </si>
  <si>
    <t>La Tovara</t>
  </si>
  <si>
    <t>Joggins Fossil Cliffs</t>
  </si>
  <si>
    <t>Phoenix Islands Protected Area</t>
  </si>
  <si>
    <t>Humedal Maquenque</t>
  </si>
  <si>
    <t>Canal del Infiernillo y esteros del territorio Comcaac</t>
  </si>
  <si>
    <t>Palmar Yatay</t>
  </si>
  <si>
    <t>Manglares y Humedales del Norte de Isla Cozumel</t>
  </si>
  <si>
    <t>Complejo Jaltepeque</t>
  </si>
  <si>
    <t>Estero El Soldado</t>
  </si>
  <si>
    <t>Humedales de Yavaros - Moroncarit</t>
  </si>
  <si>
    <t>Bosques Templados Lluviosos</t>
  </si>
  <si>
    <t>Pereyra Iraola</t>
  </si>
  <si>
    <t>Agua y Paz</t>
  </si>
  <si>
    <t>Delta del Orinoco</t>
  </si>
  <si>
    <t>St Marys</t>
  </si>
  <si>
    <t>Levera Wetland</t>
  </si>
  <si>
    <t>Saint-Martin</t>
  </si>
  <si>
    <t>El Pinacate and Gran Desierto de Altar Biosphere Reserve</t>
  </si>
  <si>
    <t>Rif Sint Marie</t>
  </si>
  <si>
    <t>Humedales de la Laguna la Cruz</t>
  </si>
  <si>
    <t>Malpais/Sint Michiel</t>
  </si>
  <si>
    <t>Complejo Barra de Santiago</t>
  </si>
  <si>
    <t>Mistaken Point</t>
  </si>
  <si>
    <t>Humedales de Jaragua</t>
  </si>
  <si>
    <t>Laguna de Rocha</t>
  </si>
  <si>
    <t>Mullet Pond</t>
  </si>
  <si>
    <t>Guaratuba</t>
  </si>
  <si>
    <t>Amazon Estuary and its Mangroves</t>
  </si>
  <si>
    <t>Patagonia Azul</t>
  </si>
  <si>
    <t>Complejo Los C贸banos</t>
  </si>
  <si>
    <t>Savegre</t>
  </si>
  <si>
    <t>Hara</t>
  </si>
  <si>
    <t>Slowinski</t>
  </si>
  <si>
    <t>Biosffer Dyfi</t>
  </si>
  <si>
    <t>North Devon Biosphere</t>
  </si>
  <si>
    <t>Djoudj National Bird Sanctuary</t>
  </si>
  <si>
    <t>Delta du Saloum</t>
  </si>
  <si>
    <t>Aldabra Atoll</t>
  </si>
  <si>
    <t>Dublin Bay</t>
  </si>
  <si>
    <t>Camargue</t>
  </si>
  <si>
    <t>Waddensea Area</t>
  </si>
  <si>
    <t>Shadegan Marshes &amp; mudflats of Khor-al Amaya &amp; Khor Musa</t>
  </si>
  <si>
    <t>Khuran Straits</t>
  </si>
  <si>
    <t>Deltas of Rud-e-Shur, Rud-e-Shirin and Rud-e-Minab</t>
  </si>
  <si>
    <t>Merja Sidi Boughaba</t>
  </si>
  <si>
    <t>Baie de Khnifiss</t>
  </si>
  <si>
    <t>Banc d'Arguin National Park</t>
  </si>
  <si>
    <t>El Kala</t>
  </si>
  <si>
    <t>Waddensea and Hallig Islands of Schleswig-Holstein</t>
  </si>
  <si>
    <t>Lagoa de Cufada</t>
  </si>
  <si>
    <t>Waddensea of Hamburg</t>
  </si>
  <si>
    <t>Waddensea of Lower Saxony</t>
  </si>
  <si>
    <t>Zwin</t>
  </si>
  <si>
    <t>Neretva River Delta</t>
  </si>
  <si>
    <t>Filso</t>
  </si>
  <si>
    <t>Ringkobing Fjord</t>
  </si>
  <si>
    <t>Stadil and Veststadil Fjords</t>
  </si>
  <si>
    <t>Nissum Fjord</t>
  </si>
  <si>
    <t>Nissum Bredning with Harboore and Agger Tange</t>
  </si>
  <si>
    <t>Vejlerne and Logstor Bredning</t>
  </si>
  <si>
    <t>Ulvedybet and Nibe Bredning</t>
  </si>
  <si>
    <t>Hirsholmene</t>
  </si>
  <si>
    <t>Nordre Ronner</t>
  </si>
  <si>
    <t>Randers and Mariager Fjords and the adjacent sea</t>
  </si>
  <si>
    <t>Horsens Fjord &amp; Endelave</t>
  </si>
  <si>
    <t>Stavns Fjord and adjacent waters</t>
  </si>
  <si>
    <t>South Funen Archipelago</t>
  </si>
  <si>
    <t>Waters southeast of Fejo and Femo Islands</t>
  </si>
  <si>
    <t>Nakskov Fjord and Inner Fjord</t>
  </si>
  <si>
    <t>Waters between Lolland and Falster including Rodsand, Guldborg sound, and Boto Nor</t>
  </si>
  <si>
    <t>Vadehavet</t>
  </si>
  <si>
    <t>Marais du Cotentin et du Bessin, Baie des Veys</t>
  </si>
  <si>
    <t>Golfe du Morbihan</t>
  </si>
  <si>
    <t>Petit Loango</t>
  </si>
  <si>
    <t>Wattenmeer, Elbe-Weser-Dreieck</t>
  </si>
  <si>
    <t>Wattenmeer, Ostfriesisches Wattenmeer &amp; Dollart</t>
  </si>
  <si>
    <t>Niederelbe, Barnkrug-Otterndorf</t>
  </si>
  <si>
    <t>Hamburgisches Wattenmeer</t>
  </si>
  <si>
    <t>Anlo-Keta lagoon complex</t>
  </si>
  <si>
    <t>Evros delta</t>
  </si>
  <si>
    <t>Lake Vistonis, Porto Lagos, Lake Ismaris &amp; adjoining lagoons</t>
  </si>
  <si>
    <t>Nestos delta &amp; adjoining lagoons</t>
  </si>
  <si>
    <t>Axios, Loudias, Aliakmon delta</t>
  </si>
  <si>
    <t>Amvrakikos gulf</t>
  </si>
  <si>
    <t>Messolonghi lagoons</t>
  </si>
  <si>
    <t>Kotychi lagoons</t>
  </si>
  <si>
    <t>Iles Tristao</t>
  </si>
  <si>
    <t>Rio Kapatchez</t>
  </si>
  <si>
    <t>Rio Pongo</t>
  </si>
  <si>
    <t>Deltas of Rud-e-Gaz &amp; Rud-e-Hara</t>
  </si>
  <si>
    <t>Raven, The</t>
  </si>
  <si>
    <t>North Bull Island</t>
  </si>
  <si>
    <t>Rogerstown Estuary</t>
  </si>
  <si>
    <t>Tralee Bay</t>
  </si>
  <si>
    <t>Castlemaine Harbour</t>
  </si>
  <si>
    <t>Laguna di Orbetello</t>
  </si>
  <si>
    <t>Stagno di Molentargius</t>
  </si>
  <si>
    <t>Stagno di Cagliari</t>
  </si>
  <si>
    <t>Valle Cavanata</t>
  </si>
  <si>
    <t>Laguna di Marano: Foci dello Stella</t>
  </si>
  <si>
    <t>Saline di Margherita di Savoia</t>
  </si>
  <si>
    <t>Valle di Gorino</t>
  </si>
  <si>
    <t>Valle Bertuzzi</t>
  </si>
  <si>
    <t>Valli residue del comprensorio di Comacchio</t>
  </si>
  <si>
    <t>Piallassa della Baiona e Risega</t>
  </si>
  <si>
    <t>Ortazzo e Ortazzino</t>
  </si>
  <si>
    <t>Stagno di Sale Porcus</t>
  </si>
  <si>
    <t>Laguna di Venezia: Valle Averto</t>
  </si>
  <si>
    <t>Vendicari</t>
  </si>
  <si>
    <t>Bacino dell鈥橝ngitola</t>
  </si>
  <si>
    <t>Biesbosch</t>
  </si>
  <si>
    <t>Wadden Sea</t>
  </si>
  <si>
    <t>Oosterschelde</t>
  </si>
  <si>
    <t>Zwanenwater</t>
  </si>
  <si>
    <t>Oostvaardersplassen</t>
  </si>
  <si>
    <t>Ora</t>
  </si>
  <si>
    <t>Kurefjorden</t>
  </si>
  <si>
    <t>Ilene and Presterodkilen Wetland System</t>
  </si>
  <si>
    <t>Jaeren wetland system</t>
  </si>
  <si>
    <t>Ria Formosa</t>
  </si>
  <si>
    <t>Djoudj</t>
  </si>
  <si>
    <t>Gueumbeul</t>
  </si>
  <si>
    <t>De Mond State Forest</t>
  </si>
  <si>
    <t>Turtle Beaches/Coral Reefs of Tongaland</t>
  </si>
  <si>
    <t>St Lucia System</t>
  </si>
  <si>
    <t>Langebaan</t>
  </si>
  <si>
    <t>Verlorenvlei</t>
  </si>
  <si>
    <t>Orange River Mouth Wetland</t>
  </si>
  <si>
    <t>Kosi Bay</t>
  </si>
  <si>
    <t>Lake Sibaya</t>
  </si>
  <si>
    <t>Marismas del Odiel</t>
  </si>
  <si>
    <t>Salinas del Cabo de Gata</t>
  </si>
  <si>
    <t>Complejo intermareal Umia-Grove</t>
  </si>
  <si>
    <t>Salinas de Santa Pola</t>
  </si>
  <si>
    <t>Delta del Ebro</t>
  </si>
  <si>
    <t>Complejo de Corrubedo</t>
  </si>
  <si>
    <t>Ria de Mundaka-Guernika</t>
  </si>
  <si>
    <t>Ottenby</t>
  </si>
  <si>
    <t>Gotland, east coast</t>
  </si>
  <si>
    <t>Stigfjorden</t>
  </si>
  <si>
    <t>Cors Fochno &amp; Dyfi</t>
  </si>
  <si>
    <t>Lindisfarne</t>
  </si>
  <si>
    <t>Minsmere - Walberswick</t>
  </si>
  <si>
    <t>North Norfolk Coast</t>
  </si>
  <si>
    <t>Abberton Reservoir</t>
  </si>
  <si>
    <t>The Dee Estuary</t>
  </si>
  <si>
    <t>The Swale</t>
  </si>
  <si>
    <t>Chesil Beach &amp; The Fleet</t>
  </si>
  <si>
    <t>Upper Solway Flats &amp; Marshes</t>
  </si>
  <si>
    <t>Chichester and Langstone Harbours</t>
  </si>
  <si>
    <t>The Wash</t>
  </si>
  <si>
    <t>Pagham Harbour</t>
  </si>
  <si>
    <t>Gruinart Flats, Islay</t>
  </si>
  <si>
    <t>Bridgend Flats, Islay</t>
  </si>
  <si>
    <t>Loch an Duin</t>
  </si>
  <si>
    <t>Exe Estuary</t>
  </si>
  <si>
    <t>Burry Inlet</t>
  </si>
  <si>
    <t>Hamford Water</t>
  </si>
  <si>
    <t>Matsalu Nature Reserve</t>
  </si>
  <si>
    <t>Gough and Inaccessible Islands</t>
  </si>
  <si>
    <t>Nemunas Delta</t>
  </si>
  <si>
    <t>Salinas de Ibiza y Formentera</t>
  </si>
  <si>
    <t>Medway Estuary &amp; Marshes</t>
  </si>
  <si>
    <t>Benfleet &amp; Southend Marshes</t>
  </si>
  <si>
    <t>Dengie</t>
  </si>
  <si>
    <t>Stour &amp; Orwell Estuaries</t>
  </si>
  <si>
    <t>Humber Estuary</t>
  </si>
  <si>
    <t>Thanet Coast &amp; Sandwich Bay</t>
  </si>
  <si>
    <t>Colne Estuary</t>
  </si>
  <si>
    <t>Montrose Basin</t>
  </si>
  <si>
    <t>Ribble &amp; Alt Estuaries</t>
  </si>
  <si>
    <t>Portsmouth Harbour</t>
  </si>
  <si>
    <t>Crouch &amp; Roach Estuaries</t>
  </si>
  <si>
    <t>Blackwater Estuary</t>
  </si>
  <si>
    <t>Severn Estuary</t>
  </si>
  <si>
    <t>Teesmouth &amp; Cleveland Coast</t>
  </si>
  <si>
    <t>Loch of Strathbeg</t>
  </si>
  <si>
    <t>Rinns of Islay</t>
  </si>
  <si>
    <t>Baie du Mont Saint-Michel</t>
  </si>
  <si>
    <t>Lake Engure</t>
  </si>
  <si>
    <t>Lake Kanieris</t>
  </si>
  <si>
    <t>Parc National du Diawling</t>
  </si>
  <si>
    <t>Walvis Bay</t>
  </si>
  <si>
    <t>Sandwich Harbour</t>
  </si>
  <si>
    <t>Krammer-Volkerak</t>
  </si>
  <si>
    <t>Westerschelde &amp; Saeftinghe</t>
  </si>
  <si>
    <t>Southern coast of the Gulf of Finland, Baltic Sea</t>
  </si>
  <si>
    <t>Kurgalsky Peninsula</t>
  </si>
  <si>
    <t>Mar Menor</t>
  </si>
  <si>
    <t>Karavasta Lagoon</t>
  </si>
  <si>
    <t>Curral Velho</t>
  </si>
  <si>
    <t>Lagoa de Pedra Badejo</t>
  </si>
  <si>
    <t>Cayo-Loufoualeba</t>
  </si>
  <si>
    <t>Conkouati-Douli</t>
  </si>
  <si>
    <t>Etang de Palo</t>
  </si>
  <si>
    <t>Etangs palavasiens</t>
  </si>
  <si>
    <t>Niumi National Park</t>
  </si>
  <si>
    <t>Yumurtalik Lagoons</t>
  </si>
  <si>
    <t>La Petite Camargue</t>
  </si>
  <si>
    <t>Bannow Bay</t>
  </si>
  <si>
    <t>Blacksod Bay and Broadhaven</t>
  </si>
  <si>
    <t>Broadmeadow Estuary</t>
  </si>
  <si>
    <t>Cork Harbour</t>
  </si>
  <si>
    <t>Cummeen Strand</t>
  </si>
  <si>
    <t>Dundalk Bay</t>
  </si>
  <si>
    <t>Dungarvan Harbour</t>
  </si>
  <si>
    <t>Inner Galway Bay</t>
  </si>
  <si>
    <t>Killala Bay/Moy Estuary</t>
  </si>
  <si>
    <t>Sandymount Strand/Tolka Estuary</t>
  </si>
  <si>
    <t>Trawbreaga Bay</t>
  </si>
  <si>
    <t>Lista Wetlands System</t>
  </si>
  <si>
    <t>Lagoa da Albufeira</t>
  </si>
  <si>
    <t>Ria de Alvor</t>
  </si>
  <si>
    <t>Sapais de Castro Marim</t>
  </si>
  <si>
    <t>Alde-Ore Estuary</t>
  </si>
  <si>
    <t>Breydon Water</t>
  </si>
  <si>
    <t>Deben Estuary</t>
  </si>
  <si>
    <t>Foulness</t>
  </si>
  <si>
    <t>Morecambe Bay</t>
  </si>
  <si>
    <t>Puhto-Laelatu-Nehatu Wetland Complex</t>
  </si>
  <si>
    <t>Vilsandi National Park</t>
  </si>
  <si>
    <t>Mersey Estuary</t>
  </si>
  <si>
    <t>Gibraltar Point</t>
  </si>
  <si>
    <t>Bolama - Bijagos</t>
  </si>
  <si>
    <t>Azagny National Park</t>
  </si>
  <si>
    <t>Baobolon Wetland Reserve</t>
  </si>
  <si>
    <t>Cabo de Gata-Nijar</t>
  </si>
  <si>
    <t>Baie de Somme</t>
  </si>
  <si>
    <t>Akyatan Lagoon</t>
  </si>
  <si>
    <t>Dornoch Firth and Loch Fleet</t>
  </si>
  <si>
    <t>Larne Lough</t>
  </si>
  <si>
    <t>Moray and Nairn Coast</t>
  </si>
  <si>
    <t>Complexe Tsimembo Manambolomaty</t>
  </si>
  <si>
    <t>Gediz Delta</t>
  </si>
  <si>
    <t>iSimangaliso Wetland Park</t>
  </si>
  <si>
    <t>Sierra Leone River Estuary</t>
  </si>
  <si>
    <t>Belfast Lough</t>
  </si>
  <si>
    <t>Carlingford Lough</t>
  </si>
  <si>
    <t>Cromarty Firth</t>
  </si>
  <si>
    <t>Duddon Estuary</t>
  </si>
  <si>
    <t>Dorset Heathlands</t>
  </si>
  <si>
    <t>East Sanday Coast</t>
  </si>
  <si>
    <t>Inner Moray Firth</t>
  </si>
  <si>
    <t>Loch of Inch &amp; Torrs Warren</t>
  </si>
  <si>
    <t>Lough Foyle</t>
  </si>
  <si>
    <t>North Uist Machair and Islands</t>
  </si>
  <si>
    <t>Northumbria Coast</t>
  </si>
  <si>
    <t>Poole Harbour</t>
  </si>
  <si>
    <t>Solent and Southampton Water</t>
  </si>
  <si>
    <t>South Uist Machair &amp; Lochs</t>
  </si>
  <si>
    <t>Strangford Loch</t>
  </si>
  <si>
    <t>Thames Estuary and Marshes</t>
  </si>
  <si>
    <t>Ythan Estuary &amp; Meikle Loch</t>
  </si>
  <si>
    <t>Firth of Tay and Eden Estuary</t>
  </si>
  <si>
    <t>Inner Clyde Estuary</t>
  </si>
  <si>
    <t>The Wadden Sea</t>
  </si>
  <si>
    <t>Isole Eolie (Aeolian Islands)</t>
  </si>
  <si>
    <t>Larnaca Salt Lake</t>
  </si>
  <si>
    <t>Isles of Scilly</t>
  </si>
  <si>
    <t>South East Coast of Jersey, Channel Islands</t>
  </si>
  <si>
    <t>Dorset and East Devon Coast</t>
  </si>
  <si>
    <t>Firth of Forth</t>
  </si>
  <si>
    <t>Sleibhtean agus Cladach Thiriodh</t>
  </si>
  <si>
    <t>IJmeer</t>
  </si>
  <si>
    <t>IJsselmeer</t>
  </si>
  <si>
    <t>Lauwersmeer</t>
  </si>
  <si>
    <t>North Sea Coastal Area</t>
  </si>
  <si>
    <t>Zoommeer</t>
  </si>
  <si>
    <t>Marais du Fier d'Ars</t>
  </si>
  <si>
    <t>Haringvliet</t>
  </si>
  <si>
    <t>Blekinge archipelago</t>
  </si>
  <si>
    <t>Hollands Diep</t>
  </si>
  <si>
    <t>Oudegaasterbrekken, Fluessen en omgeving</t>
  </si>
  <si>
    <t>Voordelta</t>
  </si>
  <si>
    <t>Voornes Duin</t>
  </si>
  <si>
    <t>Grevelingen</t>
  </si>
  <si>
    <t>Marais de la Mekhada</t>
  </si>
  <si>
    <t>Reserva Natural del Estuario del Muni</t>
  </si>
  <si>
    <t>Limassol Lake (Akrotiri)</t>
  </si>
  <si>
    <t>Cape Floral Region Protected Areas</t>
  </si>
  <si>
    <t>St Kilda</t>
  </si>
  <si>
    <t>Les Ecrehou and Les Dirouilles</t>
  </si>
  <si>
    <t>Les Pierres de Lecq</t>
  </si>
  <si>
    <t>Rufiji-Mafia-Kilwa</t>
  </si>
  <si>
    <t>Zambezi Delta</t>
  </si>
  <si>
    <t>Port Launay Wetland</t>
  </si>
  <si>
    <t>Archipel et Dunes d'Essawira</t>
  </si>
  <si>
    <t>Complexe de Sidi Moussa-Walidia</t>
  </si>
  <si>
    <t>Embouchure de l'Oued Dr'a</t>
  </si>
  <si>
    <t>Embochures des Oueds Chbeyka-Al Wa'er</t>
  </si>
  <si>
    <t>Marais et C么te du Plateau de Rmel</t>
  </si>
  <si>
    <t>Zones Humides de Sous-Massa</t>
  </si>
  <si>
    <t>Alderney West Coast and the Burhou Islands</t>
  </si>
  <si>
    <t>Bird Wetlands of Hanko and Tammisaari</t>
  </si>
  <si>
    <t>Les Etangs littoraux de la Narbonnaise</t>
  </si>
  <si>
    <t>Mondego Estuary</t>
  </si>
  <si>
    <t>Tanbi Wetland Complex</t>
  </si>
  <si>
    <t>Parc National Akanda</t>
  </si>
  <si>
    <t>Parc National Pongara</t>
  </si>
  <si>
    <t>Paraje Natural Lagunas de Palos y las Madres</t>
  </si>
  <si>
    <t>Paraje Natural Punta Entinas-Sabinar</t>
  </si>
  <si>
    <t>Rainforests of the Atsinanana</t>
  </si>
  <si>
    <t>Bahiret El Bibane</t>
  </si>
  <si>
    <t>Barrage Lebna</t>
  </si>
  <si>
    <t>Jerba Bin El Ouediane</t>
  </si>
  <si>
    <t>Jerba Guellala</t>
  </si>
  <si>
    <t>Jerba Ras Rmel</t>
  </si>
  <si>
    <t>Kneiss iles</t>
  </si>
  <si>
    <t>Lagune de Ghar El Melh et delta de la medjerda</t>
  </si>
  <si>
    <t>Lagunes du Cap Bon oriental</t>
  </si>
  <si>
    <t>Salines de Thyna</t>
  </si>
  <si>
    <t>Sebkhat Soliman</t>
  </si>
  <si>
    <t>Socotra Archipelago</t>
  </si>
  <si>
    <t>Marawah</t>
  </si>
  <si>
    <t>Estuaire du Rio Del Rey</t>
  </si>
  <si>
    <t>Ras al Khor Wildlife Sanctuary</t>
  </si>
  <si>
    <t>Luitemaa</t>
  </si>
  <si>
    <t>Barrage Sidi El Barrak</t>
  </si>
  <si>
    <t>Barrage oued El Hjar</t>
  </si>
  <si>
    <t>Sebkhat de l'archipel de Kerkennah</t>
  </si>
  <si>
    <t>Les Salines de Monastir</t>
  </si>
  <si>
    <t>Bassin d'Arcachon - Secteur du delta de la Leyre</t>
  </si>
  <si>
    <t>Sebkhet Halk El Manzel et Oued Essed</t>
  </si>
  <si>
    <t>Al Reem</t>
  </si>
  <si>
    <t>Songor</t>
  </si>
  <si>
    <t>Barrage Mlaabi</t>
  </si>
  <si>
    <t>Complexe des zones humides des Chott El Guetayate et Sebkhet Dhreia et oued Akarit Rekhama et Melah</t>
  </si>
  <si>
    <t>Namib Sand Sea</t>
  </si>
  <si>
    <t>Salinas of the English Port</t>
  </si>
  <si>
    <t>Vransko Lake</t>
  </si>
  <si>
    <t>Complexe des zones humides de Sebkhet Oum Ez-Zessar et Sbkkhet El Grine</t>
  </si>
  <si>
    <t>Complexe lac de Tunis</t>
  </si>
  <si>
    <t>Dassen Island Nature Reserve</t>
  </si>
  <si>
    <t>False Bay Nature Reserve</t>
  </si>
  <si>
    <t>Bot - Kleinmond Estuarine System</t>
  </si>
  <si>
    <t>Al Qurm Nature Reserve</t>
  </si>
  <si>
    <t>The Mersey Narrows and North Wirral Foreshore</t>
  </si>
  <si>
    <t>Complexe du Bas Tahaddart</t>
  </si>
  <si>
    <t>Complexe du Bas Loukkos</t>
  </si>
  <si>
    <t>Sebkha Bou Areg</t>
  </si>
  <si>
    <t>Sanganeb Marine National Park and Dungonab Bay - Mukkawar Island Marine National Park</t>
  </si>
  <si>
    <t>Merja Zerga</t>
  </si>
  <si>
    <t>Markiezaat</t>
  </si>
  <si>
    <t>Duinen en Lage Land Texel</t>
  </si>
  <si>
    <t>Duinen Terschelling</t>
  </si>
  <si>
    <t>Duinen Vlieland</t>
  </si>
  <si>
    <t>Lagune de Boughrara</t>
  </si>
  <si>
    <t>Site Bioculturel d'Antrema</t>
  </si>
  <si>
    <t>Trappola Marshland - Ombrone River Mouth</t>
  </si>
  <si>
    <t>Zones Humides de Sahamalaza</t>
  </si>
  <si>
    <t>Herm, Jethou and The Humps</t>
  </si>
  <si>
    <t>Killough Bay</t>
  </si>
  <si>
    <t>Outer Ards</t>
  </si>
  <si>
    <t>Bul Syayeef Marine Protected Area</t>
  </si>
  <si>
    <t>Zones humides de l'Onilahy</t>
  </si>
  <si>
    <t>Etang de Salses-Leucate</t>
  </si>
  <si>
    <t>Mangroves de Tsiribihina</t>
  </si>
  <si>
    <t>Iles Barren</t>
  </si>
  <si>
    <t>Al Zorah</t>
  </si>
  <si>
    <t>Massaciuccoli lake and marsh</t>
  </si>
  <si>
    <t>Vistula River Mouth</t>
  </si>
  <si>
    <t>Complexe des lacs Ambondro et Sirave (CLAS)</t>
  </si>
  <si>
    <t>Parc Naturel des Mangroves du Fleuve Cacheu (PNTC)</t>
  </si>
  <si>
    <t>Mubarak Al-Kabeer Reserve</t>
  </si>
  <si>
    <t>Bas-Kouilou-Yombo</t>
  </si>
  <si>
    <t>Kalissaye</t>
  </si>
  <si>
    <t>Trapani and Paceco salt ponds</t>
  </si>
  <si>
    <t>Marjal de Almenara</t>
  </si>
  <si>
    <t>French Austral Lands and Seas</t>
  </si>
  <si>
    <t>Cap Ghir-Imsouane</t>
  </si>
  <si>
    <t>Jebel Ali Wetland Sanctuary</t>
  </si>
  <si>
    <t>Brighton and Lewes Downs Biosphere</t>
  </si>
  <si>
    <t>Isle of Wight Biosphere</t>
  </si>
  <si>
    <t>Isle of Man Biosphere Reserve</t>
  </si>
  <si>
    <t>Moheli - Zone de transition</t>
  </si>
  <si>
    <t>Moheli - Reserve Nioumachioua</t>
  </si>
  <si>
    <t>Moheli - Reserve Itsamia</t>
  </si>
  <si>
    <t>Moheli - Reserve Mirereni vers Miringoni</t>
  </si>
  <si>
    <t>Moheli - Reserve Sambia</t>
  </si>
  <si>
    <t>Fitzgerald</t>
  </si>
  <si>
    <t>Komodo</t>
  </si>
  <si>
    <t>Sikhote-Alin</t>
  </si>
  <si>
    <t>Great Barrier Reef</t>
  </si>
  <si>
    <t>Kakadu National Park</t>
  </si>
  <si>
    <t>Gunung Leuser National Park</t>
  </si>
  <si>
    <t>Yakushima Island-kuchierabu Island</t>
  </si>
  <si>
    <t>Tasmanian Wilderness</t>
  </si>
  <si>
    <t>Kronotskiy</t>
  </si>
  <si>
    <t>Sundarbans National Park</t>
  </si>
  <si>
    <t>Wet Tropics of Queensland</t>
  </si>
  <si>
    <t>Shark Bay, Western Australia</t>
  </si>
  <si>
    <t>Komodo National Park</t>
  </si>
  <si>
    <t>Ujung Kulon National Park</t>
  </si>
  <si>
    <t>Fraser Island</t>
  </si>
  <si>
    <t>Yancheng</t>
  </si>
  <si>
    <t>Cobourg Peninsula</t>
  </si>
  <si>
    <t>Moulting Lagoon</t>
  </si>
  <si>
    <t>Logan Lagoon</t>
  </si>
  <si>
    <t>Pitt Water-Orielton Lagoon</t>
  </si>
  <si>
    <t>East Coast Cape Barren Island Lagoons</t>
  </si>
  <si>
    <t>Flood Plain Lower Ringarooma River</t>
  </si>
  <si>
    <t>Corner Inlet</t>
  </si>
  <si>
    <t>Port Phillip Bay (Western Shoreline) and Bellarine Peninsula</t>
  </si>
  <si>
    <t>Western Port</t>
  </si>
  <si>
    <t>Gippsland Lakes</t>
  </si>
  <si>
    <t>Hunter Estuary Wetlands</t>
  </si>
  <si>
    <t>The Coorong, and Lakes Alexandrina and Albert Wetland</t>
  </si>
  <si>
    <t>Ord River Floodplain</t>
  </si>
  <si>
    <t>Roebuck Bay</t>
  </si>
  <si>
    <t>Eighty-mile Beach</t>
  </si>
  <si>
    <t>Peel-Yalgorup System</t>
  </si>
  <si>
    <t>Lake Warden System</t>
  </si>
  <si>
    <t>Sundarbans Reserved Forest</t>
  </si>
  <si>
    <t>Chilika Lake</t>
  </si>
  <si>
    <t>Berbak</t>
  </si>
  <si>
    <t>Kutcharo-ko</t>
  </si>
  <si>
    <t>Kiritappu-shitsugen</t>
  </si>
  <si>
    <t>Akkeshi-ko &amp; Bekambeushi-shitsugen</t>
  </si>
  <si>
    <t>Yatsu-higata</t>
  </si>
  <si>
    <t>Tonda Wildlife Management Area</t>
  </si>
  <si>
    <t>Bundala</t>
  </si>
  <si>
    <t>Moreton Bay</t>
  </si>
  <si>
    <t>Bowling Green Bay</t>
  </si>
  <si>
    <t>Karaginsky Island, Bering Sea</t>
  </si>
  <si>
    <t>Moroshechnaya River</t>
  </si>
  <si>
    <t>Utkholok</t>
  </si>
  <si>
    <t>Volcanoes of Kamchatka</t>
  </si>
  <si>
    <t>Mai Po Marshes &amp; Inner Deep Bay</t>
  </si>
  <si>
    <t>The Sundarbans</t>
  </si>
  <si>
    <t>Biosphere Reserves Ranong Thailand</t>
  </si>
  <si>
    <t>Shoalwater and Corio Bays Area (Shoalwater Bay Training Area, in part - Corio Bay)</t>
  </si>
  <si>
    <t>Xuan Thuy Natural Wetland Reserve</t>
  </si>
  <si>
    <t>New Zealand Sub-Antarctic Islands</t>
  </si>
  <si>
    <t>East Rennell</t>
  </si>
  <si>
    <t>Lorentz National Park</t>
  </si>
  <si>
    <t>Great Sandy Strait (including Great Sandy Strait, Tin Can Bay and Tin Can Inlet)</t>
  </si>
  <si>
    <t>Lavinia</t>
  </si>
  <si>
    <t>Koh Kapi</t>
  </si>
  <si>
    <t>Manko</t>
  </si>
  <si>
    <t>Shanku Mangrove</t>
  </si>
  <si>
    <t>Myall Lakes</t>
  </si>
  <si>
    <t>Muan Tidal Flat</t>
  </si>
  <si>
    <t>Mui Ca Mau</t>
  </si>
  <si>
    <t>Can Gio Mangrove</t>
  </si>
  <si>
    <t>Cat Ba</t>
  </si>
  <si>
    <t>Cu Lao Cham Hoi An</t>
  </si>
  <si>
    <t>Kien Giang</t>
  </si>
  <si>
    <t>Red River Delta</t>
  </si>
  <si>
    <t>Lake Gore</t>
  </si>
  <si>
    <t>Krabi Estuary</t>
  </si>
  <si>
    <t>Don Hoi Lot</t>
  </si>
  <si>
    <t>Central Sikhote-Alin</t>
  </si>
  <si>
    <t>Chongming Dongtan Nature Reserve, Shanghai</t>
  </si>
  <si>
    <t>Dafeng National Nature Reserve</t>
  </si>
  <si>
    <t>Dalian National Spotted Seal Nature Reserve</t>
  </si>
  <si>
    <t>Shankou Mangrove Nature Reserve</t>
  </si>
  <si>
    <t>Zhanjiang Mangrove National Nature Reserve</t>
  </si>
  <si>
    <t>Mornington Peninsula &amp; Western Port</t>
  </si>
  <si>
    <t>Fujimae-higata</t>
  </si>
  <si>
    <t>Hat Chao Mai MNP - Ta Libong Island Non-Hunting Area - Trang River Estuaries</t>
  </si>
  <si>
    <t>Pang Nga Bay MNP</t>
  </si>
  <si>
    <t>Ha Long Bay</t>
  </si>
  <si>
    <t>Tropical Rainforest Heritage of Sumatra</t>
  </si>
  <si>
    <t>Shiretoko</t>
  </si>
  <si>
    <t>Jaluit</t>
  </si>
  <si>
    <t>Shuangtai Estuary</t>
  </si>
  <si>
    <t>Keramasyoto-kaiiki</t>
  </si>
  <si>
    <t>Kushimoto Coral Communities</t>
  </si>
  <si>
    <t>Mikata-goko</t>
  </si>
  <si>
    <t>Nagura-amparu</t>
  </si>
  <si>
    <t>Notsuke-hanto and Notsuke-wan</t>
  </si>
  <si>
    <t>Sarobetsu-genya</t>
  </si>
  <si>
    <t>Furen-ko and Shunkuni-tai</t>
  </si>
  <si>
    <t>Tofutsu-ko</t>
  </si>
  <si>
    <t>Suncheon Bay</t>
  </si>
  <si>
    <t>Wasur National Park</t>
  </si>
  <si>
    <t>Lagoons of New Caledonia: Reef Diversity and Associated Ecosystems</t>
  </si>
  <si>
    <t>Ningaloo Coast</t>
  </si>
  <si>
    <t>Jeungdo Tidal Flat</t>
  </si>
  <si>
    <t>Great Sandy</t>
  </si>
  <si>
    <t>Noosa</t>
  </si>
  <si>
    <t>Shinan Dadohae</t>
  </si>
  <si>
    <t>Arao-higata</t>
  </si>
  <si>
    <t>Lower Maruyama River and the surrounding rice paddies</t>
  </si>
  <si>
    <t>Yonaha-wan</t>
  </si>
  <si>
    <t>Rock Islands Southern Lagoon</t>
  </si>
  <si>
    <t>Namdrik</t>
  </si>
  <si>
    <t>Piccaninnie Ponds Karst Wetlands</t>
  </si>
  <si>
    <t>Shandong Yellow River Delta Wetland</t>
  </si>
  <si>
    <t>Ko Ra - Ko Phra Thong Archipelago</t>
  </si>
  <si>
    <t>Tanjung Puting National Park</t>
  </si>
  <si>
    <t>Gochang</t>
  </si>
  <si>
    <t>Songdo Tidal Flat</t>
  </si>
  <si>
    <t>Guangdong Nanpeng Archipelago Wetlands</t>
  </si>
  <si>
    <t>Dongcheon Estuary</t>
  </si>
  <si>
    <t>Negros Occidental Coastal Wetlands Conservation Area (NOCWCA)</t>
  </si>
  <si>
    <t>Meinmahla Kyun Wildlife Sanctuary</t>
  </si>
  <si>
    <t>Gulf of Mottama</t>
  </si>
  <si>
    <t>Higashiyoka-higata</t>
  </si>
  <si>
    <t>Hizenkashima-higata</t>
  </si>
  <si>
    <t>Khao Sam Roi Yot Wetland</t>
  </si>
  <si>
    <t>Qoliqoli Cokovata</t>
  </si>
  <si>
    <t>Glenelg Estuary and Discovery Bay Wetlands</t>
  </si>
  <si>
    <t>Migratory Bird Sanctuaries along the Coast of Yellow Sea-Bohai Gulf of China (Phase I)</t>
  </si>
  <si>
    <t>Shizugawa-wan</t>
  </si>
  <si>
    <t>Guangxi Beilun Estuary National Nature Reserve</t>
  </si>
  <si>
    <t>Guangdong Haifeng Wetlands</t>
  </si>
  <si>
    <t>Fujian Minjiang River Estuary Wetlands</t>
  </si>
  <si>
    <t>Guangdong Guangzhou Haizhu Wetlands</t>
  </si>
  <si>
    <t>Guangdong Shenzhen Futian Mangrove Wetlands</t>
  </si>
  <si>
    <t>Guangxi Beihai Jinhaiwan Mangrove Wetlands</t>
  </si>
  <si>
    <t>Zhejiang Pingyang Nanji Islands Wetlands</t>
  </si>
  <si>
    <t>Snake Island - Laotieshan World Biosphere Reserve</t>
  </si>
  <si>
    <t>Galápagos Islands</t>
    <phoneticPr fontId="1" type="noConversion"/>
  </si>
  <si>
    <t>Río Plátano</t>
    <phoneticPr fontId="1" type="noConversion"/>
  </si>
  <si>
    <t>Río Plátano Biosphere Reserve</t>
  </si>
  <si>
    <t>Darién</t>
    <phoneticPr fontId="1" type="noConversion"/>
  </si>
  <si>
    <t>Réserve Intégrale du Lac Oubeïra</t>
    <phoneticPr fontId="1" type="noConversion"/>
  </si>
  <si>
    <t>Banc d'Arguin</t>
    <phoneticPr fontId="1" type="noConversion"/>
  </si>
  <si>
    <t>Te Wahipounamu – South West New Zealand</t>
    <phoneticPr fontId="1" type="noConversion"/>
  </si>
  <si>
    <t>El Vizcaíno</t>
    <phoneticPr fontId="1" type="noConversion"/>
  </si>
  <si>
    <t>Doñana National Park</t>
    <phoneticPr fontId="1" type="noConversion"/>
  </si>
  <si>
    <t>Mary's Point</t>
  </si>
  <si>
    <t>Baie de l'Isle-Verte</t>
  </si>
  <si>
    <t>Læso</t>
    <phoneticPr fontId="1" type="noConversion"/>
  </si>
  <si>
    <t>Lillebælt</t>
    <phoneticPr fontId="1" type="noConversion"/>
  </si>
  <si>
    <t>Nærå Coast and Æbelo area</t>
  </si>
  <si>
    <t>Sejro Bugt, Nekselo Bugt &amp; Saltbæk Vig</t>
  </si>
  <si>
    <t>Waters South of Zealand,Skælskor Fjord, Glæno and adjacent wetlands</t>
  </si>
  <si>
    <t>Karrebæk, Dybso and Avno Fjords</t>
  </si>
  <si>
    <t>Præsto Fjord, Jungshoved Nor, Ulvshale and Nyord</t>
  </si>
  <si>
    <t>Wongha-Wonghe</t>
  </si>
  <si>
    <t>Setté Cama</t>
  </si>
  <si>
    <t>Wattenmeer, Jadebusen &amp; westliche Wesermündung</t>
  </si>
  <si>
    <t>Ostseeboddengewässer Westrügen-Hiddensee-Zingst</t>
  </si>
  <si>
    <t>Mühlenberger Loch</t>
    <phoneticPr fontId="1" type="noConversion"/>
  </si>
  <si>
    <t>Konkouré</t>
    <phoneticPr fontId="1" type="noConversion"/>
  </si>
  <si>
    <t>Sacca di Bellocchio</t>
  </si>
  <si>
    <t>Stagno di S'Ena Arrubia</t>
    <phoneticPr fontId="1" type="noConversion"/>
  </si>
  <si>
    <t>Stagno di Cabras</t>
    <phoneticPr fontId="1" type="noConversion"/>
  </si>
  <si>
    <t>Stagno di Corru S'Ittiri, Stagni di San Giovanni e Marceddì</t>
  </si>
  <si>
    <t>Santuario Nacional Lagunas de Mejía</t>
    <phoneticPr fontId="1" type="noConversion"/>
  </si>
  <si>
    <t>Estuário do Tejo</t>
    <phoneticPr fontId="1" type="noConversion"/>
  </si>
  <si>
    <t>Doñana</t>
    <phoneticPr fontId="1" type="noConversion"/>
  </si>
  <si>
    <t>S’Albufera de Mallorca</t>
  </si>
  <si>
    <t>Rias de Ortigueira y Ladrido</t>
    <phoneticPr fontId="1" type="noConversion"/>
  </si>
  <si>
    <t>Aiguamolls de l’Empordà</t>
  </si>
  <si>
    <t>Laguna y arenal de Valdoviño</t>
    <phoneticPr fontId="1" type="noConversion"/>
  </si>
  <si>
    <t>Falsterbo – (Bay of) Foteviken</t>
  </si>
  <si>
    <t>Öland, eastern coastal areas</t>
  </si>
  <si>
    <t>Getterån</t>
    <phoneticPr fontId="1" type="noConversion"/>
  </si>
  <si>
    <t>Träslövsläge-Morups Tånge</t>
  </si>
  <si>
    <t>Bañados del Este</t>
    <phoneticPr fontId="1" type="noConversion"/>
  </si>
  <si>
    <t>Les Marais salants de Guérande et du Mes</t>
    <phoneticPr fontId="1" type="noConversion"/>
  </si>
  <si>
    <t>Humedal Manchón-Guamuchal</t>
    <phoneticPr fontId="1" type="noConversion"/>
  </si>
  <si>
    <t>Punta Patiño</t>
    <phoneticPr fontId="1" type="noConversion"/>
  </si>
  <si>
    <t>Göksu Delta</t>
    <phoneticPr fontId="1" type="noConversion"/>
  </si>
  <si>
    <t>Marismas de Santoña</t>
    <phoneticPr fontId="1" type="noConversion"/>
  </si>
  <si>
    <t>Ría del Eo</t>
    <phoneticPr fontId="1" type="noConversion"/>
  </si>
  <si>
    <t>Réserve naturelle nationale des Terres australes francaises</t>
  </si>
  <si>
    <t>Complejo Lagunar Bahía Guásimas - Estero Lobos</t>
    <phoneticPr fontId="1" type="noConversion"/>
  </si>
  <si>
    <t>Sistema Lagunar Agiabampo - Bacorehuis - Río Fuerte Antiguo</t>
  </si>
  <si>
    <t>Sistema Lagunar Estuarino Agua Dulce - El Ermitaño</t>
    <phoneticPr fontId="1" type="noConversion"/>
  </si>
  <si>
    <t>Sistema Ripario de la Cuenca y Estero de San José del Cabo</t>
  </si>
  <si>
    <t>Estuário do Sado</t>
    <phoneticPr fontId="1" type="noConversion"/>
  </si>
  <si>
    <t>Lagoa de St. André et Lagoa de Sancha</t>
  </si>
  <si>
    <t>Hiiumaa Islets and Käina Bay</t>
    <phoneticPr fontId="1" type="noConversion"/>
  </si>
  <si>
    <t>Parque Atlántico Mar Chiquito</t>
  </si>
  <si>
    <t>Bahía de Samborombón</t>
    <phoneticPr fontId="1" type="noConversion"/>
  </si>
  <si>
    <t>Humedales del Delta del Río Colorado</t>
  </si>
  <si>
    <t>Parque nacional Archipiélago de Los Roques</t>
  </si>
  <si>
    <t>Refugio de Fauna Silvestre y Reserva de Pesca Ciénaga de Los Olivitos</t>
  </si>
  <si>
    <t>La réserve de biosphère de l'arganeraie (RBA)</t>
    <phoneticPr fontId="1" type="noConversion"/>
  </si>
  <si>
    <t>Península Valdés</t>
  </si>
  <si>
    <t>Area de Conservación Guanacaste</t>
  </si>
  <si>
    <t>Ciénaga de Zapata</t>
    <phoneticPr fontId="1" type="noConversion"/>
  </si>
  <si>
    <t>Humedales de Bahía Adair</t>
    <phoneticPr fontId="1" type="noConversion"/>
  </si>
  <si>
    <t>Complexe de zones humides de la plaine de Guerbès-Sanhadja</t>
    <phoneticPr fontId="1" type="noConversion"/>
  </si>
  <si>
    <t>Marais de la Macta</t>
    <phoneticPr fontId="1" type="noConversion"/>
  </si>
  <si>
    <t>Refugio de Vida Silvestre Río San Juan</t>
  </si>
  <si>
    <t>Sistema de Humedales de la Bahía de Bluefields</t>
  </si>
  <si>
    <t>Ciénaga de Lanier y Sur de la Isla de la Juventud</t>
  </si>
  <si>
    <t>Gran Humedal del Norte de Ciego de Ávila</t>
    <phoneticPr fontId="1" type="noConversion"/>
  </si>
  <si>
    <t>Fylleån</t>
    <phoneticPr fontId="1" type="noConversion"/>
  </si>
  <si>
    <t>Lundåkra Bay</t>
  </si>
  <si>
    <t>Nordre älvs estuarium</t>
    <phoneticPr fontId="1" type="noConversion"/>
  </si>
  <si>
    <t>Skälderviken</t>
  </si>
  <si>
    <t>Södra Bråviken</t>
    <phoneticPr fontId="1" type="noConversion"/>
  </si>
  <si>
    <t>Kaper Estuary - Laemson MNP - Kraburi Estuary</t>
    <phoneticPr fontId="1" type="noConversion"/>
  </si>
  <si>
    <t>Humedal Río Máximo-Cagüey</t>
    <phoneticPr fontId="1" type="noConversion"/>
  </si>
  <si>
    <t>Réserve Naturelle du Lac de Béni-Bélaïd</t>
  </si>
  <si>
    <t>Reserva de la biosfera de Río San Juan</t>
  </si>
  <si>
    <t>Río Ntem o Campo</t>
  </si>
  <si>
    <t>Reserva de la Biosfera Ría Celestún</t>
  </si>
  <si>
    <t>Playa Tortuguera Cahuitán</t>
  </si>
  <si>
    <t>Área de Protección de Flora y Fauna Laguna de Términos.</t>
  </si>
  <si>
    <t>Parque nacional Bahía de Loreto</t>
  </si>
  <si>
    <t>Área de protección de flora y fauna Yum Balam</t>
  </si>
  <si>
    <t> Humedal Bahía de Panamá</t>
  </si>
  <si>
    <t>Bahía Lomas</t>
  </si>
  <si>
    <t>Esteros de Farrapos e Islas del Río Uruguay</t>
  </si>
  <si>
    <t>Laguna Costera El Caimán</t>
  </si>
  <si>
    <t>Ría Lagartos</t>
    <phoneticPr fontId="1" type="noConversion"/>
  </si>
  <si>
    <t>Complejo Bahía de Jiquilisco</t>
  </si>
  <si>
    <t>Lihou Island and l'Erée Headland</t>
    <phoneticPr fontId="1" type="noConversion"/>
  </si>
  <si>
    <t>Laguna Madre y Delta del Rió Bravo</t>
  </si>
  <si>
    <t>Laguna Xola-Paramán</t>
    <phoneticPr fontId="1" type="noConversion"/>
  </si>
  <si>
    <t>Zona Sujeta a Conservación Ecológica Cabildo - Amatal</t>
  </si>
  <si>
    <t>Humedal Los Comondú</t>
    <phoneticPr fontId="1" type="noConversion"/>
  </si>
  <si>
    <t>Zona Sujeta a Conservación Ecológica El Gancho - Murillo</t>
    <phoneticPr fontId="1" type="noConversion"/>
  </si>
  <si>
    <t>Bahía de San Quintín</t>
  </si>
  <si>
    <t>Humedales de Bahía San Jorge</t>
  </si>
  <si>
    <t>Laguna de Cuyutlán vasos III y IV</t>
  </si>
  <si>
    <t>Marais d'Orx et zones humides associées</t>
  </si>
  <si>
    <t>Lagunas de Santa María-Topolobampo-Ohuira</t>
  </si>
  <si>
    <t>Islas Marías</t>
  </si>
  <si>
    <t>Ría de Villaviciosa</t>
    <phoneticPr fontId="1" type="noConversion"/>
  </si>
  <si>
    <t>Northwest Curaçao</t>
  </si>
  <si>
    <t>Humedales de Península Valdés</t>
    <phoneticPr fontId="1" type="noConversion"/>
  </si>
  <si>
    <t>Valdés</t>
    <phoneticPr fontId="1" type="noConversion"/>
  </si>
  <si>
    <t>Bañados del Este y Franja Costera</t>
    <phoneticPr fontId="1" type="noConversion"/>
  </si>
  <si>
    <t>Las Salinas de Huentelauquén (LSH)</t>
  </si>
  <si>
    <t>Marais Vernier et Vallée de la Risle maritime</t>
  </si>
  <si>
    <t>Marais Breton, Baie de Bourgneuf, Ile de Noirmoutier et Forêt de Monts</t>
  </si>
  <si>
    <t>Guaraqueçaba Ecological Station</t>
  </si>
  <si>
    <t>Environmental Protection Area of Cananéia-Iguape-Peruíbe</t>
  </si>
  <si>
    <t>Réserve Naturelle d'Intérêt Communautaire de la Somone</t>
    <phoneticPr fontId="1" type="noConversion"/>
  </si>
  <si>
    <t>Réserve Naturelle Communautaire de Palmarin</t>
  </si>
  <si>
    <t>Klein Curaçao</t>
  </si>
  <si>
    <r>
      <t>Predicted area loss due to sea level rise (km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</si>
  <si>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t>SSP1-26</t>
    <phoneticPr fontId="1" type="noConversion"/>
  </si>
  <si>
    <t>SSP2-45</t>
    <phoneticPr fontId="1" type="noConversion"/>
  </si>
  <si>
    <t>SSP3-70</t>
    <phoneticPr fontId="1" type="noConversion"/>
  </si>
  <si>
    <t>SSP5-85</t>
    <phoneticPr fontId="1" type="noConversion"/>
  </si>
  <si>
    <t>2010 year</t>
    <phoneticPr fontId="1" type="noConversion"/>
  </si>
  <si>
    <t>Baseline temperature</t>
    <phoneticPr fontId="1" type="noConversion"/>
  </si>
  <si>
    <r>
      <t>Area (km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</si>
  <si>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t>555744966_I</t>
    <phoneticPr fontId="1" type="noConversion"/>
  </si>
  <si>
    <t>ATR</t>
    <phoneticPr fontId="1" type="noConversion"/>
  </si>
  <si>
    <t>SLR</t>
    <phoneticPr fontId="1" type="noConversion"/>
  </si>
  <si>
    <t>SSP1-2.6</t>
    <phoneticPr fontId="1" type="noConversion"/>
  </si>
  <si>
    <t>SSP2-4.5</t>
    <phoneticPr fontId="1" type="noConversion"/>
  </si>
  <si>
    <t>SSP3-7.0</t>
    <phoneticPr fontId="1" type="noConversion"/>
  </si>
  <si>
    <t>SSP5-8.5</t>
    <phoneticPr fontId="1" type="noConversion"/>
  </si>
  <si>
    <t>Predicted rising temperature (℃)</t>
    <phoneticPr fontId="1" type="noConversion"/>
  </si>
  <si>
    <t>SD</t>
    <phoneticPr fontId="11" type="noConversion"/>
  </si>
  <si>
    <t>COUNT</t>
    <phoneticPr fontId="11" type="noConversion"/>
  </si>
  <si>
    <t>SE(Standard Error)</t>
    <phoneticPr fontId="11" type="noConversion"/>
  </si>
  <si>
    <t>95%CI</t>
    <phoneticPr fontId="11" type="noConversion"/>
  </si>
  <si>
    <t>CI-UP</t>
    <phoneticPr fontId="11" type="noConversion"/>
  </si>
  <si>
    <t>CI-DOWN</t>
    <phoneticPr fontId="11" type="noConversion"/>
  </si>
  <si>
    <t>Avg.</t>
    <phoneticPr fontId="11" type="noConversion"/>
  </si>
  <si>
    <t>Min</t>
    <phoneticPr fontId="11" type="noConversion"/>
  </si>
  <si>
    <t>Max</t>
    <phoneticPr fontId="11" type="noConversion"/>
  </si>
  <si>
    <t>Z-Score</t>
    <phoneticPr fontId="1" type="noConversion"/>
  </si>
  <si>
    <t>Please note that the data in this table are mainly used for plotting Figure 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</si>
</sst>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vertical="center"/>
    </xf>
    <xf numFmtId="177" fontId="0" fillId="0" borderId="0" xfId="0" applyNumberFormat="1" applyAlignment="1">
      <alignment horizontal="left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1" xfId="0" applyFill="1" applyBorder="1">
      <alignment vertical="center"/>
    </xf>
    <xf numFmtId="177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vertical="center"/>
    </xf>
    <xf numFmtId="177" fontId="4" fillId="0" borderId="1" xfId="0" applyNumberFormat="1" applyFont="1" applyBorder="1" applyAlignment="1">
      <alignment vertical="center"/>
    </xf>
    <xf numFmtId="176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176" fontId="0" fillId="0" borderId="1" xfId="0" applyNumberFormat="1" applyBorder="1" applyAlignment="1">
      <alignment vertical="center"/>
    </xf>
    <xf numFmtId="0" fontId="3" fillId="0" borderId="0" xfId="0" applyFont="1" applyFill="1" applyAlignment="1">
      <alignment vertical="center"/>
    </xf>
    <xf numFmtId="176" fontId="2" fillId="0" borderId="1" xfId="0" applyNumberFormat="1" applyFont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center" vertical="top"/>
    </xf>
    <xf numFmtId="176" fontId="0" fillId="0" borderId="1" xfId="0" applyNumberFormat="1" applyFill="1" applyBorder="1">
      <alignment vertical="center"/>
    </xf>
    <xf numFmtId="176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77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4" fillId="0" borderId="1" xfId="0" applyFont="1" applyBorder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78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6" fontId="9" fillId="0" borderId="1" xfId="0" applyNumberFormat="1" applyFont="1" applyBorder="1">
      <alignment vertical="center"/>
    </xf>
    <xf numFmtId="177" fontId="3" fillId="4" borderId="8" xfId="0" applyNumberFormat="1" applyFont="1" applyFill="1" applyBorder="1">
      <alignment vertical="center"/>
    </xf>
    <xf numFmtId="176" fontId="12" fillId="3" borderId="7" xfId="0" applyNumberFormat="1" applyFont="1" applyFill="1" applyBorder="1">
      <alignment vertical="center"/>
    </xf>
    <xf numFmtId="176" fontId="13" fillId="2" borderId="8" xfId="0" applyNumberFormat="1" applyFont="1" applyFill="1" applyBorder="1">
      <alignment vertical="center"/>
    </xf>
    <xf numFmtId="176" fontId="3" fillId="4" borderId="8" xfId="0" applyNumberFormat="1" applyFont="1" applyFill="1" applyBorder="1">
      <alignment vertical="center"/>
    </xf>
    <xf numFmtId="176" fontId="10" fillId="4" borderId="8" xfId="0" applyNumberFormat="1" applyFont="1" applyFill="1" applyBorder="1">
      <alignment vertical="center"/>
    </xf>
    <xf numFmtId="176" fontId="0" fillId="0" borderId="5" xfId="0" applyNumberFormat="1" applyFill="1" applyBorder="1" applyAlignment="1">
      <alignment vertical="center"/>
    </xf>
    <xf numFmtId="176" fontId="0" fillId="0" borderId="5" xfId="0" applyNumberFormat="1" applyBorder="1" applyAlignment="1">
      <alignment vertical="center"/>
    </xf>
    <xf numFmtId="1" fontId="0" fillId="0" borderId="5" xfId="0" applyNumberFormat="1" applyBorder="1">
      <alignment vertical="center"/>
    </xf>
    <xf numFmtId="176" fontId="0" fillId="0" borderId="5" xfId="0" applyNumberFormat="1" applyBorder="1">
      <alignment vertical="center"/>
    </xf>
    <xf numFmtId="0" fontId="3" fillId="0" borderId="9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76" fontId="10" fillId="4" borderId="10" xfId="0" applyNumberFormat="1" applyFont="1" applyFill="1" applyBorder="1">
      <alignment vertical="center"/>
    </xf>
    <xf numFmtId="0" fontId="0" fillId="0" borderId="11" xfId="0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76" fontId="12" fillId="0" borderId="7" xfId="0" applyNumberFormat="1" applyFont="1" applyFill="1" applyBorder="1">
      <alignment vertical="center"/>
    </xf>
    <xf numFmtId="176" fontId="13" fillId="0" borderId="8" xfId="0" applyNumberFormat="1" applyFont="1" applyFill="1" applyBorder="1">
      <alignment vertical="center"/>
    </xf>
    <xf numFmtId="177" fontId="3" fillId="0" borderId="8" xfId="0" applyNumberFormat="1" applyFont="1" applyFill="1" applyBorder="1">
      <alignment vertical="center"/>
    </xf>
    <xf numFmtId="176" fontId="3" fillId="0" borderId="8" xfId="0" applyNumberFormat="1" applyFont="1" applyFill="1" applyBorder="1">
      <alignment vertical="center"/>
    </xf>
    <xf numFmtId="176" fontId="10" fillId="0" borderId="8" xfId="0" applyNumberFormat="1" applyFont="1" applyFill="1" applyBorder="1">
      <alignment vertical="center"/>
    </xf>
    <xf numFmtId="176" fontId="10" fillId="0" borderId="10" xfId="0" applyNumberFormat="1" applyFont="1" applyFill="1" applyBorder="1">
      <alignment vertical="center"/>
    </xf>
    <xf numFmtId="1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Longitude!$E$2</c:f>
              <c:strCache>
                <c:ptCount val="1"/>
                <c:pt idx="0">
                  <c:v>SSP5-8.5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Longitude!$E$3:$E$207</c:f>
              <c:numCache>
                <c:formatCode>0.00_ </c:formatCode>
                <c:ptCount val="205"/>
                <c:pt idx="8">
                  <c:v>4.41</c:v>
                </c:pt>
                <c:pt idx="9">
                  <c:v>7.56</c:v>
                </c:pt>
                <c:pt idx="10">
                  <c:v>8.43</c:v>
                </c:pt>
                <c:pt idx="11">
                  <c:v>4.9000000000000004</c:v>
                </c:pt>
                <c:pt idx="12">
                  <c:v>5.4533333333333331</c:v>
                </c:pt>
                <c:pt idx="13">
                  <c:v>4.95</c:v>
                </c:pt>
                <c:pt idx="14">
                  <c:v>4.87</c:v>
                </c:pt>
                <c:pt idx="15">
                  <c:v>6.3533333333333326</c:v>
                </c:pt>
                <c:pt idx="16">
                  <c:v>5.6214285714285719</c:v>
                </c:pt>
                <c:pt idx="17">
                  <c:v>5.47</c:v>
                </c:pt>
                <c:pt idx="18">
                  <c:v>5.3659999999999997</c:v>
                </c:pt>
                <c:pt idx="19">
                  <c:v>5.16</c:v>
                </c:pt>
                <c:pt idx="20">
                  <c:v>4.9550000000000001</c:v>
                </c:pt>
                <c:pt idx="21">
                  <c:v>4.6449999999999996</c:v>
                </c:pt>
                <c:pt idx="22">
                  <c:v>4.6500000000000004</c:v>
                </c:pt>
                <c:pt idx="23">
                  <c:v>4.6000000000000014</c:v>
                </c:pt>
                <c:pt idx="24">
                  <c:v>4.4916666666666671</c:v>
                </c:pt>
                <c:pt idx="25">
                  <c:v>4.6033333333333326</c:v>
                </c:pt>
                <c:pt idx="26">
                  <c:v>4.42</c:v>
                </c:pt>
                <c:pt idx="27">
                  <c:v>4.6099999999999994</c:v>
                </c:pt>
                <c:pt idx="28">
                  <c:v>4.5500000000000007</c:v>
                </c:pt>
                <c:pt idx="29">
                  <c:v>4.0220000000000002</c:v>
                </c:pt>
                <c:pt idx="30">
                  <c:v>3.043333333333333</c:v>
                </c:pt>
                <c:pt idx="31">
                  <c:v>4.3724999999999996</c:v>
                </c:pt>
                <c:pt idx="32">
                  <c:v>4.45</c:v>
                </c:pt>
                <c:pt idx="33">
                  <c:v>4.0999999999999996</c:v>
                </c:pt>
                <c:pt idx="34">
                  <c:v>4.2985714285714289</c:v>
                </c:pt>
                <c:pt idx="35">
                  <c:v>4.17</c:v>
                </c:pt>
                <c:pt idx="36">
                  <c:v>3.8557142857142859</c:v>
                </c:pt>
                <c:pt idx="37">
                  <c:v>4.1900000000000004</c:v>
                </c:pt>
                <c:pt idx="38">
                  <c:v>4.2314285714285713</c:v>
                </c:pt>
                <c:pt idx="39">
                  <c:v>4.3755555555555548</c:v>
                </c:pt>
                <c:pt idx="40">
                  <c:v>4.4833333333333334</c:v>
                </c:pt>
                <c:pt idx="41">
                  <c:v>4.0380000000000003</c:v>
                </c:pt>
                <c:pt idx="42">
                  <c:v>5.1414285714285706</c:v>
                </c:pt>
                <c:pt idx="43">
                  <c:v>4.6016666666666666</c:v>
                </c:pt>
                <c:pt idx="44">
                  <c:v>4.3533333333333326</c:v>
                </c:pt>
                <c:pt idx="45">
                  <c:v>4.3559999999999999</c:v>
                </c:pt>
                <c:pt idx="46">
                  <c:v>3.9319999999999999</c:v>
                </c:pt>
                <c:pt idx="47">
                  <c:v>4.99</c:v>
                </c:pt>
                <c:pt idx="48">
                  <c:v>4.1000000000000014</c:v>
                </c:pt>
                <c:pt idx="49">
                  <c:v>4.2271428571428578</c:v>
                </c:pt>
                <c:pt idx="50">
                  <c:v>4.2149999999999999</c:v>
                </c:pt>
                <c:pt idx="51">
                  <c:v>5.33</c:v>
                </c:pt>
                <c:pt idx="52">
                  <c:v>4.6133333333333333</c:v>
                </c:pt>
                <c:pt idx="53">
                  <c:v>4.18</c:v>
                </c:pt>
                <c:pt idx="54">
                  <c:v>4.3499999999999996</c:v>
                </c:pt>
                <c:pt idx="55">
                  <c:v>4.0457142857142863</c:v>
                </c:pt>
                <c:pt idx="56">
                  <c:v>5.46</c:v>
                </c:pt>
                <c:pt idx="57">
                  <c:v>4.5216666666666674</c:v>
                </c:pt>
                <c:pt idx="58">
                  <c:v>4.1557142857142848</c:v>
                </c:pt>
                <c:pt idx="59">
                  <c:v>4.87</c:v>
                </c:pt>
                <c:pt idx="60">
                  <c:v>4.6550000000000002</c:v>
                </c:pt>
                <c:pt idx="61">
                  <c:v>4.4649999999999999</c:v>
                </c:pt>
                <c:pt idx="62">
                  <c:v>4.18</c:v>
                </c:pt>
                <c:pt idx="63">
                  <c:v>4.6020000000000003</c:v>
                </c:pt>
                <c:pt idx="64">
                  <c:v>4.21</c:v>
                </c:pt>
                <c:pt idx="65">
                  <c:v>4.2760000000000007</c:v>
                </c:pt>
                <c:pt idx="66">
                  <c:v>4.6750000000000007</c:v>
                </c:pt>
                <c:pt idx="67">
                  <c:v>4.92</c:v>
                </c:pt>
                <c:pt idx="68">
                  <c:v>5.0324999999999998</c:v>
                </c:pt>
                <c:pt idx="69">
                  <c:v>4.28</c:v>
                </c:pt>
                <c:pt idx="70">
                  <c:v>5.36</c:v>
                </c:pt>
                <c:pt idx="71">
                  <c:v>5.1919999999999993</c:v>
                </c:pt>
                <c:pt idx="72">
                  <c:v>4.8499999999999996</c:v>
                </c:pt>
                <c:pt idx="73">
                  <c:v>5.49</c:v>
                </c:pt>
                <c:pt idx="74">
                  <c:v>4.665</c:v>
                </c:pt>
                <c:pt idx="75">
                  <c:v>4.55</c:v>
                </c:pt>
                <c:pt idx="76">
                  <c:v>4.59</c:v>
                </c:pt>
                <c:pt idx="77">
                  <c:v>4.3899999999999997</c:v>
                </c:pt>
                <c:pt idx="78">
                  <c:v>3.17</c:v>
                </c:pt>
                <c:pt idx="79">
                  <c:v>2.77</c:v>
                </c:pt>
                <c:pt idx="80">
                  <c:v>2.96</c:v>
                </c:pt>
                <c:pt idx="81">
                  <c:v>2.9714285714285711</c:v>
                </c:pt>
                <c:pt idx="82">
                  <c:v>4.93</c:v>
                </c:pt>
                <c:pt idx="83">
                  <c:v>3.6</c:v>
                </c:pt>
                <c:pt idx="84">
                  <c:v>3.4750000000000001</c:v>
                </c:pt>
                <c:pt idx="85">
                  <c:v>2.98</c:v>
                </c:pt>
                <c:pt idx="86">
                  <c:v>2.8450000000000002</c:v>
                </c:pt>
                <c:pt idx="87">
                  <c:v>4.04</c:v>
                </c:pt>
                <c:pt idx="88">
                  <c:v>2.9645454545454539</c:v>
                </c:pt>
                <c:pt idx="89">
                  <c:v>3.185454545454546</c:v>
                </c:pt>
                <c:pt idx="90">
                  <c:v>3.6680000000000001</c:v>
                </c:pt>
                <c:pt idx="91">
                  <c:v>3.740869565217392</c:v>
                </c:pt>
                <c:pt idx="92">
                  <c:v>3.7242857142857142</c:v>
                </c:pt>
                <c:pt idx="93">
                  <c:v>4.1309090909090909</c:v>
                </c:pt>
                <c:pt idx="94">
                  <c:v>4.1019999999999994</c:v>
                </c:pt>
                <c:pt idx="95">
                  <c:v>4.0172727272727267</c:v>
                </c:pt>
                <c:pt idx="96">
                  <c:v>4.1342857142857143</c:v>
                </c:pt>
                <c:pt idx="97">
                  <c:v>4.582692307692307</c:v>
                </c:pt>
                <c:pt idx="98">
                  <c:v>4.3822222222222216</c:v>
                </c:pt>
                <c:pt idx="99">
                  <c:v>5.09</c:v>
                </c:pt>
                <c:pt idx="100">
                  <c:v>4.8311111111111114</c:v>
                </c:pt>
                <c:pt idx="101">
                  <c:v>4.6991666666666667</c:v>
                </c:pt>
                <c:pt idx="102">
                  <c:v>4.492</c:v>
                </c:pt>
                <c:pt idx="103">
                  <c:v>5.3499999999999988</c:v>
                </c:pt>
                <c:pt idx="104">
                  <c:v>4.9874999999999998</c:v>
                </c:pt>
                <c:pt idx="105">
                  <c:v>5.319</c:v>
                </c:pt>
                <c:pt idx="106">
                  <c:v>5.3666666666666663</c:v>
                </c:pt>
                <c:pt idx="107">
                  <c:v>5.5814285714285701</c:v>
                </c:pt>
                <c:pt idx="108">
                  <c:v>5.1305882352941179</c:v>
                </c:pt>
                <c:pt idx="109">
                  <c:v>5.5125000000000002</c:v>
                </c:pt>
                <c:pt idx="110">
                  <c:v>5.835</c:v>
                </c:pt>
                <c:pt idx="111">
                  <c:v>5.52</c:v>
                </c:pt>
                <c:pt idx="112">
                  <c:v>5.5474999999999994</c:v>
                </c:pt>
                <c:pt idx="113">
                  <c:v>5.4071428571428566</c:v>
                </c:pt>
                <c:pt idx="114">
                  <c:v>5.3433333333333337</c:v>
                </c:pt>
                <c:pt idx="115">
                  <c:v>4.6566666666666663</c:v>
                </c:pt>
                <c:pt idx="116">
                  <c:v>5.3650000000000002</c:v>
                </c:pt>
                <c:pt idx="117">
                  <c:v>5.01</c:v>
                </c:pt>
                <c:pt idx="118">
                  <c:v>5.51</c:v>
                </c:pt>
                <c:pt idx="119">
                  <c:v>6.76</c:v>
                </c:pt>
                <c:pt idx="120">
                  <c:v>5.7283333333333344</c:v>
                </c:pt>
                <c:pt idx="121">
                  <c:v>5.74</c:v>
                </c:pt>
                <c:pt idx="122">
                  <c:v>6.07</c:v>
                </c:pt>
                <c:pt idx="123">
                  <c:v>6.01</c:v>
                </c:pt>
                <c:pt idx="124">
                  <c:v>6.06</c:v>
                </c:pt>
                <c:pt idx="125">
                  <c:v>6.13</c:v>
                </c:pt>
                <c:pt idx="126">
                  <c:v>4.5466666666666677</c:v>
                </c:pt>
                <c:pt idx="127">
                  <c:v>5.5150000000000006</c:v>
                </c:pt>
                <c:pt idx="128">
                  <c:v>5.2249999999999996</c:v>
                </c:pt>
                <c:pt idx="129">
                  <c:v>4.9400000000000004</c:v>
                </c:pt>
                <c:pt idx="130">
                  <c:v>5.7</c:v>
                </c:pt>
                <c:pt idx="131">
                  <c:v>4.59</c:v>
                </c:pt>
                <c:pt idx="132">
                  <c:v>1.171428571428571</c:v>
                </c:pt>
                <c:pt idx="133">
                  <c:v>4.4133333333333331</c:v>
                </c:pt>
                <c:pt idx="134">
                  <c:v>4.3049999999999997</c:v>
                </c:pt>
                <c:pt idx="135">
                  <c:v>4.32</c:v>
                </c:pt>
                <c:pt idx="136">
                  <c:v>6.8633333333333333</c:v>
                </c:pt>
                <c:pt idx="137">
                  <c:v>6.93</c:v>
                </c:pt>
                <c:pt idx="138">
                  <c:v>5.44</c:v>
                </c:pt>
                <c:pt idx="139">
                  <c:v>6.7349999999999994</c:v>
                </c:pt>
                <c:pt idx="140">
                  <c:v>6.2200000000000006</c:v>
                </c:pt>
                <c:pt idx="141">
                  <c:v>6.5</c:v>
                </c:pt>
                <c:pt idx="142">
                  <c:v>5.83</c:v>
                </c:pt>
                <c:pt idx="143">
                  <c:v>6.19</c:v>
                </c:pt>
                <c:pt idx="144">
                  <c:v>2.87</c:v>
                </c:pt>
                <c:pt idx="145">
                  <c:v>2.91</c:v>
                </c:pt>
                <c:pt idx="146">
                  <c:v>4.4800000000000004</c:v>
                </c:pt>
                <c:pt idx="147">
                  <c:v>5.84</c:v>
                </c:pt>
                <c:pt idx="148">
                  <c:v>6.14</c:v>
                </c:pt>
                <c:pt idx="149">
                  <c:v>5.83</c:v>
                </c:pt>
                <c:pt idx="150">
                  <c:v>4.8499999999999996</c:v>
                </c:pt>
                <c:pt idx="151">
                  <c:v>4.9800000000000004</c:v>
                </c:pt>
                <c:pt idx="152">
                  <c:v>4.6500000000000004</c:v>
                </c:pt>
                <c:pt idx="153">
                  <c:v>4.72</c:v>
                </c:pt>
                <c:pt idx="154">
                  <c:v>4.9366666666666674</c:v>
                </c:pt>
                <c:pt idx="155">
                  <c:v>4.62</c:v>
                </c:pt>
                <c:pt idx="156">
                  <c:v>4.7466666666666661</c:v>
                </c:pt>
                <c:pt idx="157">
                  <c:v>3.81</c:v>
                </c:pt>
                <c:pt idx="158">
                  <c:v>5.2133333333333338</c:v>
                </c:pt>
                <c:pt idx="159">
                  <c:v>5.5749999999999993</c:v>
                </c:pt>
                <c:pt idx="160">
                  <c:v>2.4449999999999998</c:v>
                </c:pt>
                <c:pt idx="161">
                  <c:v>4.2774999999999999</c:v>
                </c:pt>
                <c:pt idx="162">
                  <c:v>4.6399999999999997</c:v>
                </c:pt>
                <c:pt idx="163">
                  <c:v>2.976666666666667</c:v>
                </c:pt>
                <c:pt idx="164">
                  <c:v>2.7</c:v>
                </c:pt>
                <c:pt idx="165">
                  <c:v>2.1850000000000001</c:v>
                </c:pt>
                <c:pt idx="166">
                  <c:v>4.83</c:v>
                </c:pt>
                <c:pt idx="167">
                  <c:v>4.4659999999999993</c:v>
                </c:pt>
                <c:pt idx="168">
                  <c:v>7.6074999999999999</c:v>
                </c:pt>
                <c:pt idx="169">
                  <c:v>5.7277777777777779</c:v>
                </c:pt>
                <c:pt idx="170">
                  <c:v>4.8150000000000004</c:v>
                </c:pt>
                <c:pt idx="171">
                  <c:v>3.9</c:v>
                </c:pt>
                <c:pt idx="172">
                  <c:v>5.1349999999999998</c:v>
                </c:pt>
                <c:pt idx="173">
                  <c:v>6.4325000000000001</c:v>
                </c:pt>
                <c:pt idx="174">
                  <c:v>4.9124999999999996</c:v>
                </c:pt>
                <c:pt idx="175">
                  <c:v>5.81</c:v>
                </c:pt>
                <c:pt idx="176">
                  <c:v>5.1775000000000002</c:v>
                </c:pt>
                <c:pt idx="177">
                  <c:v>4.6900000000000004</c:v>
                </c:pt>
                <c:pt idx="178">
                  <c:v>4.9800000000000004</c:v>
                </c:pt>
                <c:pt idx="179">
                  <c:v>5.1849999999999996</c:v>
                </c:pt>
                <c:pt idx="180">
                  <c:v>6.0100000000000007</c:v>
                </c:pt>
                <c:pt idx="181">
                  <c:v>4.0999999999999996</c:v>
                </c:pt>
                <c:pt idx="182">
                  <c:v>2.29</c:v>
                </c:pt>
                <c:pt idx="183">
                  <c:v>4.6766666666666667</c:v>
                </c:pt>
                <c:pt idx="184">
                  <c:v>4.8449999999999998</c:v>
                </c:pt>
                <c:pt idx="185">
                  <c:v>5.52</c:v>
                </c:pt>
                <c:pt idx="186">
                  <c:v>5.2625000000000002</c:v>
                </c:pt>
                <c:pt idx="187">
                  <c:v>5.4928571428571429</c:v>
                </c:pt>
                <c:pt idx="188">
                  <c:v>4.38</c:v>
                </c:pt>
                <c:pt idx="189">
                  <c:v>4.7275</c:v>
                </c:pt>
                <c:pt idx="190">
                  <c:v>4.2949999999999999</c:v>
                </c:pt>
                <c:pt idx="191">
                  <c:v>4.43</c:v>
                </c:pt>
                <c:pt idx="192">
                  <c:v>0</c:v>
                </c:pt>
                <c:pt idx="193">
                  <c:v>5.8199999999999994</c:v>
                </c:pt>
                <c:pt idx="194">
                  <c:v>5.4550000000000001</c:v>
                </c:pt>
                <c:pt idx="195">
                  <c:v>6.15</c:v>
                </c:pt>
                <c:pt idx="196">
                  <c:v>6.41</c:v>
                </c:pt>
                <c:pt idx="197">
                  <c:v>5.75</c:v>
                </c:pt>
                <c:pt idx="198">
                  <c:v>5.0599999999999996</c:v>
                </c:pt>
                <c:pt idx="199">
                  <c:v>4.7249999999999996</c:v>
                </c:pt>
                <c:pt idx="200">
                  <c:v>3.7949999999999999</c:v>
                </c:pt>
                <c:pt idx="201">
                  <c:v>4.25</c:v>
                </c:pt>
                <c:pt idx="202">
                  <c:v>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61-4253-B53D-683BDC17B209}"/>
            </c:ext>
          </c:extLst>
        </c:ser>
        <c:ser>
          <c:idx val="2"/>
          <c:order val="1"/>
          <c:tx>
            <c:strRef>
              <c:f>Longitude!$D$2</c:f>
              <c:strCache>
                <c:ptCount val="1"/>
                <c:pt idx="0">
                  <c:v>SSP3-7.0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Longitude!$D$3:$D$207</c:f>
              <c:numCache>
                <c:formatCode>0.00_ </c:formatCode>
                <c:ptCount val="205"/>
                <c:pt idx="8">
                  <c:v>3.05</c:v>
                </c:pt>
                <c:pt idx="9">
                  <c:v>5.63</c:v>
                </c:pt>
                <c:pt idx="10">
                  <c:v>6.39</c:v>
                </c:pt>
                <c:pt idx="11">
                  <c:v>4.0599999999999996</c:v>
                </c:pt>
                <c:pt idx="12">
                  <c:v>4.8266666666666671</c:v>
                </c:pt>
                <c:pt idx="13">
                  <c:v>4.37</c:v>
                </c:pt>
                <c:pt idx="14">
                  <c:v>4.21</c:v>
                </c:pt>
                <c:pt idx="15">
                  <c:v>5.0733333333333333</c:v>
                </c:pt>
                <c:pt idx="16">
                  <c:v>4.5285714285714276</c:v>
                </c:pt>
                <c:pt idx="17">
                  <c:v>4.01</c:v>
                </c:pt>
                <c:pt idx="18">
                  <c:v>4.056</c:v>
                </c:pt>
                <c:pt idx="19">
                  <c:v>3.81</c:v>
                </c:pt>
                <c:pt idx="20">
                  <c:v>3.5125000000000002</c:v>
                </c:pt>
                <c:pt idx="21">
                  <c:v>3.35</c:v>
                </c:pt>
                <c:pt idx="22">
                  <c:v>3.38</c:v>
                </c:pt>
                <c:pt idx="23">
                  <c:v>3.3725000000000001</c:v>
                </c:pt>
                <c:pt idx="24">
                  <c:v>3.4466666666666672</c:v>
                </c:pt>
                <c:pt idx="25">
                  <c:v>3.6266666666666669</c:v>
                </c:pt>
                <c:pt idx="26">
                  <c:v>3.56</c:v>
                </c:pt>
                <c:pt idx="27">
                  <c:v>3.81</c:v>
                </c:pt>
                <c:pt idx="28">
                  <c:v>3.7949999999999999</c:v>
                </c:pt>
                <c:pt idx="29">
                  <c:v>3</c:v>
                </c:pt>
                <c:pt idx="30">
                  <c:v>2.36</c:v>
                </c:pt>
                <c:pt idx="31">
                  <c:v>3.13</c:v>
                </c:pt>
                <c:pt idx="32">
                  <c:v>3.03</c:v>
                </c:pt>
                <c:pt idx="33">
                  <c:v>3.44</c:v>
                </c:pt>
                <c:pt idx="34">
                  <c:v>3.2871428571428569</c:v>
                </c:pt>
                <c:pt idx="35">
                  <c:v>3.01</c:v>
                </c:pt>
                <c:pt idx="36">
                  <c:v>3.13</c:v>
                </c:pt>
                <c:pt idx="37">
                  <c:v>3.7</c:v>
                </c:pt>
                <c:pt idx="38">
                  <c:v>3.330000000000001</c:v>
                </c:pt>
                <c:pt idx="39">
                  <c:v>3.4422222222222221</c:v>
                </c:pt>
                <c:pt idx="40">
                  <c:v>3.3766666666666669</c:v>
                </c:pt>
                <c:pt idx="41">
                  <c:v>3.1659999999999999</c:v>
                </c:pt>
                <c:pt idx="42">
                  <c:v>3.577142857142857</c:v>
                </c:pt>
                <c:pt idx="43">
                  <c:v>3.3283333333333331</c:v>
                </c:pt>
                <c:pt idx="44">
                  <c:v>3.206666666666667</c:v>
                </c:pt>
                <c:pt idx="45">
                  <c:v>3.464</c:v>
                </c:pt>
                <c:pt idx="46">
                  <c:v>3.3540000000000001</c:v>
                </c:pt>
                <c:pt idx="47">
                  <c:v>3.69</c:v>
                </c:pt>
                <c:pt idx="48">
                  <c:v>3.2133333333333329</c:v>
                </c:pt>
                <c:pt idx="49">
                  <c:v>3.3685714285714292</c:v>
                </c:pt>
                <c:pt idx="50">
                  <c:v>3.79</c:v>
                </c:pt>
                <c:pt idx="51">
                  <c:v>4.2300000000000004</c:v>
                </c:pt>
                <c:pt idx="52">
                  <c:v>3.6166666666666671</c:v>
                </c:pt>
                <c:pt idx="53">
                  <c:v>3.3</c:v>
                </c:pt>
                <c:pt idx="54">
                  <c:v>3.32</c:v>
                </c:pt>
                <c:pt idx="55">
                  <c:v>3.2185714285714289</c:v>
                </c:pt>
                <c:pt idx="56">
                  <c:v>4.54</c:v>
                </c:pt>
                <c:pt idx="57">
                  <c:v>3.2216666666666671</c:v>
                </c:pt>
                <c:pt idx="58">
                  <c:v>2.7114285714285709</c:v>
                </c:pt>
                <c:pt idx="59">
                  <c:v>3.64</c:v>
                </c:pt>
                <c:pt idx="60">
                  <c:v>3.4550000000000001</c:v>
                </c:pt>
                <c:pt idx="61">
                  <c:v>3.2650000000000001</c:v>
                </c:pt>
                <c:pt idx="62">
                  <c:v>3.5054545454545458</c:v>
                </c:pt>
                <c:pt idx="63">
                  <c:v>3.62</c:v>
                </c:pt>
                <c:pt idx="64">
                  <c:v>2.66</c:v>
                </c:pt>
                <c:pt idx="65">
                  <c:v>2.8159999999999998</c:v>
                </c:pt>
                <c:pt idx="66">
                  <c:v>3.645</c:v>
                </c:pt>
                <c:pt idx="67">
                  <c:v>4.0819999999999999</c:v>
                </c:pt>
                <c:pt idx="68">
                  <c:v>3.4449999999999998</c:v>
                </c:pt>
                <c:pt idx="69">
                  <c:v>3.12</c:v>
                </c:pt>
                <c:pt idx="70">
                  <c:v>4.4400000000000004</c:v>
                </c:pt>
                <c:pt idx="71">
                  <c:v>4.0220000000000002</c:v>
                </c:pt>
                <c:pt idx="72">
                  <c:v>3.36</c:v>
                </c:pt>
                <c:pt idx="73">
                  <c:v>4.37</c:v>
                </c:pt>
                <c:pt idx="74">
                  <c:v>3.6775000000000002</c:v>
                </c:pt>
                <c:pt idx="75">
                  <c:v>3.68</c:v>
                </c:pt>
                <c:pt idx="76">
                  <c:v>3.34</c:v>
                </c:pt>
                <c:pt idx="77">
                  <c:v>3.46</c:v>
                </c:pt>
                <c:pt idx="78">
                  <c:v>1.885</c:v>
                </c:pt>
                <c:pt idx="79">
                  <c:v>1.41</c:v>
                </c:pt>
                <c:pt idx="80">
                  <c:v>1.9</c:v>
                </c:pt>
                <c:pt idx="81">
                  <c:v>1.909285714285714</c:v>
                </c:pt>
                <c:pt idx="82">
                  <c:v>3.85</c:v>
                </c:pt>
                <c:pt idx="83">
                  <c:v>2.88</c:v>
                </c:pt>
                <c:pt idx="84">
                  <c:v>2.7349999999999999</c:v>
                </c:pt>
                <c:pt idx="85">
                  <c:v>1.27</c:v>
                </c:pt>
                <c:pt idx="86">
                  <c:v>1.1950000000000001</c:v>
                </c:pt>
                <c:pt idx="87">
                  <c:v>2.65</c:v>
                </c:pt>
                <c:pt idx="88">
                  <c:v>1.621818181818182</c:v>
                </c:pt>
                <c:pt idx="89">
                  <c:v>1.698181818181818</c:v>
                </c:pt>
                <c:pt idx="90">
                  <c:v>2.403</c:v>
                </c:pt>
                <c:pt idx="91">
                  <c:v>2.5413043478260868</c:v>
                </c:pt>
                <c:pt idx="92">
                  <c:v>2.581428571428571</c:v>
                </c:pt>
                <c:pt idx="93">
                  <c:v>2.8681818181818182</c:v>
                </c:pt>
                <c:pt idx="94">
                  <c:v>2.847</c:v>
                </c:pt>
                <c:pt idx="95">
                  <c:v>2.645</c:v>
                </c:pt>
                <c:pt idx="96">
                  <c:v>2.8578571428571431</c:v>
                </c:pt>
                <c:pt idx="97">
                  <c:v>3.2861538461538462</c:v>
                </c:pt>
                <c:pt idx="98">
                  <c:v>3.2488888888888892</c:v>
                </c:pt>
                <c:pt idx="99">
                  <c:v>3.4</c:v>
                </c:pt>
                <c:pt idx="100">
                  <c:v>3.3511111111111109</c:v>
                </c:pt>
                <c:pt idx="101">
                  <c:v>3.375</c:v>
                </c:pt>
                <c:pt idx="102">
                  <c:v>3.3119999999999998</c:v>
                </c:pt>
                <c:pt idx="103">
                  <c:v>3.93</c:v>
                </c:pt>
                <c:pt idx="104">
                  <c:v>3.5950000000000002</c:v>
                </c:pt>
                <c:pt idx="105">
                  <c:v>4.0469999999999997</c:v>
                </c:pt>
                <c:pt idx="106">
                  <c:v>4.0453333333333337</c:v>
                </c:pt>
                <c:pt idx="107">
                  <c:v>4.1971428571428584</c:v>
                </c:pt>
                <c:pt idx="108">
                  <c:v>3.9170588235294121</c:v>
                </c:pt>
                <c:pt idx="109">
                  <c:v>4.21</c:v>
                </c:pt>
                <c:pt idx="110">
                  <c:v>4.415</c:v>
                </c:pt>
                <c:pt idx="111">
                  <c:v>4.3633333333333333</c:v>
                </c:pt>
                <c:pt idx="112">
                  <c:v>4.3025000000000002</c:v>
                </c:pt>
                <c:pt idx="113">
                  <c:v>4.2842857142857147</c:v>
                </c:pt>
                <c:pt idx="114">
                  <c:v>4.2833333333333332</c:v>
                </c:pt>
                <c:pt idx="115">
                  <c:v>3.7783333333333342</c:v>
                </c:pt>
                <c:pt idx="116">
                  <c:v>3.7850000000000001</c:v>
                </c:pt>
                <c:pt idx="117">
                  <c:v>3.56</c:v>
                </c:pt>
                <c:pt idx="118">
                  <c:v>4.38</c:v>
                </c:pt>
                <c:pt idx="119">
                  <c:v>4.32</c:v>
                </c:pt>
                <c:pt idx="120">
                  <c:v>5.711666666666666</c:v>
                </c:pt>
                <c:pt idx="121">
                  <c:v>4.7300000000000004</c:v>
                </c:pt>
                <c:pt idx="122">
                  <c:v>3.69</c:v>
                </c:pt>
                <c:pt idx="123">
                  <c:v>3.26</c:v>
                </c:pt>
                <c:pt idx="124">
                  <c:v>6.37</c:v>
                </c:pt>
                <c:pt idx="125">
                  <c:v>6.68</c:v>
                </c:pt>
                <c:pt idx="126">
                  <c:v>3.72</c:v>
                </c:pt>
                <c:pt idx="127">
                  <c:v>3.27</c:v>
                </c:pt>
                <c:pt idx="128">
                  <c:v>3.33</c:v>
                </c:pt>
                <c:pt idx="129">
                  <c:v>3.39</c:v>
                </c:pt>
                <c:pt idx="130">
                  <c:v>3.63</c:v>
                </c:pt>
                <c:pt idx="131">
                  <c:v>3.41</c:v>
                </c:pt>
                <c:pt idx="132">
                  <c:v>0.80714285714285716</c:v>
                </c:pt>
                <c:pt idx="133">
                  <c:v>3.08</c:v>
                </c:pt>
                <c:pt idx="134">
                  <c:v>3.14</c:v>
                </c:pt>
                <c:pt idx="135">
                  <c:v>3.14</c:v>
                </c:pt>
                <c:pt idx="136">
                  <c:v>4.4933333333333332</c:v>
                </c:pt>
                <c:pt idx="137">
                  <c:v>4.7300000000000004</c:v>
                </c:pt>
                <c:pt idx="138">
                  <c:v>3.7949999999999999</c:v>
                </c:pt>
                <c:pt idx="139">
                  <c:v>4.6349999999999998</c:v>
                </c:pt>
                <c:pt idx="140">
                  <c:v>4.17</c:v>
                </c:pt>
                <c:pt idx="141">
                  <c:v>4</c:v>
                </c:pt>
                <c:pt idx="142">
                  <c:v>3.66</c:v>
                </c:pt>
                <c:pt idx="143">
                  <c:v>3.94</c:v>
                </c:pt>
                <c:pt idx="144">
                  <c:v>2.16</c:v>
                </c:pt>
                <c:pt idx="145">
                  <c:v>2.2000000000000002</c:v>
                </c:pt>
                <c:pt idx="146">
                  <c:v>3.415</c:v>
                </c:pt>
                <c:pt idx="147">
                  <c:v>3.93</c:v>
                </c:pt>
                <c:pt idx="148">
                  <c:v>4.08</c:v>
                </c:pt>
                <c:pt idx="149">
                  <c:v>4.03</c:v>
                </c:pt>
                <c:pt idx="150">
                  <c:v>3.8</c:v>
                </c:pt>
                <c:pt idx="151">
                  <c:v>3.8849999999999998</c:v>
                </c:pt>
                <c:pt idx="152">
                  <c:v>3.6880000000000002</c:v>
                </c:pt>
                <c:pt idx="153">
                  <c:v>3.66</c:v>
                </c:pt>
                <c:pt idx="154">
                  <c:v>3.9833333333333329</c:v>
                </c:pt>
                <c:pt idx="155">
                  <c:v>3.59</c:v>
                </c:pt>
                <c:pt idx="156">
                  <c:v>3.63</c:v>
                </c:pt>
                <c:pt idx="157">
                  <c:v>3.06</c:v>
                </c:pt>
                <c:pt idx="158">
                  <c:v>3.6933333333333329</c:v>
                </c:pt>
                <c:pt idx="159">
                  <c:v>3.605</c:v>
                </c:pt>
                <c:pt idx="160">
                  <c:v>1.65</c:v>
                </c:pt>
                <c:pt idx="161">
                  <c:v>2.855</c:v>
                </c:pt>
                <c:pt idx="162">
                  <c:v>3.48</c:v>
                </c:pt>
                <c:pt idx="163">
                  <c:v>2.38</c:v>
                </c:pt>
                <c:pt idx="164">
                  <c:v>1.7849999999999999</c:v>
                </c:pt>
                <c:pt idx="165">
                  <c:v>1.6950000000000001</c:v>
                </c:pt>
                <c:pt idx="166">
                  <c:v>3</c:v>
                </c:pt>
                <c:pt idx="167">
                  <c:v>3.27</c:v>
                </c:pt>
                <c:pt idx="168">
                  <c:v>5.2074999999999996</c:v>
                </c:pt>
                <c:pt idx="169">
                  <c:v>4.09</c:v>
                </c:pt>
                <c:pt idx="170">
                  <c:v>3.665</c:v>
                </c:pt>
                <c:pt idx="171">
                  <c:v>2.98</c:v>
                </c:pt>
                <c:pt idx="172">
                  <c:v>3.7</c:v>
                </c:pt>
                <c:pt idx="173">
                  <c:v>4.4124999999999996</c:v>
                </c:pt>
                <c:pt idx="174">
                  <c:v>3.7174999999999998</c:v>
                </c:pt>
                <c:pt idx="175">
                  <c:v>4.59</c:v>
                </c:pt>
                <c:pt idx="176">
                  <c:v>3.6349999999999998</c:v>
                </c:pt>
                <c:pt idx="177">
                  <c:v>3.413333333333334</c:v>
                </c:pt>
                <c:pt idx="178">
                  <c:v>3.47</c:v>
                </c:pt>
                <c:pt idx="179">
                  <c:v>3.52</c:v>
                </c:pt>
                <c:pt idx="180">
                  <c:v>3.916666666666667</c:v>
                </c:pt>
                <c:pt idx="181">
                  <c:v>3.13</c:v>
                </c:pt>
                <c:pt idx="182">
                  <c:v>2.0449999999999999</c:v>
                </c:pt>
                <c:pt idx="183">
                  <c:v>3.4833333333333329</c:v>
                </c:pt>
                <c:pt idx="184">
                  <c:v>3.2075</c:v>
                </c:pt>
                <c:pt idx="185">
                  <c:v>2.84</c:v>
                </c:pt>
                <c:pt idx="186">
                  <c:v>3.4024999999999999</c:v>
                </c:pt>
                <c:pt idx="187">
                  <c:v>3.4128571428571428</c:v>
                </c:pt>
                <c:pt idx="188">
                  <c:v>3.3849999999999998</c:v>
                </c:pt>
                <c:pt idx="189">
                  <c:v>3.67</c:v>
                </c:pt>
                <c:pt idx="190">
                  <c:v>3.335</c:v>
                </c:pt>
                <c:pt idx="191">
                  <c:v>3.55</c:v>
                </c:pt>
                <c:pt idx="192">
                  <c:v>0</c:v>
                </c:pt>
                <c:pt idx="193">
                  <c:v>4.92</c:v>
                </c:pt>
                <c:pt idx="194">
                  <c:v>4.585</c:v>
                </c:pt>
                <c:pt idx="195">
                  <c:v>4.76</c:v>
                </c:pt>
                <c:pt idx="196">
                  <c:v>5.29</c:v>
                </c:pt>
                <c:pt idx="197">
                  <c:v>3.88</c:v>
                </c:pt>
                <c:pt idx="198">
                  <c:v>3.4950000000000001</c:v>
                </c:pt>
                <c:pt idx="199">
                  <c:v>3.7549999999999999</c:v>
                </c:pt>
                <c:pt idx="200">
                  <c:v>2.7149999999999999</c:v>
                </c:pt>
                <c:pt idx="201">
                  <c:v>3.09</c:v>
                </c:pt>
                <c:pt idx="202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61-4253-B53D-683BDC17B209}"/>
            </c:ext>
          </c:extLst>
        </c:ser>
        <c:ser>
          <c:idx val="1"/>
          <c:order val="2"/>
          <c:tx>
            <c:strRef>
              <c:f>Longitude!$C$2</c:f>
              <c:strCache>
                <c:ptCount val="1"/>
                <c:pt idx="0">
                  <c:v>SSP2-4.5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Longitude!$C$3:$C$207</c:f>
              <c:numCache>
                <c:formatCode>0.00_ </c:formatCode>
                <c:ptCount val="205"/>
                <c:pt idx="8">
                  <c:v>1.9</c:v>
                </c:pt>
                <c:pt idx="9">
                  <c:v>3.46</c:v>
                </c:pt>
                <c:pt idx="10">
                  <c:v>4.12</c:v>
                </c:pt>
                <c:pt idx="11">
                  <c:v>2.3199999999999998</c:v>
                </c:pt>
                <c:pt idx="12">
                  <c:v>2.496666666666667</c:v>
                </c:pt>
                <c:pt idx="13">
                  <c:v>2.65</c:v>
                </c:pt>
                <c:pt idx="14">
                  <c:v>2.4300000000000002</c:v>
                </c:pt>
                <c:pt idx="15">
                  <c:v>3.253333333333333</c:v>
                </c:pt>
                <c:pt idx="16">
                  <c:v>3.1814285714285719</c:v>
                </c:pt>
                <c:pt idx="17">
                  <c:v>2.85</c:v>
                </c:pt>
                <c:pt idx="18">
                  <c:v>2.6859999999999999</c:v>
                </c:pt>
                <c:pt idx="19">
                  <c:v>2.5933333333333328</c:v>
                </c:pt>
                <c:pt idx="20">
                  <c:v>2.3075000000000001</c:v>
                </c:pt>
                <c:pt idx="21">
                  <c:v>2.0699999999999998</c:v>
                </c:pt>
                <c:pt idx="22">
                  <c:v>1.88</c:v>
                </c:pt>
                <c:pt idx="23">
                  <c:v>1.9075</c:v>
                </c:pt>
                <c:pt idx="24">
                  <c:v>1.821666666666667</c:v>
                </c:pt>
                <c:pt idx="25">
                  <c:v>1.916666666666667</c:v>
                </c:pt>
                <c:pt idx="26">
                  <c:v>1.87</c:v>
                </c:pt>
                <c:pt idx="27">
                  <c:v>2.14</c:v>
                </c:pt>
                <c:pt idx="28">
                  <c:v>2.3149999999999999</c:v>
                </c:pt>
                <c:pt idx="29">
                  <c:v>2.12</c:v>
                </c:pt>
                <c:pt idx="30">
                  <c:v>1.45</c:v>
                </c:pt>
                <c:pt idx="31">
                  <c:v>1.855</c:v>
                </c:pt>
                <c:pt idx="32">
                  <c:v>2.04</c:v>
                </c:pt>
                <c:pt idx="33">
                  <c:v>1.7849999999999999</c:v>
                </c:pt>
                <c:pt idx="34">
                  <c:v>1.958571428571428</c:v>
                </c:pt>
                <c:pt idx="35">
                  <c:v>1.8</c:v>
                </c:pt>
                <c:pt idx="36">
                  <c:v>1.8128571428571429</c:v>
                </c:pt>
                <c:pt idx="37">
                  <c:v>2.19</c:v>
                </c:pt>
                <c:pt idx="38">
                  <c:v>1.964285714285714</c:v>
                </c:pt>
                <c:pt idx="39">
                  <c:v>1.9088888888888891</c:v>
                </c:pt>
                <c:pt idx="40">
                  <c:v>2.0499999999999998</c:v>
                </c:pt>
                <c:pt idx="41">
                  <c:v>1.724</c:v>
                </c:pt>
                <c:pt idx="42">
                  <c:v>2.4242857142857148</c:v>
                </c:pt>
                <c:pt idx="43">
                  <c:v>2.168333333333333</c:v>
                </c:pt>
                <c:pt idx="44">
                  <c:v>2.0166666666666671</c:v>
                </c:pt>
                <c:pt idx="45">
                  <c:v>2.0739999999999998</c:v>
                </c:pt>
                <c:pt idx="46">
                  <c:v>1.9219999999999999</c:v>
                </c:pt>
                <c:pt idx="47">
                  <c:v>2.2275</c:v>
                </c:pt>
                <c:pt idx="48">
                  <c:v>1.736666666666667</c:v>
                </c:pt>
                <c:pt idx="49">
                  <c:v>1.8128571428571429</c:v>
                </c:pt>
                <c:pt idx="50">
                  <c:v>2.2200000000000002</c:v>
                </c:pt>
                <c:pt idx="51">
                  <c:v>2.78</c:v>
                </c:pt>
                <c:pt idx="52">
                  <c:v>2.583333333333333</c:v>
                </c:pt>
                <c:pt idx="53">
                  <c:v>1.9</c:v>
                </c:pt>
                <c:pt idx="54">
                  <c:v>2.75</c:v>
                </c:pt>
                <c:pt idx="55">
                  <c:v>2.194285714285714</c:v>
                </c:pt>
                <c:pt idx="56">
                  <c:v>2.87</c:v>
                </c:pt>
                <c:pt idx="57">
                  <c:v>2.46</c:v>
                </c:pt>
                <c:pt idx="58">
                  <c:v>1.7214285714285711</c:v>
                </c:pt>
                <c:pt idx="59">
                  <c:v>3.59</c:v>
                </c:pt>
                <c:pt idx="60">
                  <c:v>2.2149999999999999</c:v>
                </c:pt>
                <c:pt idx="61">
                  <c:v>2.415</c:v>
                </c:pt>
                <c:pt idx="62">
                  <c:v>2.3054545454545452</c:v>
                </c:pt>
                <c:pt idx="63">
                  <c:v>2.398000000000001</c:v>
                </c:pt>
                <c:pt idx="64">
                  <c:v>1.71</c:v>
                </c:pt>
                <c:pt idx="65">
                  <c:v>1.762</c:v>
                </c:pt>
                <c:pt idx="66">
                  <c:v>2.58</c:v>
                </c:pt>
                <c:pt idx="67">
                  <c:v>2.6560000000000001</c:v>
                </c:pt>
                <c:pt idx="68">
                  <c:v>2.7349999999999999</c:v>
                </c:pt>
                <c:pt idx="69">
                  <c:v>1.76</c:v>
                </c:pt>
                <c:pt idx="70">
                  <c:v>2.7</c:v>
                </c:pt>
                <c:pt idx="71">
                  <c:v>2.3919999999999999</c:v>
                </c:pt>
                <c:pt idx="72">
                  <c:v>2.04</c:v>
                </c:pt>
                <c:pt idx="73">
                  <c:v>2.84</c:v>
                </c:pt>
                <c:pt idx="74">
                  <c:v>2.6425000000000001</c:v>
                </c:pt>
                <c:pt idx="75">
                  <c:v>2.79</c:v>
                </c:pt>
                <c:pt idx="76">
                  <c:v>2.1</c:v>
                </c:pt>
                <c:pt idx="77">
                  <c:v>2.13</c:v>
                </c:pt>
                <c:pt idx="78">
                  <c:v>1.5349999999999999</c:v>
                </c:pt>
                <c:pt idx="79">
                  <c:v>1.22</c:v>
                </c:pt>
                <c:pt idx="80">
                  <c:v>1.76</c:v>
                </c:pt>
                <c:pt idx="81">
                  <c:v>1.899285714285714</c:v>
                </c:pt>
                <c:pt idx="82">
                  <c:v>2.9249999999999998</c:v>
                </c:pt>
                <c:pt idx="83">
                  <c:v>2.1733333333333329</c:v>
                </c:pt>
                <c:pt idx="84">
                  <c:v>2.0649999999999999</c:v>
                </c:pt>
                <c:pt idx="85">
                  <c:v>1.07</c:v>
                </c:pt>
                <c:pt idx="86">
                  <c:v>0.97</c:v>
                </c:pt>
                <c:pt idx="87">
                  <c:v>1.87</c:v>
                </c:pt>
                <c:pt idx="88">
                  <c:v>0.96545454545454534</c:v>
                </c:pt>
                <c:pt idx="89">
                  <c:v>1</c:v>
                </c:pt>
                <c:pt idx="90">
                  <c:v>1.306</c:v>
                </c:pt>
                <c:pt idx="91">
                  <c:v>1.335652173913044</c:v>
                </c:pt>
                <c:pt idx="92">
                  <c:v>1.2614285714285709</c:v>
                </c:pt>
                <c:pt idx="93">
                  <c:v>1.377272727272727</c:v>
                </c:pt>
                <c:pt idx="94">
                  <c:v>1.351</c:v>
                </c:pt>
                <c:pt idx="95">
                  <c:v>1.2513636363636369</c:v>
                </c:pt>
                <c:pt idx="96">
                  <c:v>1.23</c:v>
                </c:pt>
                <c:pt idx="97">
                  <c:v>1.496923076923077</c:v>
                </c:pt>
                <c:pt idx="98">
                  <c:v>1.2922222222222219</c:v>
                </c:pt>
                <c:pt idx="99">
                  <c:v>1.88</c:v>
                </c:pt>
                <c:pt idx="100">
                  <c:v>1.4988888888888889</c:v>
                </c:pt>
                <c:pt idx="101">
                  <c:v>1.3049999999999999</c:v>
                </c:pt>
                <c:pt idx="102">
                  <c:v>1.278</c:v>
                </c:pt>
                <c:pt idx="103">
                  <c:v>2.1166666666666671</c:v>
                </c:pt>
                <c:pt idx="104">
                  <c:v>1.7849999999999999</c:v>
                </c:pt>
                <c:pt idx="105">
                  <c:v>2.1225000000000001</c:v>
                </c:pt>
                <c:pt idx="106">
                  <c:v>2.3713333333333328</c:v>
                </c:pt>
                <c:pt idx="107">
                  <c:v>2.6860714285714282</c:v>
                </c:pt>
                <c:pt idx="108">
                  <c:v>2.2000000000000002</c:v>
                </c:pt>
                <c:pt idx="109">
                  <c:v>2.194375</c:v>
                </c:pt>
                <c:pt idx="110">
                  <c:v>2.2749999999999999</c:v>
                </c:pt>
                <c:pt idx="111">
                  <c:v>2.586666666666666</c:v>
                </c:pt>
                <c:pt idx="112">
                  <c:v>2.4224999999999999</c:v>
                </c:pt>
                <c:pt idx="113">
                  <c:v>2.419999999999999</c:v>
                </c:pt>
                <c:pt idx="114">
                  <c:v>2.3033333333333328</c:v>
                </c:pt>
                <c:pt idx="115">
                  <c:v>2.333333333333333</c:v>
                </c:pt>
                <c:pt idx="116">
                  <c:v>2.4700000000000002</c:v>
                </c:pt>
                <c:pt idx="117">
                  <c:v>2.36</c:v>
                </c:pt>
                <c:pt idx="118">
                  <c:v>2.6960000000000002</c:v>
                </c:pt>
                <c:pt idx="119">
                  <c:v>2.86</c:v>
                </c:pt>
                <c:pt idx="120">
                  <c:v>3.1949999999999998</c:v>
                </c:pt>
                <c:pt idx="121">
                  <c:v>2.8149999999999999</c:v>
                </c:pt>
                <c:pt idx="122">
                  <c:v>2.2999999999999998</c:v>
                </c:pt>
                <c:pt idx="123">
                  <c:v>2.0449999999999999</c:v>
                </c:pt>
                <c:pt idx="124">
                  <c:v>3.89</c:v>
                </c:pt>
                <c:pt idx="125">
                  <c:v>4.03</c:v>
                </c:pt>
                <c:pt idx="126">
                  <c:v>2.1116666666666668</c:v>
                </c:pt>
                <c:pt idx="127">
                  <c:v>2.2450000000000001</c:v>
                </c:pt>
                <c:pt idx="128">
                  <c:v>2.105</c:v>
                </c:pt>
                <c:pt idx="129">
                  <c:v>1.63</c:v>
                </c:pt>
                <c:pt idx="130">
                  <c:v>2.44</c:v>
                </c:pt>
                <c:pt idx="131">
                  <c:v>2.08</c:v>
                </c:pt>
                <c:pt idx="132">
                  <c:v>0.49857142857142861</c:v>
                </c:pt>
                <c:pt idx="133">
                  <c:v>1.9833333333333329</c:v>
                </c:pt>
                <c:pt idx="134">
                  <c:v>1.7549999999999999</c:v>
                </c:pt>
                <c:pt idx="135">
                  <c:v>1.82</c:v>
                </c:pt>
                <c:pt idx="136">
                  <c:v>3.24</c:v>
                </c:pt>
                <c:pt idx="137">
                  <c:v>2.77</c:v>
                </c:pt>
                <c:pt idx="138">
                  <c:v>2.15</c:v>
                </c:pt>
                <c:pt idx="139">
                  <c:v>2.4249999999999998</c:v>
                </c:pt>
                <c:pt idx="140">
                  <c:v>2.4079999999999999</c:v>
                </c:pt>
                <c:pt idx="141">
                  <c:v>2.4500000000000002</c:v>
                </c:pt>
                <c:pt idx="142">
                  <c:v>2.25</c:v>
                </c:pt>
                <c:pt idx="143">
                  <c:v>2.4</c:v>
                </c:pt>
                <c:pt idx="144">
                  <c:v>1.81</c:v>
                </c:pt>
                <c:pt idx="145">
                  <c:v>1.84</c:v>
                </c:pt>
                <c:pt idx="146">
                  <c:v>2.64</c:v>
                </c:pt>
                <c:pt idx="147">
                  <c:v>2.79</c:v>
                </c:pt>
                <c:pt idx="148">
                  <c:v>3.03</c:v>
                </c:pt>
                <c:pt idx="149">
                  <c:v>2.9249999999999998</c:v>
                </c:pt>
                <c:pt idx="150">
                  <c:v>2.48</c:v>
                </c:pt>
                <c:pt idx="151">
                  <c:v>2.605</c:v>
                </c:pt>
                <c:pt idx="152">
                  <c:v>2.35</c:v>
                </c:pt>
                <c:pt idx="153">
                  <c:v>2.29</c:v>
                </c:pt>
                <c:pt idx="154">
                  <c:v>2.7233333333333332</c:v>
                </c:pt>
                <c:pt idx="155">
                  <c:v>2.35</c:v>
                </c:pt>
                <c:pt idx="156">
                  <c:v>2.3199999999999998</c:v>
                </c:pt>
                <c:pt idx="157">
                  <c:v>2.65</c:v>
                </c:pt>
                <c:pt idx="158">
                  <c:v>2.7833333333333341</c:v>
                </c:pt>
                <c:pt idx="159">
                  <c:v>2.895</c:v>
                </c:pt>
                <c:pt idx="160">
                  <c:v>1.145</c:v>
                </c:pt>
                <c:pt idx="161">
                  <c:v>2.13</c:v>
                </c:pt>
                <c:pt idx="162">
                  <c:v>2.4</c:v>
                </c:pt>
                <c:pt idx="163">
                  <c:v>1.583333333333333</c:v>
                </c:pt>
                <c:pt idx="164">
                  <c:v>1.425</c:v>
                </c:pt>
                <c:pt idx="165">
                  <c:v>1.17</c:v>
                </c:pt>
                <c:pt idx="166">
                  <c:v>2.15</c:v>
                </c:pt>
                <c:pt idx="167">
                  <c:v>2.3620000000000001</c:v>
                </c:pt>
                <c:pt idx="168">
                  <c:v>3.45</c:v>
                </c:pt>
                <c:pt idx="169">
                  <c:v>3.0366666666666671</c:v>
                </c:pt>
                <c:pt idx="170">
                  <c:v>2.5950000000000002</c:v>
                </c:pt>
                <c:pt idx="171">
                  <c:v>2.2799999999999998</c:v>
                </c:pt>
                <c:pt idx="172">
                  <c:v>2.7250000000000001</c:v>
                </c:pt>
                <c:pt idx="173">
                  <c:v>3.1124999999999998</c:v>
                </c:pt>
                <c:pt idx="174">
                  <c:v>2.5449999999999999</c:v>
                </c:pt>
                <c:pt idx="175">
                  <c:v>2.86</c:v>
                </c:pt>
                <c:pt idx="176">
                  <c:v>2.5175000000000001</c:v>
                </c:pt>
                <c:pt idx="177">
                  <c:v>2.2833333333333332</c:v>
                </c:pt>
                <c:pt idx="178">
                  <c:v>2.5099999999999998</c:v>
                </c:pt>
                <c:pt idx="179">
                  <c:v>2.6</c:v>
                </c:pt>
                <c:pt idx="180">
                  <c:v>2.6133333333333328</c:v>
                </c:pt>
                <c:pt idx="181">
                  <c:v>2.17</c:v>
                </c:pt>
                <c:pt idx="182">
                  <c:v>1.5349999999999999</c:v>
                </c:pt>
                <c:pt idx="183">
                  <c:v>2.61</c:v>
                </c:pt>
                <c:pt idx="184">
                  <c:v>2.4325000000000001</c:v>
                </c:pt>
                <c:pt idx="185">
                  <c:v>1.87</c:v>
                </c:pt>
                <c:pt idx="186">
                  <c:v>2.7625000000000002</c:v>
                </c:pt>
                <c:pt idx="187">
                  <c:v>2.64</c:v>
                </c:pt>
                <c:pt idx="188">
                  <c:v>3.3149999999999999</c:v>
                </c:pt>
                <c:pt idx="189">
                  <c:v>3.0625</c:v>
                </c:pt>
                <c:pt idx="190">
                  <c:v>2.9075000000000002</c:v>
                </c:pt>
                <c:pt idx="191">
                  <c:v>2.0299999999999998</c:v>
                </c:pt>
                <c:pt idx="192">
                  <c:v>0</c:v>
                </c:pt>
                <c:pt idx="193">
                  <c:v>2.4700000000000002</c:v>
                </c:pt>
                <c:pt idx="194">
                  <c:v>2.23</c:v>
                </c:pt>
                <c:pt idx="195">
                  <c:v>2.15</c:v>
                </c:pt>
                <c:pt idx="196">
                  <c:v>2.21</c:v>
                </c:pt>
                <c:pt idx="197">
                  <c:v>2.39</c:v>
                </c:pt>
                <c:pt idx="198">
                  <c:v>2.19</c:v>
                </c:pt>
                <c:pt idx="199">
                  <c:v>1.6950000000000001</c:v>
                </c:pt>
                <c:pt idx="200">
                  <c:v>2.0499999999999998</c:v>
                </c:pt>
                <c:pt idx="201">
                  <c:v>1.95</c:v>
                </c:pt>
                <c:pt idx="202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1-4253-B53D-683BDC17B209}"/>
            </c:ext>
          </c:extLst>
        </c:ser>
        <c:ser>
          <c:idx val="0"/>
          <c:order val="3"/>
          <c:tx>
            <c:strRef>
              <c:f>Longitude!$B$2</c:f>
              <c:strCache>
                <c:ptCount val="1"/>
                <c:pt idx="0">
                  <c:v>SSP1-2.6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Longitude!$B$3:$B$207</c:f>
              <c:numCache>
                <c:formatCode>0.00_ </c:formatCode>
                <c:ptCount val="205"/>
                <c:pt idx="8">
                  <c:v>1.04</c:v>
                </c:pt>
                <c:pt idx="9">
                  <c:v>3.62</c:v>
                </c:pt>
                <c:pt idx="10">
                  <c:v>4.1100000000000003</c:v>
                </c:pt>
                <c:pt idx="11">
                  <c:v>2.12</c:v>
                </c:pt>
                <c:pt idx="12">
                  <c:v>2.3266666666666671</c:v>
                </c:pt>
                <c:pt idx="13">
                  <c:v>2.2200000000000002</c:v>
                </c:pt>
                <c:pt idx="14">
                  <c:v>2.23</c:v>
                </c:pt>
                <c:pt idx="15">
                  <c:v>2.063333333333333</c:v>
                </c:pt>
                <c:pt idx="16">
                  <c:v>1.9985714285714291</c:v>
                </c:pt>
                <c:pt idx="17">
                  <c:v>1.55</c:v>
                </c:pt>
                <c:pt idx="18">
                  <c:v>1.68</c:v>
                </c:pt>
                <c:pt idx="19">
                  <c:v>1.62</c:v>
                </c:pt>
                <c:pt idx="20">
                  <c:v>1.4424999999999999</c:v>
                </c:pt>
                <c:pt idx="21">
                  <c:v>1.34</c:v>
                </c:pt>
                <c:pt idx="22">
                  <c:v>1.44</c:v>
                </c:pt>
                <c:pt idx="23">
                  <c:v>1.3725000000000001</c:v>
                </c:pt>
                <c:pt idx="24">
                  <c:v>1.216666666666667</c:v>
                </c:pt>
                <c:pt idx="25">
                  <c:v>1.186666666666667</c:v>
                </c:pt>
                <c:pt idx="26">
                  <c:v>1.1599999999999999</c:v>
                </c:pt>
                <c:pt idx="27">
                  <c:v>1.28</c:v>
                </c:pt>
                <c:pt idx="28">
                  <c:v>1.21</c:v>
                </c:pt>
                <c:pt idx="29">
                  <c:v>0.85399999999999987</c:v>
                </c:pt>
                <c:pt idx="30">
                  <c:v>0.65666666666666673</c:v>
                </c:pt>
                <c:pt idx="31">
                  <c:v>0.89749999999999996</c:v>
                </c:pt>
                <c:pt idx="32">
                  <c:v>0.86</c:v>
                </c:pt>
                <c:pt idx="33">
                  <c:v>0.75</c:v>
                </c:pt>
                <c:pt idx="34">
                  <c:v>0.91857142857142871</c:v>
                </c:pt>
                <c:pt idx="35">
                  <c:v>0.96</c:v>
                </c:pt>
                <c:pt idx="36">
                  <c:v>0.5742857142857144</c:v>
                </c:pt>
                <c:pt idx="37">
                  <c:v>0.87</c:v>
                </c:pt>
                <c:pt idx="38">
                  <c:v>0.74857142857142855</c:v>
                </c:pt>
                <c:pt idx="39">
                  <c:v>0.90555555555555545</c:v>
                </c:pt>
                <c:pt idx="40">
                  <c:v>0.99666666666666659</c:v>
                </c:pt>
                <c:pt idx="41">
                  <c:v>0.31799999999999989</c:v>
                </c:pt>
                <c:pt idx="42">
                  <c:v>0.88714285714285712</c:v>
                </c:pt>
                <c:pt idx="43">
                  <c:v>0.76833333333333342</c:v>
                </c:pt>
                <c:pt idx="44">
                  <c:v>0.79333333333333333</c:v>
                </c:pt>
                <c:pt idx="45">
                  <c:v>0.72599999999999987</c:v>
                </c:pt>
                <c:pt idx="46">
                  <c:v>0.60599999999999998</c:v>
                </c:pt>
                <c:pt idx="47">
                  <c:v>0.56000000000000005</c:v>
                </c:pt>
                <c:pt idx="48">
                  <c:v>0.57999999999999996</c:v>
                </c:pt>
                <c:pt idx="49">
                  <c:v>0.71285714285714286</c:v>
                </c:pt>
                <c:pt idx="50">
                  <c:v>0.58500000000000008</c:v>
                </c:pt>
                <c:pt idx="51">
                  <c:v>1.17</c:v>
                </c:pt>
                <c:pt idx="52">
                  <c:v>1.186666666666667</c:v>
                </c:pt>
                <c:pt idx="53">
                  <c:v>0.86</c:v>
                </c:pt>
                <c:pt idx="54">
                  <c:v>1.5</c:v>
                </c:pt>
                <c:pt idx="55">
                  <c:v>1.024285714285714</c:v>
                </c:pt>
                <c:pt idx="56">
                  <c:v>0.42</c:v>
                </c:pt>
                <c:pt idx="57">
                  <c:v>1.0783333333333329</c:v>
                </c:pt>
                <c:pt idx="58">
                  <c:v>0.72857142857142865</c:v>
                </c:pt>
                <c:pt idx="59">
                  <c:v>1.96</c:v>
                </c:pt>
                <c:pt idx="60">
                  <c:v>0.61499999999999999</c:v>
                </c:pt>
                <c:pt idx="61">
                  <c:v>1.385</c:v>
                </c:pt>
                <c:pt idx="62">
                  <c:v>1.0990909090909089</c:v>
                </c:pt>
                <c:pt idx="63">
                  <c:v>1.222</c:v>
                </c:pt>
                <c:pt idx="64">
                  <c:v>0.92</c:v>
                </c:pt>
                <c:pt idx="65">
                  <c:v>0.874</c:v>
                </c:pt>
                <c:pt idx="66">
                  <c:v>1.49</c:v>
                </c:pt>
                <c:pt idx="67">
                  <c:v>2.3679999999999999</c:v>
                </c:pt>
                <c:pt idx="68">
                  <c:v>2.0325000000000002</c:v>
                </c:pt>
                <c:pt idx="69">
                  <c:v>0.67</c:v>
                </c:pt>
                <c:pt idx="70">
                  <c:v>2.4900000000000002</c:v>
                </c:pt>
                <c:pt idx="71">
                  <c:v>1.6020000000000001</c:v>
                </c:pt>
                <c:pt idx="72">
                  <c:v>0.85</c:v>
                </c:pt>
                <c:pt idx="73">
                  <c:v>2.36</c:v>
                </c:pt>
                <c:pt idx="74">
                  <c:v>1.19</c:v>
                </c:pt>
                <c:pt idx="75">
                  <c:v>1.3</c:v>
                </c:pt>
                <c:pt idx="76">
                  <c:v>0.94</c:v>
                </c:pt>
                <c:pt idx="77">
                  <c:v>0.64</c:v>
                </c:pt>
                <c:pt idx="78">
                  <c:v>0.745</c:v>
                </c:pt>
                <c:pt idx="79">
                  <c:v>0.6</c:v>
                </c:pt>
                <c:pt idx="80">
                  <c:v>0.96</c:v>
                </c:pt>
                <c:pt idx="81">
                  <c:v>0.99285714285714277</c:v>
                </c:pt>
                <c:pt idx="82">
                  <c:v>1.4950000000000001</c:v>
                </c:pt>
                <c:pt idx="83">
                  <c:v>1.19</c:v>
                </c:pt>
                <c:pt idx="84">
                  <c:v>1.19</c:v>
                </c:pt>
                <c:pt idx="85">
                  <c:v>0.44</c:v>
                </c:pt>
                <c:pt idx="86">
                  <c:v>0.3</c:v>
                </c:pt>
                <c:pt idx="87">
                  <c:v>0.82</c:v>
                </c:pt>
                <c:pt idx="88">
                  <c:v>-9.3636363636363601E-2</c:v>
                </c:pt>
                <c:pt idx="89">
                  <c:v>-2.3636363636363639E-2</c:v>
                </c:pt>
                <c:pt idx="90">
                  <c:v>-4.200000000000001E-2</c:v>
                </c:pt>
                <c:pt idx="91">
                  <c:v>2.6086956521739129E-2</c:v>
                </c:pt>
                <c:pt idx="92">
                  <c:v>1.428571428571426E-3</c:v>
                </c:pt>
                <c:pt idx="93">
                  <c:v>3.9090909090909107E-2</c:v>
                </c:pt>
                <c:pt idx="94">
                  <c:v>-9.2999999999999999E-2</c:v>
                </c:pt>
                <c:pt idx="95">
                  <c:v>-0.30045454545454547</c:v>
                </c:pt>
                <c:pt idx="96">
                  <c:v>-0.27500000000000002</c:v>
                </c:pt>
                <c:pt idx="97">
                  <c:v>-0.23576923076923079</c:v>
                </c:pt>
                <c:pt idx="98">
                  <c:v>-0.42666666666666669</c:v>
                </c:pt>
                <c:pt idx="99">
                  <c:v>0.2</c:v>
                </c:pt>
                <c:pt idx="100">
                  <c:v>-0.11888888888888891</c:v>
                </c:pt>
                <c:pt idx="101">
                  <c:v>-0.2258333333333333</c:v>
                </c:pt>
                <c:pt idx="102">
                  <c:v>-9.799999999999999E-2</c:v>
                </c:pt>
                <c:pt idx="103">
                  <c:v>0.63666666666666671</c:v>
                </c:pt>
                <c:pt idx="104">
                  <c:v>0.315</c:v>
                </c:pt>
                <c:pt idx="105">
                  <c:v>0.65150000000000008</c:v>
                </c:pt>
                <c:pt idx="106">
                  <c:v>0.97399999999999987</c:v>
                </c:pt>
                <c:pt idx="107">
                  <c:v>1.044285714285714</c:v>
                </c:pt>
                <c:pt idx="108">
                  <c:v>0.64764705882352935</c:v>
                </c:pt>
                <c:pt idx="109">
                  <c:v>0.41499999999999998</c:v>
                </c:pt>
                <c:pt idx="110">
                  <c:v>0.74</c:v>
                </c:pt>
                <c:pt idx="111">
                  <c:v>2.003333333333333</c:v>
                </c:pt>
                <c:pt idx="112">
                  <c:v>1.1425000000000001</c:v>
                </c:pt>
                <c:pt idx="113">
                  <c:v>0.88714285714285712</c:v>
                </c:pt>
                <c:pt idx="114">
                  <c:v>0.47</c:v>
                </c:pt>
                <c:pt idx="115">
                  <c:v>0.99333333333333318</c:v>
                </c:pt>
                <c:pt idx="116">
                  <c:v>1.4450000000000001</c:v>
                </c:pt>
                <c:pt idx="117">
                  <c:v>1.5</c:v>
                </c:pt>
                <c:pt idx="118">
                  <c:v>1.0680000000000001</c:v>
                </c:pt>
                <c:pt idx="119">
                  <c:v>1.89</c:v>
                </c:pt>
                <c:pt idx="120">
                  <c:v>0.61333333333333329</c:v>
                </c:pt>
                <c:pt idx="121">
                  <c:v>1.1100000000000001</c:v>
                </c:pt>
                <c:pt idx="122">
                  <c:v>1.68</c:v>
                </c:pt>
                <c:pt idx="123">
                  <c:v>1.665</c:v>
                </c:pt>
                <c:pt idx="124">
                  <c:v>1.19</c:v>
                </c:pt>
                <c:pt idx="125">
                  <c:v>1.27</c:v>
                </c:pt>
                <c:pt idx="126">
                  <c:v>1.381666666666667</c:v>
                </c:pt>
                <c:pt idx="127">
                  <c:v>2.125</c:v>
                </c:pt>
                <c:pt idx="128">
                  <c:v>2.1549999999999998</c:v>
                </c:pt>
                <c:pt idx="129">
                  <c:v>1.18</c:v>
                </c:pt>
                <c:pt idx="130">
                  <c:v>1.51</c:v>
                </c:pt>
                <c:pt idx="131">
                  <c:v>0.98</c:v>
                </c:pt>
                <c:pt idx="132">
                  <c:v>0.2742857142857143</c:v>
                </c:pt>
                <c:pt idx="133">
                  <c:v>1.206666666666667</c:v>
                </c:pt>
                <c:pt idx="134">
                  <c:v>1.1200000000000001</c:v>
                </c:pt>
                <c:pt idx="135">
                  <c:v>1.29</c:v>
                </c:pt>
                <c:pt idx="136">
                  <c:v>2.39</c:v>
                </c:pt>
                <c:pt idx="137">
                  <c:v>2.14</c:v>
                </c:pt>
                <c:pt idx="138">
                  <c:v>1.46</c:v>
                </c:pt>
                <c:pt idx="139">
                  <c:v>1.835</c:v>
                </c:pt>
                <c:pt idx="140">
                  <c:v>1.6020000000000001</c:v>
                </c:pt>
                <c:pt idx="141">
                  <c:v>1.84</c:v>
                </c:pt>
                <c:pt idx="142">
                  <c:v>1.5</c:v>
                </c:pt>
                <c:pt idx="143">
                  <c:v>1.36</c:v>
                </c:pt>
                <c:pt idx="144">
                  <c:v>1.1000000000000001</c:v>
                </c:pt>
                <c:pt idx="145">
                  <c:v>1.1299999999999999</c:v>
                </c:pt>
                <c:pt idx="146">
                  <c:v>0.97499999999999998</c:v>
                </c:pt>
                <c:pt idx="147">
                  <c:v>2.06</c:v>
                </c:pt>
                <c:pt idx="148">
                  <c:v>1.6</c:v>
                </c:pt>
                <c:pt idx="149">
                  <c:v>1.5449999999999999</c:v>
                </c:pt>
                <c:pt idx="150">
                  <c:v>1.4</c:v>
                </c:pt>
                <c:pt idx="151">
                  <c:v>1.36</c:v>
                </c:pt>
                <c:pt idx="152">
                  <c:v>1.1479999999999999</c:v>
                </c:pt>
                <c:pt idx="153">
                  <c:v>1.19</c:v>
                </c:pt>
                <c:pt idx="154">
                  <c:v>1.0866666666666669</c:v>
                </c:pt>
                <c:pt idx="155">
                  <c:v>1.2</c:v>
                </c:pt>
                <c:pt idx="156">
                  <c:v>1.216666666666667</c:v>
                </c:pt>
                <c:pt idx="157">
                  <c:v>0.77</c:v>
                </c:pt>
                <c:pt idx="158">
                  <c:v>1.52</c:v>
                </c:pt>
                <c:pt idx="159">
                  <c:v>1.86</c:v>
                </c:pt>
                <c:pt idx="160">
                  <c:v>0.71</c:v>
                </c:pt>
                <c:pt idx="161">
                  <c:v>1.6274999999999999</c:v>
                </c:pt>
                <c:pt idx="162">
                  <c:v>1.17</c:v>
                </c:pt>
                <c:pt idx="163">
                  <c:v>1.32</c:v>
                </c:pt>
                <c:pt idx="164">
                  <c:v>1.0649999999999999</c:v>
                </c:pt>
                <c:pt idx="165">
                  <c:v>0.91</c:v>
                </c:pt>
                <c:pt idx="166">
                  <c:v>1.57</c:v>
                </c:pt>
                <c:pt idx="167">
                  <c:v>1.504</c:v>
                </c:pt>
                <c:pt idx="168">
                  <c:v>2.9474999999999998</c:v>
                </c:pt>
                <c:pt idx="169">
                  <c:v>1.993333333333333</c:v>
                </c:pt>
                <c:pt idx="170">
                  <c:v>1.425</c:v>
                </c:pt>
                <c:pt idx="171">
                  <c:v>0.94</c:v>
                </c:pt>
                <c:pt idx="172">
                  <c:v>1.28</c:v>
                </c:pt>
                <c:pt idx="173">
                  <c:v>1.6125</c:v>
                </c:pt>
                <c:pt idx="174">
                  <c:v>1.25</c:v>
                </c:pt>
                <c:pt idx="175">
                  <c:v>0.99</c:v>
                </c:pt>
                <c:pt idx="176">
                  <c:v>1.1975</c:v>
                </c:pt>
                <c:pt idx="177">
                  <c:v>0.64</c:v>
                </c:pt>
                <c:pt idx="178">
                  <c:v>1.1299999999999999</c:v>
                </c:pt>
                <c:pt idx="179">
                  <c:v>1.25</c:v>
                </c:pt>
                <c:pt idx="180">
                  <c:v>0.98666666666666669</c:v>
                </c:pt>
                <c:pt idx="181">
                  <c:v>0.78</c:v>
                </c:pt>
                <c:pt idx="182">
                  <c:v>1.2</c:v>
                </c:pt>
                <c:pt idx="183">
                  <c:v>1.326666666666666</c:v>
                </c:pt>
                <c:pt idx="184">
                  <c:v>1.19</c:v>
                </c:pt>
                <c:pt idx="185">
                  <c:v>1.05</c:v>
                </c:pt>
                <c:pt idx="186">
                  <c:v>1.7050000000000001</c:v>
                </c:pt>
                <c:pt idx="187">
                  <c:v>1.4985714285714291</c:v>
                </c:pt>
                <c:pt idx="188">
                  <c:v>1.85</c:v>
                </c:pt>
                <c:pt idx="189">
                  <c:v>1.7450000000000001</c:v>
                </c:pt>
                <c:pt idx="190">
                  <c:v>1.575</c:v>
                </c:pt>
                <c:pt idx="191">
                  <c:v>0.94</c:v>
                </c:pt>
                <c:pt idx="192">
                  <c:v>0</c:v>
                </c:pt>
                <c:pt idx="193">
                  <c:v>1.53</c:v>
                </c:pt>
                <c:pt idx="194">
                  <c:v>1.56</c:v>
                </c:pt>
                <c:pt idx="195">
                  <c:v>1.44</c:v>
                </c:pt>
                <c:pt idx="196">
                  <c:v>1.59</c:v>
                </c:pt>
                <c:pt idx="197">
                  <c:v>1.55</c:v>
                </c:pt>
                <c:pt idx="198">
                  <c:v>1.1850000000000001</c:v>
                </c:pt>
                <c:pt idx="199">
                  <c:v>0.99499999999999988</c:v>
                </c:pt>
                <c:pt idx="200">
                  <c:v>1.17</c:v>
                </c:pt>
                <c:pt idx="201">
                  <c:v>1.19</c:v>
                </c:pt>
                <c:pt idx="202">
                  <c:v>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1-4253-B53D-683BDC17B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2486367"/>
        <c:axId val="1642484703"/>
      </c:barChart>
      <c:catAx>
        <c:axId val="16424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2484703"/>
        <c:crosses val="autoZero"/>
        <c:auto val="1"/>
        <c:lblAlgn val="ctr"/>
        <c:lblOffset val="100"/>
        <c:tickMarkSkip val="15"/>
        <c:noMultiLvlLbl val="0"/>
      </c:catAx>
      <c:valAx>
        <c:axId val="1642484703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change (</a:t>
                </a:r>
                <a:r>
                  <a:rPr lang="zh-CN"/>
                  <a:t>℃</a:t>
                </a:r>
                <a:r>
                  <a:rPr lang="en-US"/>
                  <a:t>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2486367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Longitude!$I$2</c:f>
              <c:strCache>
                <c:ptCount val="1"/>
                <c:pt idx="0">
                  <c:v>SSP5-8.5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Longitude!$I$3:$I$207</c:f>
              <c:numCache>
                <c:formatCode>0.00_ </c:formatCode>
                <c:ptCount val="205"/>
                <c:pt idx="7">
                  <c:v>0.752</c:v>
                </c:pt>
                <c:pt idx="11">
                  <c:v>0.67149999999999999</c:v>
                </c:pt>
                <c:pt idx="12">
                  <c:v>0.48422222222200001</c:v>
                </c:pt>
                <c:pt idx="13">
                  <c:v>0.79900000000000004</c:v>
                </c:pt>
                <c:pt idx="14">
                  <c:v>0.72399999999999998</c:v>
                </c:pt>
                <c:pt idx="15">
                  <c:v>0.78566666666666662</c:v>
                </c:pt>
                <c:pt idx="16">
                  <c:v>0.80633333333333335</c:v>
                </c:pt>
                <c:pt idx="17">
                  <c:v>0.8135</c:v>
                </c:pt>
                <c:pt idx="18">
                  <c:v>0.83466666666666667</c:v>
                </c:pt>
                <c:pt idx="19">
                  <c:v>0.79400000000000004</c:v>
                </c:pt>
                <c:pt idx="20">
                  <c:v>0.79466666666666674</c:v>
                </c:pt>
                <c:pt idx="21">
                  <c:v>0.79800000000000004</c:v>
                </c:pt>
                <c:pt idx="22">
                  <c:v>0.8135</c:v>
                </c:pt>
                <c:pt idx="23">
                  <c:v>0.83933333333333326</c:v>
                </c:pt>
                <c:pt idx="24">
                  <c:v>0.91485714285714281</c:v>
                </c:pt>
                <c:pt idx="25">
                  <c:v>0.97099999999999997</c:v>
                </c:pt>
                <c:pt idx="26">
                  <c:v>1.0129999999999999</c:v>
                </c:pt>
                <c:pt idx="27">
                  <c:v>1.028</c:v>
                </c:pt>
                <c:pt idx="28">
                  <c:v>1</c:v>
                </c:pt>
                <c:pt idx="29">
                  <c:v>0.98199999999999998</c:v>
                </c:pt>
                <c:pt idx="30">
                  <c:v>0.86319999999999997</c:v>
                </c:pt>
                <c:pt idx="31">
                  <c:v>0.84299999999999997</c:v>
                </c:pt>
                <c:pt idx="32">
                  <c:v>0.86799999999999999</c:v>
                </c:pt>
                <c:pt idx="33">
                  <c:v>0.84599999999999997</c:v>
                </c:pt>
                <c:pt idx="34">
                  <c:v>0.86810000000000009</c:v>
                </c:pt>
                <c:pt idx="35">
                  <c:v>0.90450000000000008</c:v>
                </c:pt>
                <c:pt idx="36">
                  <c:v>0.91849999999999998</c:v>
                </c:pt>
                <c:pt idx="37">
                  <c:v>0.91300000000000003</c:v>
                </c:pt>
                <c:pt idx="38">
                  <c:v>1.0687500000000001</c:v>
                </c:pt>
                <c:pt idx="39">
                  <c:v>0.9863333333333334</c:v>
                </c:pt>
                <c:pt idx="40">
                  <c:v>0.81800000000000006</c:v>
                </c:pt>
                <c:pt idx="41">
                  <c:v>0.90290000000000004</c:v>
                </c:pt>
                <c:pt idx="42">
                  <c:v>0.73275000000000001</c:v>
                </c:pt>
                <c:pt idx="43">
                  <c:v>0.86787499999999995</c:v>
                </c:pt>
                <c:pt idx="44">
                  <c:v>0.81599999999999995</c:v>
                </c:pt>
                <c:pt idx="45">
                  <c:v>0.84819999999999995</c:v>
                </c:pt>
                <c:pt idx="46">
                  <c:v>0.57724999999999993</c:v>
                </c:pt>
                <c:pt idx="47">
                  <c:v>0.82800000000000007</c:v>
                </c:pt>
                <c:pt idx="48">
                  <c:v>0.79316666666666658</c:v>
                </c:pt>
                <c:pt idx="49">
                  <c:v>0.77333333333333332</c:v>
                </c:pt>
                <c:pt idx="50">
                  <c:v>0.89733333333499998</c:v>
                </c:pt>
                <c:pt idx="51">
                  <c:v>0.96499999999999997</c:v>
                </c:pt>
                <c:pt idx="52">
                  <c:v>0.63624999999999998</c:v>
                </c:pt>
                <c:pt idx="53">
                  <c:v>0.85</c:v>
                </c:pt>
                <c:pt idx="54">
                  <c:v>0.61916666666666664</c:v>
                </c:pt>
                <c:pt idx="55">
                  <c:v>0.55366666666666664</c:v>
                </c:pt>
                <c:pt idx="56">
                  <c:v>0.86</c:v>
                </c:pt>
                <c:pt idx="57">
                  <c:v>0.71021428571428569</c:v>
                </c:pt>
                <c:pt idx="58">
                  <c:v>0.77716666666666667</c:v>
                </c:pt>
                <c:pt idx="59">
                  <c:v>0.84799999999999998</c:v>
                </c:pt>
                <c:pt idx="60">
                  <c:v>0.79599999999999993</c:v>
                </c:pt>
                <c:pt idx="61">
                  <c:v>0.89849999999999997</c:v>
                </c:pt>
                <c:pt idx="62">
                  <c:v>0.87777777777777777</c:v>
                </c:pt>
                <c:pt idx="63">
                  <c:v>0.82450000000000001</c:v>
                </c:pt>
                <c:pt idx="64">
                  <c:v>0.7413333333333334</c:v>
                </c:pt>
                <c:pt idx="65">
                  <c:v>0.77300000000000002</c:v>
                </c:pt>
                <c:pt idx="66">
                  <c:v>0.78449999999999998</c:v>
                </c:pt>
                <c:pt idx="67">
                  <c:v>-5.9913666666666003</c:v>
                </c:pt>
                <c:pt idx="68">
                  <c:v>0.70199999999999996</c:v>
                </c:pt>
                <c:pt idx="70">
                  <c:v>0.74524999999999997</c:v>
                </c:pt>
                <c:pt idx="71">
                  <c:v>0.86699999999999999</c:v>
                </c:pt>
                <c:pt idx="72">
                  <c:v>0.81299999999999994</c:v>
                </c:pt>
                <c:pt idx="74">
                  <c:v>0.90449999999999997</c:v>
                </c:pt>
                <c:pt idx="78">
                  <c:v>0.81699999999999995</c:v>
                </c:pt>
                <c:pt idx="80">
                  <c:v>0.79200000000000015</c:v>
                </c:pt>
                <c:pt idx="81">
                  <c:v>0.77677777777777779</c:v>
                </c:pt>
                <c:pt idx="82">
                  <c:v>0.78100000000000003</c:v>
                </c:pt>
                <c:pt idx="83">
                  <c:v>0.78200000000000003</c:v>
                </c:pt>
                <c:pt idx="84">
                  <c:v>0.80200000000000005</c:v>
                </c:pt>
                <c:pt idx="85">
                  <c:v>0.80400000000000005</c:v>
                </c:pt>
                <c:pt idx="86">
                  <c:v>0.8640000000000001</c:v>
                </c:pt>
                <c:pt idx="87">
                  <c:v>0.76700000000000002</c:v>
                </c:pt>
                <c:pt idx="88">
                  <c:v>0.76444047619050004</c:v>
                </c:pt>
                <c:pt idx="89">
                  <c:v>0.77560000000000007</c:v>
                </c:pt>
                <c:pt idx="90">
                  <c:v>0.67890277777783326</c:v>
                </c:pt>
                <c:pt idx="91">
                  <c:v>0.68213043478260871</c:v>
                </c:pt>
                <c:pt idx="92">
                  <c:v>0.69174999999999998</c:v>
                </c:pt>
                <c:pt idx="93">
                  <c:v>0.67133333333333334</c:v>
                </c:pt>
                <c:pt idx="94">
                  <c:v>0.71115079365076195</c:v>
                </c:pt>
                <c:pt idx="95">
                  <c:v>0.71735416666662499</c:v>
                </c:pt>
                <c:pt idx="96">
                  <c:v>0.7426388888889166</c:v>
                </c:pt>
                <c:pt idx="97">
                  <c:v>0.78646428571428573</c:v>
                </c:pt>
                <c:pt idx="98">
                  <c:v>0.7947017543862106</c:v>
                </c:pt>
                <c:pt idx="99">
                  <c:v>0.82199999999999995</c:v>
                </c:pt>
                <c:pt idx="100">
                  <c:v>0.75849999999999995</c:v>
                </c:pt>
                <c:pt idx="101">
                  <c:v>0.79790909090909101</c:v>
                </c:pt>
                <c:pt idx="102">
                  <c:v>0.77741666666666676</c:v>
                </c:pt>
                <c:pt idx="103">
                  <c:v>0.77450000000000008</c:v>
                </c:pt>
                <c:pt idx="104">
                  <c:v>0.749</c:v>
                </c:pt>
                <c:pt idx="105">
                  <c:v>0.78774509803923531</c:v>
                </c:pt>
                <c:pt idx="106">
                  <c:v>0.78700000000000003</c:v>
                </c:pt>
                <c:pt idx="107">
                  <c:v>0.76782539682533335</c:v>
                </c:pt>
                <c:pt idx="108">
                  <c:v>0.7297403846153846</c:v>
                </c:pt>
                <c:pt idx="109">
                  <c:v>0.72226470588235292</c:v>
                </c:pt>
                <c:pt idx="110">
                  <c:v>0.70711250000000003</c:v>
                </c:pt>
                <c:pt idx="111">
                  <c:v>0.82099999999999995</c:v>
                </c:pt>
                <c:pt idx="112">
                  <c:v>0.80466666666666675</c:v>
                </c:pt>
                <c:pt idx="113">
                  <c:v>0.67528571428571438</c:v>
                </c:pt>
                <c:pt idx="114">
                  <c:v>0.69324999999999992</c:v>
                </c:pt>
                <c:pt idx="115">
                  <c:v>0.78874999999999995</c:v>
                </c:pt>
                <c:pt idx="116">
                  <c:v>0.76439999999999997</c:v>
                </c:pt>
                <c:pt idx="117">
                  <c:v>0.83199999999999996</c:v>
                </c:pt>
                <c:pt idx="118">
                  <c:v>0.80841666666675005</c:v>
                </c:pt>
                <c:pt idx="119">
                  <c:v>0.76249999999999996</c:v>
                </c:pt>
                <c:pt idx="120">
                  <c:v>0.64695000000000003</c:v>
                </c:pt>
                <c:pt idx="121">
                  <c:v>0.55200000000000005</c:v>
                </c:pt>
                <c:pt idx="122">
                  <c:v>0.58066666666666666</c:v>
                </c:pt>
                <c:pt idx="123">
                  <c:v>0.70699999999999996</c:v>
                </c:pt>
                <c:pt idx="124">
                  <c:v>0.66800000000000004</c:v>
                </c:pt>
                <c:pt idx="126">
                  <c:v>0.80400000000000005</c:v>
                </c:pt>
                <c:pt idx="127">
                  <c:v>0.81379999999999997</c:v>
                </c:pt>
                <c:pt idx="128">
                  <c:v>0.74299999999999999</c:v>
                </c:pt>
                <c:pt idx="129">
                  <c:v>0.76800000000000002</c:v>
                </c:pt>
                <c:pt idx="130">
                  <c:v>0.76600000000000001</c:v>
                </c:pt>
                <c:pt idx="131">
                  <c:v>0.80400000000000005</c:v>
                </c:pt>
                <c:pt idx="133">
                  <c:v>0.82889999999999997</c:v>
                </c:pt>
                <c:pt idx="134">
                  <c:v>0.82650000000000001</c:v>
                </c:pt>
                <c:pt idx="136">
                  <c:v>0.75</c:v>
                </c:pt>
                <c:pt idx="137">
                  <c:v>0.751</c:v>
                </c:pt>
                <c:pt idx="138">
                  <c:v>0.749</c:v>
                </c:pt>
                <c:pt idx="139">
                  <c:v>0.80699999999999994</c:v>
                </c:pt>
                <c:pt idx="140">
                  <c:v>0.76124999999999998</c:v>
                </c:pt>
                <c:pt idx="141">
                  <c:v>0.72599999999999998</c:v>
                </c:pt>
                <c:pt idx="142">
                  <c:v>0.72350000000000003</c:v>
                </c:pt>
                <c:pt idx="143">
                  <c:v>0.746</c:v>
                </c:pt>
                <c:pt idx="145">
                  <c:v>0.95</c:v>
                </c:pt>
                <c:pt idx="146">
                  <c:v>0.81799999999999995</c:v>
                </c:pt>
                <c:pt idx="147">
                  <c:v>0.70799999999999996</c:v>
                </c:pt>
                <c:pt idx="149">
                  <c:v>0.79050000000000009</c:v>
                </c:pt>
                <c:pt idx="150">
                  <c:v>0.75600000000000001</c:v>
                </c:pt>
                <c:pt idx="151">
                  <c:v>0.72599999999999998</c:v>
                </c:pt>
                <c:pt idx="152">
                  <c:v>0.77400000000000002</c:v>
                </c:pt>
                <c:pt idx="153">
                  <c:v>0.77524999999999999</c:v>
                </c:pt>
                <c:pt idx="154">
                  <c:v>0.75675000000000003</c:v>
                </c:pt>
                <c:pt idx="155">
                  <c:v>0.78</c:v>
                </c:pt>
                <c:pt idx="156">
                  <c:v>0.78100000000000003</c:v>
                </c:pt>
                <c:pt idx="157">
                  <c:v>0.78366666666666662</c:v>
                </c:pt>
                <c:pt idx="158">
                  <c:v>0.76400000000000001</c:v>
                </c:pt>
                <c:pt idx="159">
                  <c:v>0.76600000000000001</c:v>
                </c:pt>
                <c:pt idx="160">
                  <c:v>0.78400000000000003</c:v>
                </c:pt>
                <c:pt idx="161">
                  <c:v>0.76900000000000002</c:v>
                </c:pt>
                <c:pt idx="162">
                  <c:v>0.78</c:v>
                </c:pt>
                <c:pt idx="163">
                  <c:v>0.77</c:v>
                </c:pt>
                <c:pt idx="164">
                  <c:v>0.7734375</c:v>
                </c:pt>
                <c:pt idx="165">
                  <c:v>0.79749999999999999</c:v>
                </c:pt>
                <c:pt idx="166">
                  <c:v>0.79700000000000004</c:v>
                </c:pt>
                <c:pt idx="167">
                  <c:v>0.77900000000000003</c:v>
                </c:pt>
                <c:pt idx="168">
                  <c:v>0.79025000000000001</c:v>
                </c:pt>
                <c:pt idx="169">
                  <c:v>0.79837500000000006</c:v>
                </c:pt>
                <c:pt idx="170">
                  <c:v>0.81850000000000001</c:v>
                </c:pt>
                <c:pt idx="171">
                  <c:v>0.86599999999999999</c:v>
                </c:pt>
                <c:pt idx="172">
                  <c:v>0.88</c:v>
                </c:pt>
                <c:pt idx="173">
                  <c:v>0.90449999999999997</c:v>
                </c:pt>
                <c:pt idx="174">
                  <c:v>0.826125</c:v>
                </c:pt>
                <c:pt idx="175">
                  <c:v>0.81644444444433339</c:v>
                </c:pt>
                <c:pt idx="176">
                  <c:v>0.89019642857174996</c:v>
                </c:pt>
                <c:pt idx="177">
                  <c:v>0.80500000000000005</c:v>
                </c:pt>
                <c:pt idx="178">
                  <c:v>0.82950000000000002</c:v>
                </c:pt>
                <c:pt idx="179">
                  <c:v>0.85</c:v>
                </c:pt>
                <c:pt idx="180">
                  <c:v>0.86012500000000003</c:v>
                </c:pt>
                <c:pt idx="181">
                  <c:v>0.70125000000000004</c:v>
                </c:pt>
                <c:pt idx="182">
                  <c:v>0.77049999999999996</c:v>
                </c:pt>
                <c:pt idx="183">
                  <c:v>0.83966666666699996</c:v>
                </c:pt>
                <c:pt idx="184">
                  <c:v>0.68533333333333335</c:v>
                </c:pt>
                <c:pt idx="185">
                  <c:v>0.90091666666749992</c:v>
                </c:pt>
                <c:pt idx="186">
                  <c:v>0.74124999999999996</c:v>
                </c:pt>
                <c:pt idx="187">
                  <c:v>0.76200000000000001</c:v>
                </c:pt>
                <c:pt idx="188">
                  <c:v>0.75150000000000006</c:v>
                </c:pt>
                <c:pt idx="189">
                  <c:v>0.83799999999999997</c:v>
                </c:pt>
                <c:pt idx="190">
                  <c:v>0.75858333333333328</c:v>
                </c:pt>
                <c:pt idx="192">
                  <c:v>0.85499999999999998</c:v>
                </c:pt>
                <c:pt idx="193">
                  <c:v>0.83599999999999997</c:v>
                </c:pt>
                <c:pt idx="194">
                  <c:v>0.78680000000000005</c:v>
                </c:pt>
                <c:pt idx="195">
                  <c:v>0.71399999999999997</c:v>
                </c:pt>
                <c:pt idx="196">
                  <c:v>0.72899999999999998</c:v>
                </c:pt>
                <c:pt idx="197">
                  <c:v>0.68400000000000005</c:v>
                </c:pt>
                <c:pt idx="198">
                  <c:v>0.81399999999999995</c:v>
                </c:pt>
                <c:pt idx="199">
                  <c:v>0.752</c:v>
                </c:pt>
                <c:pt idx="200">
                  <c:v>0.83799999999999997</c:v>
                </c:pt>
                <c:pt idx="201">
                  <c:v>0.86799999999999999</c:v>
                </c:pt>
                <c:pt idx="202">
                  <c:v>0.79300000000000004</c:v>
                </c:pt>
                <c:pt idx="20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1-4253-B53D-683BDC17B209}"/>
            </c:ext>
          </c:extLst>
        </c:ser>
        <c:ser>
          <c:idx val="1"/>
          <c:order val="1"/>
          <c:tx>
            <c:strRef>
              <c:f>Longitude!$H$2</c:f>
              <c:strCache>
                <c:ptCount val="1"/>
                <c:pt idx="0">
                  <c:v>SSP3-7.0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Longitude!$H$3:$H$207</c:f>
              <c:numCache>
                <c:formatCode>0.00_ </c:formatCode>
                <c:ptCount val="205"/>
                <c:pt idx="7">
                  <c:v>0.67600000000000005</c:v>
                </c:pt>
                <c:pt idx="11">
                  <c:v>0.59575</c:v>
                </c:pt>
                <c:pt idx="12">
                  <c:v>0.41466666666699997</c:v>
                </c:pt>
                <c:pt idx="13">
                  <c:v>0.71099999999999997</c:v>
                </c:pt>
                <c:pt idx="14">
                  <c:v>0.63200000000000001</c:v>
                </c:pt>
                <c:pt idx="15">
                  <c:v>0.70000000000000007</c:v>
                </c:pt>
                <c:pt idx="16">
                  <c:v>0.72099999999999997</c:v>
                </c:pt>
                <c:pt idx="17">
                  <c:v>0.73099999999999998</c:v>
                </c:pt>
                <c:pt idx="18">
                  <c:v>0.7553333333333333</c:v>
                </c:pt>
                <c:pt idx="19">
                  <c:v>0.71724999999999994</c:v>
                </c:pt>
                <c:pt idx="20">
                  <c:v>0.71866666666666656</c:v>
                </c:pt>
                <c:pt idx="21">
                  <c:v>0.72199999999999998</c:v>
                </c:pt>
                <c:pt idx="22">
                  <c:v>0.73699999999999999</c:v>
                </c:pt>
                <c:pt idx="23">
                  <c:v>0.7636666666666666</c:v>
                </c:pt>
                <c:pt idx="24">
                  <c:v>0.8394285714285713</c:v>
                </c:pt>
                <c:pt idx="25">
                  <c:v>0.89549999999999996</c:v>
                </c:pt>
                <c:pt idx="26">
                  <c:v>0.93799999999999994</c:v>
                </c:pt>
                <c:pt idx="27">
                  <c:v>0.95199999999999996</c:v>
                </c:pt>
                <c:pt idx="28">
                  <c:v>0.91249999999999998</c:v>
                </c:pt>
                <c:pt idx="29">
                  <c:v>0.88800000000000001</c:v>
                </c:pt>
                <c:pt idx="30">
                  <c:v>0.77250000000000008</c:v>
                </c:pt>
                <c:pt idx="31">
                  <c:v>0.75</c:v>
                </c:pt>
                <c:pt idx="32">
                  <c:v>0.79400000000000004</c:v>
                </c:pt>
                <c:pt idx="33">
                  <c:v>0.77200000000000002</c:v>
                </c:pt>
                <c:pt idx="34">
                  <c:v>0.78579999999999994</c:v>
                </c:pt>
                <c:pt idx="35">
                  <c:v>0.82150000000000001</c:v>
                </c:pt>
                <c:pt idx="36">
                  <c:v>0.83499999999999996</c:v>
                </c:pt>
                <c:pt idx="37">
                  <c:v>0.83260000000000001</c:v>
                </c:pt>
                <c:pt idx="38">
                  <c:v>0.97683333333333344</c:v>
                </c:pt>
                <c:pt idx="39">
                  <c:v>0.89733333333333343</c:v>
                </c:pt>
                <c:pt idx="40">
                  <c:v>0.74199999999999999</c:v>
                </c:pt>
                <c:pt idx="41">
                  <c:v>0.81730000000000003</c:v>
                </c:pt>
                <c:pt idx="42">
                  <c:v>0.63850000000000007</c:v>
                </c:pt>
                <c:pt idx="43">
                  <c:v>0.77987499999999998</c:v>
                </c:pt>
                <c:pt idx="44">
                  <c:v>0.73166666666666658</c:v>
                </c:pt>
                <c:pt idx="45">
                  <c:v>0.76500000000000001</c:v>
                </c:pt>
                <c:pt idx="46">
                  <c:v>0.48025000000000001</c:v>
                </c:pt>
                <c:pt idx="47">
                  <c:v>0.74350000000000005</c:v>
                </c:pt>
                <c:pt idx="48">
                  <c:v>0.70866666666666667</c:v>
                </c:pt>
                <c:pt idx="49">
                  <c:v>0.68666666666666665</c:v>
                </c:pt>
                <c:pt idx="50">
                  <c:v>0.8155</c:v>
                </c:pt>
                <c:pt idx="51">
                  <c:v>0.86850000000000005</c:v>
                </c:pt>
                <c:pt idx="52">
                  <c:v>0.57050000000000001</c:v>
                </c:pt>
                <c:pt idx="53">
                  <c:v>0.753</c:v>
                </c:pt>
                <c:pt idx="54">
                  <c:v>0.54566666666666663</c:v>
                </c:pt>
                <c:pt idx="55">
                  <c:v>0.49533333333333329</c:v>
                </c:pt>
                <c:pt idx="56">
                  <c:v>0.76800000000000002</c:v>
                </c:pt>
                <c:pt idx="57">
                  <c:v>0.62071428571428566</c:v>
                </c:pt>
                <c:pt idx="58">
                  <c:v>0.6905</c:v>
                </c:pt>
                <c:pt idx="59">
                  <c:v>0.75600000000000001</c:v>
                </c:pt>
                <c:pt idx="60">
                  <c:v>0.69766666666666666</c:v>
                </c:pt>
                <c:pt idx="61">
                  <c:v>0.79966666666666664</c:v>
                </c:pt>
                <c:pt idx="62">
                  <c:v>0.77744444444444438</c:v>
                </c:pt>
                <c:pt idx="63">
                  <c:v>0.72499999999999998</c:v>
                </c:pt>
                <c:pt idx="64">
                  <c:v>0.65083333333333337</c:v>
                </c:pt>
                <c:pt idx="65">
                  <c:v>0.68700000000000006</c:v>
                </c:pt>
                <c:pt idx="66">
                  <c:v>0.69233333333333336</c:v>
                </c:pt>
                <c:pt idx="67">
                  <c:v>-6.0636000000000001</c:v>
                </c:pt>
                <c:pt idx="68">
                  <c:v>0.61833333333333329</c:v>
                </c:pt>
                <c:pt idx="70">
                  <c:v>0.65949999999999998</c:v>
                </c:pt>
                <c:pt idx="71">
                  <c:v>0.76249999999999996</c:v>
                </c:pt>
                <c:pt idx="72">
                  <c:v>0.72299999999999998</c:v>
                </c:pt>
                <c:pt idx="74">
                  <c:v>0.81899999999999995</c:v>
                </c:pt>
                <c:pt idx="78">
                  <c:v>0.72499999999999998</c:v>
                </c:pt>
                <c:pt idx="80">
                  <c:v>0.69816666666666671</c:v>
                </c:pt>
                <c:pt idx="81">
                  <c:v>0.68433333333333346</c:v>
                </c:pt>
                <c:pt idx="82">
                  <c:v>0.68833333333333335</c:v>
                </c:pt>
                <c:pt idx="83">
                  <c:v>0.69</c:v>
                </c:pt>
                <c:pt idx="84">
                  <c:v>0.70899999999999996</c:v>
                </c:pt>
                <c:pt idx="85">
                  <c:v>0.70799999999999996</c:v>
                </c:pt>
                <c:pt idx="86">
                  <c:v>0.75949999999999995</c:v>
                </c:pt>
                <c:pt idx="87">
                  <c:v>0.66833333333333333</c:v>
                </c:pt>
                <c:pt idx="88">
                  <c:v>0.66777380952378562</c:v>
                </c:pt>
                <c:pt idx="89">
                  <c:v>0.68119999999999992</c:v>
                </c:pt>
                <c:pt idx="90">
                  <c:v>0.58199999999999996</c:v>
                </c:pt>
                <c:pt idx="91">
                  <c:v>0.58682608695652172</c:v>
                </c:pt>
                <c:pt idx="92">
                  <c:v>0.59250000000000003</c:v>
                </c:pt>
                <c:pt idx="93">
                  <c:v>0.5698333333333333</c:v>
                </c:pt>
                <c:pt idx="94">
                  <c:v>0.61142063492066667</c:v>
                </c:pt>
                <c:pt idx="95">
                  <c:v>0.61587499999987505</c:v>
                </c:pt>
                <c:pt idx="96">
                  <c:v>0.64291666666666669</c:v>
                </c:pt>
                <c:pt idx="97">
                  <c:v>0.68117857142857141</c:v>
                </c:pt>
                <c:pt idx="98">
                  <c:v>0.68431578947378957</c:v>
                </c:pt>
                <c:pt idx="99">
                  <c:v>0.70874999999999999</c:v>
                </c:pt>
                <c:pt idx="100">
                  <c:v>0.65995000000000004</c:v>
                </c:pt>
                <c:pt idx="101">
                  <c:v>0.68700000000000006</c:v>
                </c:pt>
                <c:pt idx="102">
                  <c:v>0.66641666666666666</c:v>
                </c:pt>
                <c:pt idx="103">
                  <c:v>0.66275000000000006</c:v>
                </c:pt>
                <c:pt idx="104">
                  <c:v>0.64066666666666672</c:v>
                </c:pt>
                <c:pt idx="105">
                  <c:v>0.67770588235294127</c:v>
                </c:pt>
                <c:pt idx="106">
                  <c:v>0.68309999999999993</c:v>
                </c:pt>
                <c:pt idx="107">
                  <c:v>0.66366666666666663</c:v>
                </c:pt>
                <c:pt idx="108">
                  <c:v>0.62458653846153855</c:v>
                </c:pt>
                <c:pt idx="109">
                  <c:v>0.61803921568623532</c:v>
                </c:pt>
                <c:pt idx="110">
                  <c:v>0.60024999999999995</c:v>
                </c:pt>
                <c:pt idx="111">
                  <c:v>0.72399999999999998</c:v>
                </c:pt>
                <c:pt idx="112">
                  <c:v>0.70533333333333337</c:v>
                </c:pt>
                <c:pt idx="113">
                  <c:v>0.5700476190475714</c:v>
                </c:pt>
                <c:pt idx="114">
                  <c:v>0.57374999999999998</c:v>
                </c:pt>
                <c:pt idx="115">
                  <c:v>0.69950000000000001</c:v>
                </c:pt>
                <c:pt idx="116">
                  <c:v>0.66079999999999994</c:v>
                </c:pt>
                <c:pt idx="117">
                  <c:v>0.74199999999999999</c:v>
                </c:pt>
                <c:pt idx="118">
                  <c:v>0.70433333333324999</c:v>
                </c:pt>
                <c:pt idx="119">
                  <c:v>0.65500000000000003</c:v>
                </c:pt>
                <c:pt idx="120">
                  <c:v>0.52960000000000007</c:v>
                </c:pt>
                <c:pt idx="121">
                  <c:v>0.42799999999999999</c:v>
                </c:pt>
                <c:pt idx="122">
                  <c:v>0.47733333333333328</c:v>
                </c:pt>
                <c:pt idx="123">
                  <c:v>0.61499999999999999</c:v>
                </c:pt>
                <c:pt idx="124">
                  <c:v>0.54400000000000004</c:v>
                </c:pt>
                <c:pt idx="126">
                  <c:v>0.71899999999999997</c:v>
                </c:pt>
                <c:pt idx="127">
                  <c:v>0.7228</c:v>
                </c:pt>
                <c:pt idx="128">
                  <c:v>0.63600000000000001</c:v>
                </c:pt>
                <c:pt idx="129">
                  <c:v>0.66999999999999993</c:v>
                </c:pt>
                <c:pt idx="130">
                  <c:v>0.66200000000000003</c:v>
                </c:pt>
                <c:pt idx="131">
                  <c:v>0.72299999999999998</c:v>
                </c:pt>
                <c:pt idx="133">
                  <c:v>0.74249999999999994</c:v>
                </c:pt>
                <c:pt idx="134">
                  <c:v>0.747</c:v>
                </c:pt>
                <c:pt idx="136">
                  <c:v>0.65249999999999997</c:v>
                </c:pt>
                <c:pt idx="137">
                  <c:v>0.63500000000000001</c:v>
                </c:pt>
                <c:pt idx="138">
                  <c:v>0.63400000000000001</c:v>
                </c:pt>
                <c:pt idx="139">
                  <c:v>0.69500000000000006</c:v>
                </c:pt>
                <c:pt idx="140">
                  <c:v>0.65349999999999997</c:v>
                </c:pt>
                <c:pt idx="141">
                  <c:v>0.61399999999999999</c:v>
                </c:pt>
                <c:pt idx="142">
                  <c:v>0.61250000000000004</c:v>
                </c:pt>
                <c:pt idx="143">
                  <c:v>0.63400000000000001</c:v>
                </c:pt>
                <c:pt idx="145">
                  <c:v>0.84</c:v>
                </c:pt>
                <c:pt idx="146">
                  <c:v>0.71199999999999997</c:v>
                </c:pt>
                <c:pt idx="147">
                  <c:v>0.6</c:v>
                </c:pt>
                <c:pt idx="149">
                  <c:v>0.68150000000000011</c:v>
                </c:pt>
                <c:pt idx="150">
                  <c:v>0.64500000000000002</c:v>
                </c:pt>
                <c:pt idx="151">
                  <c:v>0.61499999999999999</c:v>
                </c:pt>
                <c:pt idx="152">
                  <c:v>0.66833333333333333</c:v>
                </c:pt>
                <c:pt idx="153">
                  <c:v>0.67200000000000004</c:v>
                </c:pt>
                <c:pt idx="154">
                  <c:v>0.65400000000000003</c:v>
                </c:pt>
                <c:pt idx="155">
                  <c:v>0.68300000000000005</c:v>
                </c:pt>
                <c:pt idx="156">
                  <c:v>0.68300000000000005</c:v>
                </c:pt>
                <c:pt idx="157">
                  <c:v>0.68366666666666676</c:v>
                </c:pt>
                <c:pt idx="158">
                  <c:v>0.66600000000000004</c:v>
                </c:pt>
                <c:pt idx="159">
                  <c:v>0.66766666666666674</c:v>
                </c:pt>
                <c:pt idx="160">
                  <c:v>0.68399999999999994</c:v>
                </c:pt>
                <c:pt idx="161">
                  <c:v>0.66549999999999998</c:v>
                </c:pt>
                <c:pt idx="162">
                  <c:v>0.67800000000000005</c:v>
                </c:pt>
                <c:pt idx="163">
                  <c:v>0.66800000000000004</c:v>
                </c:pt>
                <c:pt idx="164">
                  <c:v>0.67453125000000003</c:v>
                </c:pt>
                <c:pt idx="165">
                  <c:v>0.69550000000000001</c:v>
                </c:pt>
                <c:pt idx="166">
                  <c:v>0.69399999999999995</c:v>
                </c:pt>
                <c:pt idx="167">
                  <c:v>0.66200000000000003</c:v>
                </c:pt>
                <c:pt idx="168">
                  <c:v>0.6925</c:v>
                </c:pt>
                <c:pt idx="169">
                  <c:v>0.6905</c:v>
                </c:pt>
                <c:pt idx="170">
                  <c:v>0.71875</c:v>
                </c:pt>
                <c:pt idx="171">
                  <c:v>0.76349999999999996</c:v>
                </c:pt>
                <c:pt idx="172">
                  <c:v>0.77600000000000002</c:v>
                </c:pt>
                <c:pt idx="173">
                  <c:v>0.79050000000000009</c:v>
                </c:pt>
                <c:pt idx="174">
                  <c:v>0.71599999999999997</c:v>
                </c:pt>
                <c:pt idx="175">
                  <c:v>0.71022222222199993</c:v>
                </c:pt>
                <c:pt idx="176">
                  <c:v>0.77219642857174997</c:v>
                </c:pt>
                <c:pt idx="177">
                  <c:v>0.69699999999999995</c:v>
                </c:pt>
                <c:pt idx="178">
                  <c:v>0.72499999999999998</c:v>
                </c:pt>
                <c:pt idx="179">
                  <c:v>0.73699999999999999</c:v>
                </c:pt>
                <c:pt idx="180">
                  <c:v>0.75624999999999998</c:v>
                </c:pt>
                <c:pt idx="181">
                  <c:v>0.59350000000000003</c:v>
                </c:pt>
                <c:pt idx="182">
                  <c:v>0.70650000000000002</c:v>
                </c:pt>
                <c:pt idx="183">
                  <c:v>0.72166666666699997</c:v>
                </c:pt>
                <c:pt idx="184">
                  <c:v>0.59766666666666668</c:v>
                </c:pt>
                <c:pt idx="185">
                  <c:v>0.79258333333249997</c:v>
                </c:pt>
                <c:pt idx="186">
                  <c:v>0.65149999999999997</c:v>
                </c:pt>
                <c:pt idx="187">
                  <c:v>0.66574999999999995</c:v>
                </c:pt>
                <c:pt idx="188">
                  <c:v>0.65899999999999992</c:v>
                </c:pt>
                <c:pt idx="189">
                  <c:v>0.73466666666699998</c:v>
                </c:pt>
                <c:pt idx="190">
                  <c:v>0.66466666666666663</c:v>
                </c:pt>
                <c:pt idx="192">
                  <c:v>0.75600000000000001</c:v>
                </c:pt>
                <c:pt idx="193">
                  <c:v>0.73089999999999999</c:v>
                </c:pt>
                <c:pt idx="194">
                  <c:v>0.69273333333340004</c:v>
                </c:pt>
                <c:pt idx="195">
                  <c:v>0.62</c:v>
                </c:pt>
                <c:pt idx="196">
                  <c:v>0.63300000000000001</c:v>
                </c:pt>
                <c:pt idx="197">
                  <c:v>0.58399999999999996</c:v>
                </c:pt>
                <c:pt idx="198">
                  <c:v>0.70299999999999996</c:v>
                </c:pt>
                <c:pt idx="199">
                  <c:v>0.63800000000000001</c:v>
                </c:pt>
                <c:pt idx="200">
                  <c:v>0.73899999999999999</c:v>
                </c:pt>
                <c:pt idx="201">
                  <c:v>0.76400000000000001</c:v>
                </c:pt>
                <c:pt idx="202">
                  <c:v>0.71199999999999997</c:v>
                </c:pt>
                <c:pt idx="203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1-4253-B53D-683BDC17B209}"/>
            </c:ext>
          </c:extLst>
        </c:ser>
        <c:ser>
          <c:idx val="2"/>
          <c:order val="2"/>
          <c:tx>
            <c:strRef>
              <c:f>Longitude!$G$2</c:f>
              <c:strCache>
                <c:ptCount val="1"/>
                <c:pt idx="0">
                  <c:v>SSP2-4.5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Longitude!$G$3:$G$207</c:f>
              <c:numCache>
                <c:formatCode>0.00_ </c:formatCode>
                <c:ptCount val="205"/>
                <c:pt idx="7">
                  <c:v>0.56699999999999995</c:v>
                </c:pt>
                <c:pt idx="11">
                  <c:v>0.50350000000000006</c:v>
                </c:pt>
                <c:pt idx="12">
                  <c:v>0.33333333333300003</c:v>
                </c:pt>
                <c:pt idx="13">
                  <c:v>0.59799999999999998</c:v>
                </c:pt>
                <c:pt idx="14">
                  <c:v>0.52900000000000003</c:v>
                </c:pt>
                <c:pt idx="15">
                  <c:v>0.59199999999999997</c:v>
                </c:pt>
                <c:pt idx="16">
                  <c:v>0.61199999999999999</c:v>
                </c:pt>
                <c:pt idx="17">
                  <c:v>0.62250000000000005</c:v>
                </c:pt>
                <c:pt idx="18">
                  <c:v>0.64633333333333332</c:v>
                </c:pt>
                <c:pt idx="19">
                  <c:v>0.60312500000000002</c:v>
                </c:pt>
                <c:pt idx="20">
                  <c:v>0.60666666666666658</c:v>
                </c:pt>
                <c:pt idx="21">
                  <c:v>0.60850000000000004</c:v>
                </c:pt>
                <c:pt idx="22">
                  <c:v>0.62149999999999994</c:v>
                </c:pt>
                <c:pt idx="23">
                  <c:v>0.64700000000000002</c:v>
                </c:pt>
                <c:pt idx="24">
                  <c:v>0.71899999999999997</c:v>
                </c:pt>
                <c:pt idx="25">
                  <c:v>0.77300000000000002</c:v>
                </c:pt>
                <c:pt idx="26">
                  <c:v>0.81399999999999995</c:v>
                </c:pt>
                <c:pt idx="27">
                  <c:v>0.82799999999999996</c:v>
                </c:pt>
                <c:pt idx="28">
                  <c:v>0.78680000000000005</c:v>
                </c:pt>
                <c:pt idx="29">
                  <c:v>0.76300000000000001</c:v>
                </c:pt>
                <c:pt idx="30">
                  <c:v>0.64670000000000005</c:v>
                </c:pt>
                <c:pt idx="31">
                  <c:v>0.62549999999999994</c:v>
                </c:pt>
                <c:pt idx="32">
                  <c:v>0.66400000000000003</c:v>
                </c:pt>
                <c:pt idx="33">
                  <c:v>0.63800000000000001</c:v>
                </c:pt>
                <c:pt idx="34">
                  <c:v>0.65639999999999998</c:v>
                </c:pt>
                <c:pt idx="35">
                  <c:v>0.68500000000000005</c:v>
                </c:pt>
                <c:pt idx="36">
                  <c:v>0.70774999999999999</c:v>
                </c:pt>
                <c:pt idx="37">
                  <c:v>0.70440000000000003</c:v>
                </c:pt>
                <c:pt idx="38">
                  <c:v>0.85808333333333342</c:v>
                </c:pt>
                <c:pt idx="39">
                  <c:v>0.77716666666666667</c:v>
                </c:pt>
                <c:pt idx="40">
                  <c:v>0.60733333333333339</c:v>
                </c:pt>
                <c:pt idx="41">
                  <c:v>0.69530000000000003</c:v>
                </c:pt>
                <c:pt idx="42">
                  <c:v>0.51375000000000004</c:v>
                </c:pt>
                <c:pt idx="43">
                  <c:v>0.65825</c:v>
                </c:pt>
                <c:pt idx="44">
                  <c:v>0.60266666666666657</c:v>
                </c:pt>
                <c:pt idx="45">
                  <c:v>0.64100000000000001</c:v>
                </c:pt>
                <c:pt idx="46">
                  <c:v>0.35675000000000001</c:v>
                </c:pt>
                <c:pt idx="47">
                  <c:v>0.63100000000000001</c:v>
                </c:pt>
                <c:pt idx="48">
                  <c:v>0.59275</c:v>
                </c:pt>
                <c:pt idx="49">
                  <c:v>0.58599999999999997</c:v>
                </c:pt>
                <c:pt idx="50">
                  <c:v>0.68599999999999994</c:v>
                </c:pt>
                <c:pt idx="51">
                  <c:v>0.75891666666649993</c:v>
                </c:pt>
                <c:pt idx="52">
                  <c:v>0.499</c:v>
                </c:pt>
                <c:pt idx="53">
                  <c:v>0.65500000000000003</c:v>
                </c:pt>
                <c:pt idx="54">
                  <c:v>0.43233333333333329</c:v>
                </c:pt>
                <c:pt idx="55">
                  <c:v>0.42233333333333328</c:v>
                </c:pt>
                <c:pt idx="56">
                  <c:v>0.64800000000000002</c:v>
                </c:pt>
                <c:pt idx="57">
                  <c:v>0.50971428571428568</c:v>
                </c:pt>
                <c:pt idx="58">
                  <c:v>0.57666666666666666</c:v>
                </c:pt>
                <c:pt idx="59">
                  <c:v>0.64100000000000001</c:v>
                </c:pt>
                <c:pt idx="60">
                  <c:v>0.58966666666666667</c:v>
                </c:pt>
                <c:pt idx="61">
                  <c:v>0.70066666666666677</c:v>
                </c:pt>
                <c:pt idx="62">
                  <c:v>0.6684444444444444</c:v>
                </c:pt>
                <c:pt idx="63">
                  <c:v>0.62125000000000008</c:v>
                </c:pt>
                <c:pt idx="64">
                  <c:v>0.54633333333333334</c:v>
                </c:pt>
                <c:pt idx="65">
                  <c:v>0.57899999999999996</c:v>
                </c:pt>
                <c:pt idx="66">
                  <c:v>0.57766666666666666</c:v>
                </c:pt>
                <c:pt idx="67">
                  <c:v>-6.1575333333333999</c:v>
                </c:pt>
                <c:pt idx="68">
                  <c:v>0.48633333333333328</c:v>
                </c:pt>
                <c:pt idx="70">
                  <c:v>0.52974999999999994</c:v>
                </c:pt>
                <c:pt idx="71">
                  <c:v>0.65500000000000003</c:v>
                </c:pt>
                <c:pt idx="72">
                  <c:v>0.61</c:v>
                </c:pt>
                <c:pt idx="74">
                  <c:v>0.6865</c:v>
                </c:pt>
                <c:pt idx="78">
                  <c:v>0.61549999999999994</c:v>
                </c:pt>
                <c:pt idx="80">
                  <c:v>0.58716666666666661</c:v>
                </c:pt>
                <c:pt idx="81">
                  <c:v>0.57299999999999995</c:v>
                </c:pt>
                <c:pt idx="82">
                  <c:v>0.57699999999999996</c:v>
                </c:pt>
                <c:pt idx="83">
                  <c:v>0.57799999999999996</c:v>
                </c:pt>
                <c:pt idx="84">
                  <c:v>0.59599999999999997</c:v>
                </c:pt>
                <c:pt idx="85">
                  <c:v>0.58799999999999997</c:v>
                </c:pt>
                <c:pt idx="86">
                  <c:v>0.60399999999999998</c:v>
                </c:pt>
                <c:pt idx="87">
                  <c:v>0.57099999999999995</c:v>
                </c:pt>
                <c:pt idx="88">
                  <c:v>0.57001190476192853</c:v>
                </c:pt>
                <c:pt idx="89">
                  <c:v>0.58479999999999999</c:v>
                </c:pt>
                <c:pt idx="90">
                  <c:v>0.49483333333333329</c:v>
                </c:pt>
                <c:pt idx="91">
                  <c:v>0.49769565217391298</c:v>
                </c:pt>
                <c:pt idx="92">
                  <c:v>0.49725000000000003</c:v>
                </c:pt>
                <c:pt idx="93">
                  <c:v>0.49127777777777781</c:v>
                </c:pt>
                <c:pt idx="94">
                  <c:v>0.52218253968257144</c:v>
                </c:pt>
                <c:pt idx="95">
                  <c:v>0.52385416666675</c:v>
                </c:pt>
                <c:pt idx="96">
                  <c:v>0.54613888888891671</c:v>
                </c:pt>
                <c:pt idx="97">
                  <c:v>0.5862857142857143</c:v>
                </c:pt>
                <c:pt idx="98">
                  <c:v>0.58951754385989474</c:v>
                </c:pt>
                <c:pt idx="99">
                  <c:v>0.62</c:v>
                </c:pt>
                <c:pt idx="100">
                  <c:v>0.55869999999999997</c:v>
                </c:pt>
                <c:pt idx="101">
                  <c:v>0.59390909090909094</c:v>
                </c:pt>
                <c:pt idx="102">
                  <c:v>0.57304166666666667</c:v>
                </c:pt>
                <c:pt idx="103">
                  <c:v>0.56766666666666665</c:v>
                </c:pt>
                <c:pt idx="104">
                  <c:v>0.54466666666666663</c:v>
                </c:pt>
                <c:pt idx="105">
                  <c:v>0.58325490196076468</c:v>
                </c:pt>
                <c:pt idx="106">
                  <c:v>0.57884999999999998</c:v>
                </c:pt>
                <c:pt idx="107">
                  <c:v>0.54880952380957149</c:v>
                </c:pt>
                <c:pt idx="108">
                  <c:v>0.52225961538461541</c:v>
                </c:pt>
                <c:pt idx="109">
                  <c:v>0.53286274509799991</c:v>
                </c:pt>
                <c:pt idx="110">
                  <c:v>0.50939999999999996</c:v>
                </c:pt>
                <c:pt idx="111">
                  <c:v>0.58250000000000002</c:v>
                </c:pt>
                <c:pt idx="112">
                  <c:v>0.58966666666666667</c:v>
                </c:pt>
                <c:pt idx="113">
                  <c:v>0.46995238095242847</c:v>
                </c:pt>
                <c:pt idx="114">
                  <c:v>0.48225000000000001</c:v>
                </c:pt>
                <c:pt idx="115">
                  <c:v>0.577125</c:v>
                </c:pt>
                <c:pt idx="116">
                  <c:v>0.55280000000000007</c:v>
                </c:pt>
                <c:pt idx="117">
                  <c:v>0.61299999999999999</c:v>
                </c:pt>
                <c:pt idx="118">
                  <c:v>0.60250000000000004</c:v>
                </c:pt>
                <c:pt idx="119">
                  <c:v>0.54600000000000004</c:v>
                </c:pt>
                <c:pt idx="120">
                  <c:v>0.43900000000000011</c:v>
                </c:pt>
                <c:pt idx="121">
                  <c:v>0.34200000000000003</c:v>
                </c:pt>
                <c:pt idx="122">
                  <c:v>0.38266666666666671</c:v>
                </c:pt>
                <c:pt idx="123">
                  <c:v>0.51649999999999996</c:v>
                </c:pt>
                <c:pt idx="124">
                  <c:v>0.45600000000000002</c:v>
                </c:pt>
                <c:pt idx="126">
                  <c:v>0.58299999999999996</c:v>
                </c:pt>
                <c:pt idx="127">
                  <c:v>0.59219999999999995</c:v>
                </c:pt>
                <c:pt idx="128">
                  <c:v>0.52400000000000002</c:v>
                </c:pt>
                <c:pt idx="129">
                  <c:v>0.54949999999999999</c:v>
                </c:pt>
                <c:pt idx="130">
                  <c:v>0.53100000000000003</c:v>
                </c:pt>
                <c:pt idx="131">
                  <c:v>0.58299999999999996</c:v>
                </c:pt>
                <c:pt idx="133">
                  <c:v>0.60719999999999996</c:v>
                </c:pt>
                <c:pt idx="134">
                  <c:v>0.60549999999999993</c:v>
                </c:pt>
                <c:pt idx="136">
                  <c:v>0.51949999999999996</c:v>
                </c:pt>
                <c:pt idx="137">
                  <c:v>0.498</c:v>
                </c:pt>
                <c:pt idx="138">
                  <c:v>0.497</c:v>
                </c:pt>
                <c:pt idx="139">
                  <c:v>0.54699999999999993</c:v>
                </c:pt>
                <c:pt idx="140">
                  <c:v>0.51549999999999996</c:v>
                </c:pt>
                <c:pt idx="141">
                  <c:v>0.48</c:v>
                </c:pt>
                <c:pt idx="142">
                  <c:v>0.48299999999999998</c:v>
                </c:pt>
                <c:pt idx="143">
                  <c:v>0.504</c:v>
                </c:pt>
                <c:pt idx="145">
                  <c:v>0.67800000000000005</c:v>
                </c:pt>
                <c:pt idx="146">
                  <c:v>0.57999999999999996</c:v>
                </c:pt>
                <c:pt idx="147">
                  <c:v>0.48799999999999999</c:v>
                </c:pt>
                <c:pt idx="149">
                  <c:v>0.5665</c:v>
                </c:pt>
                <c:pt idx="150">
                  <c:v>0.53600000000000003</c:v>
                </c:pt>
                <c:pt idx="151">
                  <c:v>0.51</c:v>
                </c:pt>
                <c:pt idx="152">
                  <c:v>0.55733333333333335</c:v>
                </c:pt>
                <c:pt idx="153">
                  <c:v>0.55900000000000005</c:v>
                </c:pt>
                <c:pt idx="154">
                  <c:v>0.53725000000000001</c:v>
                </c:pt>
                <c:pt idx="155">
                  <c:v>0.56399999999999995</c:v>
                </c:pt>
                <c:pt idx="156">
                  <c:v>0.56000000000000005</c:v>
                </c:pt>
                <c:pt idx="157">
                  <c:v>0.56633333333333324</c:v>
                </c:pt>
                <c:pt idx="158">
                  <c:v>0.55600000000000005</c:v>
                </c:pt>
                <c:pt idx="159">
                  <c:v>0.55600000000000005</c:v>
                </c:pt>
                <c:pt idx="160">
                  <c:v>0.57250000000000001</c:v>
                </c:pt>
                <c:pt idx="161">
                  <c:v>0.55049999999999999</c:v>
                </c:pt>
                <c:pt idx="162">
                  <c:v>0.55900000000000005</c:v>
                </c:pt>
                <c:pt idx="163">
                  <c:v>0.55200000000000005</c:v>
                </c:pt>
                <c:pt idx="164">
                  <c:v>0.56237499999999996</c:v>
                </c:pt>
                <c:pt idx="165">
                  <c:v>0.57699999999999996</c:v>
                </c:pt>
                <c:pt idx="166">
                  <c:v>0.57399999999999995</c:v>
                </c:pt>
                <c:pt idx="167">
                  <c:v>0.51200000000000001</c:v>
                </c:pt>
                <c:pt idx="168">
                  <c:v>0.57150000000000001</c:v>
                </c:pt>
                <c:pt idx="169">
                  <c:v>0.55225000000000002</c:v>
                </c:pt>
                <c:pt idx="170">
                  <c:v>0.58787500000000004</c:v>
                </c:pt>
                <c:pt idx="171">
                  <c:v>0.63749999999999996</c:v>
                </c:pt>
                <c:pt idx="172">
                  <c:v>0.64200000000000002</c:v>
                </c:pt>
                <c:pt idx="173">
                  <c:v>0.64300000000000002</c:v>
                </c:pt>
                <c:pt idx="174">
                  <c:v>0.57325000000000004</c:v>
                </c:pt>
                <c:pt idx="175">
                  <c:v>0.58250000000000002</c:v>
                </c:pt>
                <c:pt idx="176">
                  <c:v>0.62878571428550001</c:v>
                </c:pt>
                <c:pt idx="177">
                  <c:v>0.58399999999999996</c:v>
                </c:pt>
                <c:pt idx="178">
                  <c:v>0.60399999999999998</c:v>
                </c:pt>
                <c:pt idx="179">
                  <c:v>0.59199999999999997</c:v>
                </c:pt>
                <c:pt idx="180">
                  <c:v>0.61525000000000007</c:v>
                </c:pt>
                <c:pt idx="181">
                  <c:v>0.44650000000000001</c:v>
                </c:pt>
                <c:pt idx="182">
                  <c:v>0.6</c:v>
                </c:pt>
                <c:pt idx="183">
                  <c:v>0.55833333333299995</c:v>
                </c:pt>
                <c:pt idx="184">
                  <c:v>0.49266666666666681</c:v>
                </c:pt>
                <c:pt idx="185">
                  <c:v>0.6441666666675</c:v>
                </c:pt>
                <c:pt idx="186">
                  <c:v>0.53300000000000003</c:v>
                </c:pt>
                <c:pt idx="187">
                  <c:v>0.53281250000000002</c:v>
                </c:pt>
                <c:pt idx="188">
                  <c:v>0.52999999999999992</c:v>
                </c:pt>
                <c:pt idx="189">
                  <c:v>0.59233333333299998</c:v>
                </c:pt>
                <c:pt idx="190">
                  <c:v>0.51949999999999996</c:v>
                </c:pt>
                <c:pt idx="192">
                  <c:v>0.61299999999999999</c:v>
                </c:pt>
                <c:pt idx="193">
                  <c:v>0.58640000000000003</c:v>
                </c:pt>
                <c:pt idx="194">
                  <c:v>0.54766666666660002</c:v>
                </c:pt>
                <c:pt idx="195">
                  <c:v>0.502</c:v>
                </c:pt>
                <c:pt idx="196">
                  <c:v>0.51100000000000001</c:v>
                </c:pt>
                <c:pt idx="197">
                  <c:v>0.47399999999999998</c:v>
                </c:pt>
                <c:pt idx="198">
                  <c:v>0.58199999999999996</c:v>
                </c:pt>
                <c:pt idx="199">
                  <c:v>0.52800000000000002</c:v>
                </c:pt>
                <c:pt idx="200">
                  <c:v>0.59899999999999998</c:v>
                </c:pt>
                <c:pt idx="201">
                  <c:v>0.64200000000000002</c:v>
                </c:pt>
                <c:pt idx="202">
                  <c:v>0.55800000000000005</c:v>
                </c:pt>
                <c:pt idx="203">
                  <c:v>0.60599999999999998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61-4253-B53D-683BDC17B209}"/>
            </c:ext>
          </c:extLst>
        </c:ser>
        <c:ser>
          <c:idx val="3"/>
          <c:order val="3"/>
          <c:tx>
            <c:strRef>
              <c:f>Longitude!$F$2</c:f>
              <c:strCache>
                <c:ptCount val="1"/>
                <c:pt idx="0">
                  <c:v>SSP1-2.6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Longitude!$A$3:$A$207</c:f>
              <c:numCache>
                <c:formatCode>General</c:formatCode>
                <c:ptCount val="20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-162</c:v>
                </c:pt>
                <c:pt idx="10">
                  <c:v>-140</c:v>
                </c:pt>
                <c:pt idx="11">
                  <c:v>-124</c:v>
                </c:pt>
                <c:pt idx="12">
                  <c:v>-123</c:v>
                </c:pt>
                <c:pt idx="13">
                  <c:v>-116</c:v>
                </c:pt>
                <c:pt idx="14">
                  <c:v>-115</c:v>
                </c:pt>
                <c:pt idx="15">
                  <c:v>-114</c:v>
                </c:pt>
                <c:pt idx="16">
                  <c:v>-113</c:v>
                </c:pt>
                <c:pt idx="17">
                  <c:v>-112</c:v>
                </c:pt>
                <c:pt idx="18">
                  <c:v>-111</c:v>
                </c:pt>
                <c:pt idx="19">
                  <c:v>-110</c:v>
                </c:pt>
                <c:pt idx="20">
                  <c:v>-109</c:v>
                </c:pt>
                <c:pt idx="21">
                  <c:v>-108</c:v>
                </c:pt>
                <c:pt idx="22">
                  <c:v>-107</c:v>
                </c:pt>
                <c:pt idx="23">
                  <c:v>-106</c:v>
                </c:pt>
                <c:pt idx="24">
                  <c:v>-105</c:v>
                </c:pt>
                <c:pt idx="25">
                  <c:v>-104</c:v>
                </c:pt>
                <c:pt idx="26">
                  <c:v>-103</c:v>
                </c:pt>
                <c:pt idx="27">
                  <c:v>-102</c:v>
                </c:pt>
                <c:pt idx="28">
                  <c:v>-98</c:v>
                </c:pt>
                <c:pt idx="29">
                  <c:v>-97</c:v>
                </c:pt>
                <c:pt idx="30">
                  <c:v>-96</c:v>
                </c:pt>
                <c:pt idx="31">
                  <c:v>-95</c:v>
                </c:pt>
                <c:pt idx="32">
                  <c:v>-94</c:v>
                </c:pt>
                <c:pt idx="33">
                  <c:v>-93</c:v>
                </c:pt>
                <c:pt idx="34">
                  <c:v>-92</c:v>
                </c:pt>
                <c:pt idx="35">
                  <c:v>-91</c:v>
                </c:pt>
                <c:pt idx="36">
                  <c:v>-90</c:v>
                </c:pt>
                <c:pt idx="37">
                  <c:v>-89</c:v>
                </c:pt>
                <c:pt idx="38">
                  <c:v>-88</c:v>
                </c:pt>
                <c:pt idx="39">
                  <c:v>-87</c:v>
                </c:pt>
                <c:pt idx="40">
                  <c:v>-86</c:v>
                </c:pt>
                <c:pt idx="41">
                  <c:v>-85</c:v>
                </c:pt>
                <c:pt idx="42">
                  <c:v>-84</c:v>
                </c:pt>
                <c:pt idx="43">
                  <c:v>-83</c:v>
                </c:pt>
                <c:pt idx="44">
                  <c:v>-82</c:v>
                </c:pt>
                <c:pt idx="45">
                  <c:v>-81</c:v>
                </c:pt>
                <c:pt idx="46">
                  <c:v>-80</c:v>
                </c:pt>
                <c:pt idx="47">
                  <c:v>-79</c:v>
                </c:pt>
                <c:pt idx="48">
                  <c:v>-78</c:v>
                </c:pt>
                <c:pt idx="49">
                  <c:v>-77</c:v>
                </c:pt>
                <c:pt idx="50">
                  <c:v>-76</c:v>
                </c:pt>
                <c:pt idx="51">
                  <c:v>-75</c:v>
                </c:pt>
                <c:pt idx="52">
                  <c:v>-74</c:v>
                </c:pt>
                <c:pt idx="53">
                  <c:v>-73</c:v>
                </c:pt>
                <c:pt idx="54">
                  <c:v>-72</c:v>
                </c:pt>
                <c:pt idx="55">
                  <c:v>-71</c:v>
                </c:pt>
                <c:pt idx="56">
                  <c:v>-70</c:v>
                </c:pt>
                <c:pt idx="57">
                  <c:v>-69</c:v>
                </c:pt>
                <c:pt idx="58">
                  <c:v>-68</c:v>
                </c:pt>
                <c:pt idx="59">
                  <c:v>-67</c:v>
                </c:pt>
                <c:pt idx="60">
                  <c:v>-66</c:v>
                </c:pt>
                <c:pt idx="61">
                  <c:v>-65</c:v>
                </c:pt>
                <c:pt idx="62">
                  <c:v>-64</c:v>
                </c:pt>
                <c:pt idx="63">
                  <c:v>-63</c:v>
                </c:pt>
                <c:pt idx="64">
                  <c:v>-62</c:v>
                </c:pt>
                <c:pt idx="65">
                  <c:v>-61</c:v>
                </c:pt>
                <c:pt idx="66">
                  <c:v>-59</c:v>
                </c:pt>
                <c:pt idx="67">
                  <c:v>-58</c:v>
                </c:pt>
                <c:pt idx="68">
                  <c:v>-57</c:v>
                </c:pt>
                <c:pt idx="69">
                  <c:v>-55</c:v>
                </c:pt>
                <c:pt idx="70">
                  <c:v>-54</c:v>
                </c:pt>
                <c:pt idx="71">
                  <c:v>-53</c:v>
                </c:pt>
                <c:pt idx="72">
                  <c:v>-52</c:v>
                </c:pt>
                <c:pt idx="73">
                  <c:v>-50</c:v>
                </c:pt>
                <c:pt idx="74">
                  <c:v>-48</c:v>
                </c:pt>
                <c:pt idx="75">
                  <c:v>-47</c:v>
                </c:pt>
                <c:pt idx="76">
                  <c:v>-44</c:v>
                </c:pt>
                <c:pt idx="77">
                  <c:v>-39</c:v>
                </c:pt>
                <c:pt idx="78">
                  <c:v>-23</c:v>
                </c:pt>
                <c:pt idx="79">
                  <c:v>-22</c:v>
                </c:pt>
                <c:pt idx="80">
                  <c:v>-17</c:v>
                </c:pt>
                <c:pt idx="81">
                  <c:v>-16</c:v>
                </c:pt>
                <c:pt idx="82">
                  <c:v>-15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-11</c:v>
                </c:pt>
                <c:pt idx="87">
                  <c:v>-10</c:v>
                </c:pt>
                <c:pt idx="88">
                  <c:v>-9</c:v>
                </c:pt>
                <c:pt idx="89">
                  <c:v>-8</c:v>
                </c:pt>
                <c:pt idx="90">
                  <c:v>-7</c:v>
                </c:pt>
                <c:pt idx="91">
                  <c:v>-6</c:v>
                </c:pt>
                <c:pt idx="92">
                  <c:v>-5</c:v>
                </c:pt>
                <c:pt idx="93">
                  <c:v>-4</c:v>
                </c:pt>
                <c:pt idx="94">
                  <c:v>-3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29</c:v>
                </c:pt>
                <c:pt idx="126">
                  <c:v>32</c:v>
                </c:pt>
                <c:pt idx="127">
                  <c:v>33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39</c:v>
                </c:pt>
                <c:pt idx="132">
                  <c:v>43</c:v>
                </c:pt>
                <c:pt idx="133">
                  <c:v>44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51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62</c:v>
                </c:pt>
                <c:pt idx="145">
                  <c:v>65</c:v>
                </c:pt>
                <c:pt idx="146">
                  <c:v>81</c:v>
                </c:pt>
                <c:pt idx="147">
                  <c:v>85</c:v>
                </c:pt>
                <c:pt idx="148">
                  <c:v>88</c:v>
                </c:pt>
                <c:pt idx="149">
                  <c:v>89</c:v>
                </c:pt>
                <c:pt idx="150">
                  <c:v>95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117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130</c:v>
                </c:pt>
                <c:pt idx="177">
                  <c:v>132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156</c:v>
                </c:pt>
                <c:pt idx="196">
                  <c:v>157</c:v>
                </c:pt>
                <c:pt idx="197">
                  <c:v>159</c:v>
                </c:pt>
                <c:pt idx="198">
                  <c:v>160</c:v>
                </c:pt>
                <c:pt idx="199">
                  <c:v>164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179</c:v>
                </c:pt>
                <c:pt idx="204">
                  <c:v>180</c:v>
                </c:pt>
              </c:numCache>
            </c:numRef>
          </c:cat>
          <c:val>
            <c:numRef>
              <c:f>Longitude!$F$3:$F$207</c:f>
              <c:numCache>
                <c:formatCode>0.00_ </c:formatCode>
                <c:ptCount val="205"/>
                <c:pt idx="7">
                  <c:v>0.45200000000000001</c:v>
                </c:pt>
                <c:pt idx="11">
                  <c:v>0.41525000000000001</c:v>
                </c:pt>
                <c:pt idx="12">
                  <c:v>0.255666666667</c:v>
                </c:pt>
                <c:pt idx="13">
                  <c:v>0.49399999999999999</c:v>
                </c:pt>
                <c:pt idx="14">
                  <c:v>0.43</c:v>
                </c:pt>
                <c:pt idx="15">
                  <c:v>0.48983333333333329</c:v>
                </c:pt>
                <c:pt idx="16">
                  <c:v>0.51300000000000001</c:v>
                </c:pt>
                <c:pt idx="17">
                  <c:v>0.52224999999999999</c:v>
                </c:pt>
                <c:pt idx="18">
                  <c:v>0.54866666666666675</c:v>
                </c:pt>
                <c:pt idx="19">
                  <c:v>0.50700000000000001</c:v>
                </c:pt>
                <c:pt idx="20">
                  <c:v>0.51</c:v>
                </c:pt>
                <c:pt idx="21">
                  <c:v>0.51</c:v>
                </c:pt>
                <c:pt idx="22">
                  <c:v>0.52200000000000002</c:v>
                </c:pt>
                <c:pt idx="23">
                  <c:v>0.54600000000000004</c:v>
                </c:pt>
                <c:pt idx="24">
                  <c:v>0.61471428571428566</c:v>
                </c:pt>
                <c:pt idx="25">
                  <c:v>0.66800000000000004</c:v>
                </c:pt>
                <c:pt idx="26">
                  <c:v>0.70599999999999996</c:v>
                </c:pt>
                <c:pt idx="27">
                  <c:v>0.72</c:v>
                </c:pt>
                <c:pt idx="28">
                  <c:v>0.67509999999999992</c:v>
                </c:pt>
                <c:pt idx="29">
                  <c:v>0.64700000000000002</c:v>
                </c:pt>
                <c:pt idx="30">
                  <c:v>0.53239999999999998</c:v>
                </c:pt>
                <c:pt idx="31">
                  <c:v>0.51</c:v>
                </c:pt>
                <c:pt idx="32">
                  <c:v>0.55800000000000005</c:v>
                </c:pt>
                <c:pt idx="33">
                  <c:v>0.53400000000000003</c:v>
                </c:pt>
                <c:pt idx="34">
                  <c:v>0.54869999999999997</c:v>
                </c:pt>
                <c:pt idx="35">
                  <c:v>0.57150000000000001</c:v>
                </c:pt>
                <c:pt idx="36">
                  <c:v>0.59587499999999993</c:v>
                </c:pt>
                <c:pt idx="37">
                  <c:v>0.59210000000000007</c:v>
                </c:pt>
                <c:pt idx="38">
                  <c:v>0.73083333333333333</c:v>
                </c:pt>
                <c:pt idx="39">
                  <c:v>0.65366666666666673</c:v>
                </c:pt>
                <c:pt idx="40">
                  <c:v>0.50466666666666671</c:v>
                </c:pt>
                <c:pt idx="41">
                  <c:v>0.57320000000000004</c:v>
                </c:pt>
                <c:pt idx="42">
                  <c:v>0.39</c:v>
                </c:pt>
                <c:pt idx="43">
                  <c:v>0.53100000000000003</c:v>
                </c:pt>
                <c:pt idx="44">
                  <c:v>0.48266666666666658</c:v>
                </c:pt>
                <c:pt idx="45">
                  <c:v>0.52259999999999995</c:v>
                </c:pt>
                <c:pt idx="46">
                  <c:v>0.23749999999999999</c:v>
                </c:pt>
                <c:pt idx="47">
                  <c:v>0.50800000000000001</c:v>
                </c:pt>
                <c:pt idx="48">
                  <c:v>0.47591666666666671</c:v>
                </c:pt>
                <c:pt idx="49">
                  <c:v>0.46200000000000002</c:v>
                </c:pt>
                <c:pt idx="50">
                  <c:v>0.5625</c:v>
                </c:pt>
                <c:pt idx="51">
                  <c:v>0.62424999999999997</c:v>
                </c:pt>
                <c:pt idx="52">
                  <c:v>0.40375</c:v>
                </c:pt>
                <c:pt idx="53">
                  <c:v>0.52400000000000002</c:v>
                </c:pt>
                <c:pt idx="54">
                  <c:v>0.32450000000000001</c:v>
                </c:pt>
                <c:pt idx="55">
                  <c:v>0.33666666666666673</c:v>
                </c:pt>
                <c:pt idx="56">
                  <c:v>0.52100000000000002</c:v>
                </c:pt>
                <c:pt idx="57">
                  <c:v>0.38892857142857151</c:v>
                </c:pt>
                <c:pt idx="58">
                  <c:v>0.45133333333333342</c:v>
                </c:pt>
                <c:pt idx="59">
                  <c:v>0.51400000000000001</c:v>
                </c:pt>
                <c:pt idx="60">
                  <c:v>0.46500000000000002</c:v>
                </c:pt>
                <c:pt idx="61">
                  <c:v>0.57383333333333331</c:v>
                </c:pt>
                <c:pt idx="62">
                  <c:v>0.54066666666666674</c:v>
                </c:pt>
                <c:pt idx="63">
                  <c:v>0.49375000000000002</c:v>
                </c:pt>
                <c:pt idx="64">
                  <c:v>0.42283333333333328</c:v>
                </c:pt>
                <c:pt idx="65">
                  <c:v>0.45600000000000002</c:v>
                </c:pt>
                <c:pt idx="66">
                  <c:v>0.45333333333333331</c:v>
                </c:pt>
                <c:pt idx="67">
                  <c:v>-6.2552333333333996</c:v>
                </c:pt>
                <c:pt idx="68">
                  <c:v>0.36366666666666658</c:v>
                </c:pt>
                <c:pt idx="70">
                  <c:v>0.39924999999999999</c:v>
                </c:pt>
                <c:pt idx="71">
                  <c:v>0.51899999999999991</c:v>
                </c:pt>
                <c:pt idx="72">
                  <c:v>0.48</c:v>
                </c:pt>
                <c:pt idx="74">
                  <c:v>0.55049999999999999</c:v>
                </c:pt>
                <c:pt idx="78">
                  <c:v>0.49199999999999999</c:v>
                </c:pt>
                <c:pt idx="80">
                  <c:v>0.46174999999999999</c:v>
                </c:pt>
                <c:pt idx="81">
                  <c:v>0.45066666666666672</c:v>
                </c:pt>
                <c:pt idx="82">
                  <c:v>0.45233333333333331</c:v>
                </c:pt>
                <c:pt idx="83">
                  <c:v>0.45400000000000001</c:v>
                </c:pt>
                <c:pt idx="84">
                  <c:v>0.47099999999999997</c:v>
                </c:pt>
                <c:pt idx="85">
                  <c:v>0.46500000000000002</c:v>
                </c:pt>
                <c:pt idx="86">
                  <c:v>0.47149999999999997</c:v>
                </c:pt>
                <c:pt idx="87">
                  <c:v>0.45466666666666672</c:v>
                </c:pt>
                <c:pt idx="88">
                  <c:v>0.45435714285714279</c:v>
                </c:pt>
                <c:pt idx="89">
                  <c:v>0.47039999999999998</c:v>
                </c:pt>
                <c:pt idx="90">
                  <c:v>0.38205555555550003</c:v>
                </c:pt>
                <c:pt idx="91">
                  <c:v>0.38334782608695661</c:v>
                </c:pt>
                <c:pt idx="92">
                  <c:v>0.38037500000000002</c:v>
                </c:pt>
                <c:pt idx="93">
                  <c:v>0.37888888888888889</c:v>
                </c:pt>
                <c:pt idx="94">
                  <c:v>0.40560317460319051</c:v>
                </c:pt>
                <c:pt idx="95">
                  <c:v>0.406031249999875</c:v>
                </c:pt>
                <c:pt idx="96">
                  <c:v>0.42840277777774999</c:v>
                </c:pt>
                <c:pt idx="97">
                  <c:v>0.46542857142857141</c:v>
                </c:pt>
                <c:pt idx="98">
                  <c:v>0.46456140350852632</c:v>
                </c:pt>
                <c:pt idx="99">
                  <c:v>0.49399999999999999</c:v>
                </c:pt>
                <c:pt idx="100">
                  <c:v>0.44140000000000001</c:v>
                </c:pt>
                <c:pt idx="101">
                  <c:v>0.4719545454545454</c:v>
                </c:pt>
                <c:pt idx="102">
                  <c:v>0.451125</c:v>
                </c:pt>
                <c:pt idx="103">
                  <c:v>0.44641666666666668</c:v>
                </c:pt>
                <c:pt idx="104">
                  <c:v>0.42249999999999999</c:v>
                </c:pt>
                <c:pt idx="105">
                  <c:v>0.4578627450980588</c:v>
                </c:pt>
                <c:pt idx="106">
                  <c:v>0.45429999999999998</c:v>
                </c:pt>
                <c:pt idx="107">
                  <c:v>0.42265079365076191</c:v>
                </c:pt>
                <c:pt idx="108">
                  <c:v>0.40084615384615391</c:v>
                </c:pt>
                <c:pt idx="109">
                  <c:v>0.39982352941176469</c:v>
                </c:pt>
                <c:pt idx="110">
                  <c:v>0.38473750000000001</c:v>
                </c:pt>
                <c:pt idx="111">
                  <c:v>0.44900000000000001</c:v>
                </c:pt>
                <c:pt idx="112">
                  <c:v>0.46500000000000002</c:v>
                </c:pt>
                <c:pt idx="113">
                  <c:v>0.34442857142857142</c:v>
                </c:pt>
                <c:pt idx="114">
                  <c:v>0.34</c:v>
                </c:pt>
                <c:pt idx="115">
                  <c:v>0.45724999999999999</c:v>
                </c:pt>
                <c:pt idx="116">
                  <c:v>0.42230000000000001</c:v>
                </c:pt>
                <c:pt idx="117">
                  <c:v>0.48499999999999999</c:v>
                </c:pt>
                <c:pt idx="118">
                  <c:v>0.48125000000000001</c:v>
                </c:pt>
                <c:pt idx="119">
                  <c:v>0.40949999999999998</c:v>
                </c:pt>
                <c:pt idx="120">
                  <c:v>0.30380000000000001</c:v>
                </c:pt>
                <c:pt idx="121">
                  <c:v>0.19600000000000001</c:v>
                </c:pt>
                <c:pt idx="122">
                  <c:v>0.26933333333333342</c:v>
                </c:pt>
                <c:pt idx="123">
                  <c:v>0.41799999999999998</c:v>
                </c:pt>
                <c:pt idx="124">
                  <c:v>0.309</c:v>
                </c:pt>
                <c:pt idx="126">
                  <c:v>0.45600000000000002</c:v>
                </c:pt>
                <c:pt idx="127">
                  <c:v>0.46639999999999998</c:v>
                </c:pt>
                <c:pt idx="128">
                  <c:v>0.41199999999999998</c:v>
                </c:pt>
                <c:pt idx="129">
                  <c:v>0.43099999999999999</c:v>
                </c:pt>
                <c:pt idx="130">
                  <c:v>0.41099999999999998</c:v>
                </c:pt>
                <c:pt idx="131">
                  <c:v>0.45700000000000002</c:v>
                </c:pt>
                <c:pt idx="133">
                  <c:v>0.48740000000000011</c:v>
                </c:pt>
                <c:pt idx="134">
                  <c:v>0.47699999999999998</c:v>
                </c:pt>
                <c:pt idx="136">
                  <c:v>0.4</c:v>
                </c:pt>
                <c:pt idx="137">
                  <c:v>0.372</c:v>
                </c:pt>
                <c:pt idx="138">
                  <c:v>0.372</c:v>
                </c:pt>
                <c:pt idx="139">
                  <c:v>0.41649999999999998</c:v>
                </c:pt>
                <c:pt idx="140">
                  <c:v>0.38700000000000001</c:v>
                </c:pt>
                <c:pt idx="141">
                  <c:v>0.35599999999999998</c:v>
                </c:pt>
                <c:pt idx="142">
                  <c:v>0.35899999999999999</c:v>
                </c:pt>
                <c:pt idx="143">
                  <c:v>0.378</c:v>
                </c:pt>
                <c:pt idx="145">
                  <c:v>0.52600000000000002</c:v>
                </c:pt>
                <c:pt idx="146">
                  <c:v>0.45100000000000001</c:v>
                </c:pt>
                <c:pt idx="147">
                  <c:v>0.38600000000000001</c:v>
                </c:pt>
                <c:pt idx="149">
                  <c:v>0.47049999999999997</c:v>
                </c:pt>
                <c:pt idx="150">
                  <c:v>0.436</c:v>
                </c:pt>
                <c:pt idx="151">
                  <c:v>0.41399999999999998</c:v>
                </c:pt>
                <c:pt idx="152">
                  <c:v>0.44866666666666671</c:v>
                </c:pt>
                <c:pt idx="153">
                  <c:v>0.44724999999999998</c:v>
                </c:pt>
                <c:pt idx="154">
                  <c:v>0.42149999999999999</c:v>
                </c:pt>
                <c:pt idx="155">
                  <c:v>0.441</c:v>
                </c:pt>
                <c:pt idx="156">
                  <c:v>0.442</c:v>
                </c:pt>
                <c:pt idx="157">
                  <c:v>0.44800000000000001</c:v>
                </c:pt>
                <c:pt idx="158">
                  <c:v>0.42199999999999999</c:v>
                </c:pt>
                <c:pt idx="159">
                  <c:v>0.42666666666666669</c:v>
                </c:pt>
                <c:pt idx="160">
                  <c:v>0.44124999999999998</c:v>
                </c:pt>
                <c:pt idx="161">
                  <c:v>0.41849999999999998</c:v>
                </c:pt>
                <c:pt idx="162">
                  <c:v>0.44700000000000001</c:v>
                </c:pt>
                <c:pt idx="163">
                  <c:v>0.41499999999999998</c:v>
                </c:pt>
                <c:pt idx="164">
                  <c:v>0.44409375000000001</c:v>
                </c:pt>
                <c:pt idx="165">
                  <c:v>0.439</c:v>
                </c:pt>
                <c:pt idx="166">
                  <c:v>0.434</c:v>
                </c:pt>
                <c:pt idx="167">
                  <c:v>0.38500000000000001</c:v>
                </c:pt>
                <c:pt idx="168">
                  <c:v>0.45550000000000002</c:v>
                </c:pt>
                <c:pt idx="169">
                  <c:v>0.43149999999999999</c:v>
                </c:pt>
                <c:pt idx="170">
                  <c:v>0.47225000000000011</c:v>
                </c:pt>
                <c:pt idx="171">
                  <c:v>0.48299999999999998</c:v>
                </c:pt>
                <c:pt idx="172">
                  <c:v>0.48499999999999999</c:v>
                </c:pt>
                <c:pt idx="173">
                  <c:v>0.51800000000000002</c:v>
                </c:pt>
                <c:pt idx="174">
                  <c:v>0.43874999999999997</c:v>
                </c:pt>
                <c:pt idx="175">
                  <c:v>0.45222222222199998</c:v>
                </c:pt>
                <c:pt idx="176">
                  <c:v>0.48753571428550002</c:v>
                </c:pt>
                <c:pt idx="177">
                  <c:v>0.47399999999999998</c:v>
                </c:pt>
                <c:pt idx="178">
                  <c:v>0.503</c:v>
                </c:pt>
                <c:pt idx="179">
                  <c:v>0.45400000000000001</c:v>
                </c:pt>
                <c:pt idx="180">
                  <c:v>0.49287500000000001</c:v>
                </c:pt>
                <c:pt idx="181">
                  <c:v>0.32224999999999998</c:v>
                </c:pt>
                <c:pt idx="182">
                  <c:v>0.497</c:v>
                </c:pt>
                <c:pt idx="183">
                  <c:v>0.42299999999999999</c:v>
                </c:pt>
                <c:pt idx="184">
                  <c:v>0.38733333333333331</c:v>
                </c:pt>
                <c:pt idx="185">
                  <c:v>0.52516666666675005</c:v>
                </c:pt>
                <c:pt idx="186">
                  <c:v>0.42399999999999999</c:v>
                </c:pt>
                <c:pt idx="187">
                  <c:v>0.41875000000000001</c:v>
                </c:pt>
                <c:pt idx="188">
                  <c:v>0.41549999999999998</c:v>
                </c:pt>
                <c:pt idx="189">
                  <c:v>0.47533333333299999</c:v>
                </c:pt>
                <c:pt idx="190">
                  <c:v>0.38833333333333342</c:v>
                </c:pt>
                <c:pt idx="192">
                  <c:v>0.49199999999999999</c:v>
                </c:pt>
                <c:pt idx="193">
                  <c:v>0.4496</c:v>
                </c:pt>
                <c:pt idx="194">
                  <c:v>0.4269333333334</c:v>
                </c:pt>
                <c:pt idx="195">
                  <c:v>0.39600000000000002</c:v>
                </c:pt>
                <c:pt idx="196">
                  <c:v>0.40799999999999997</c:v>
                </c:pt>
                <c:pt idx="197">
                  <c:v>0.36799999999999999</c:v>
                </c:pt>
                <c:pt idx="198">
                  <c:v>0.46600000000000003</c:v>
                </c:pt>
                <c:pt idx="199">
                  <c:v>0.40600000000000003</c:v>
                </c:pt>
                <c:pt idx="200">
                  <c:v>0.48</c:v>
                </c:pt>
                <c:pt idx="201">
                  <c:v>0.53800000000000003</c:v>
                </c:pt>
                <c:pt idx="202">
                  <c:v>0.41199999999999998</c:v>
                </c:pt>
                <c:pt idx="203">
                  <c:v>0.47899999999999998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61-4253-B53D-683BDC17B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2486367"/>
        <c:axId val="1642484703"/>
      </c:barChart>
      <c:catAx>
        <c:axId val="16424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2484703"/>
        <c:crosses val="autoZero"/>
        <c:auto val="1"/>
        <c:lblAlgn val="ctr"/>
        <c:lblOffset val="100"/>
        <c:tickMarkSkip val="15"/>
        <c:noMultiLvlLbl val="0"/>
      </c:catAx>
      <c:valAx>
        <c:axId val="164248470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sEA level rise(m)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2486367"/>
        <c:crosses val="autoZero"/>
        <c:crossBetween val="between"/>
        <c:majorUnit val="0.70000000000000007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Latitude!$E$2</c:f>
              <c:strCache>
                <c:ptCount val="1"/>
                <c:pt idx="0">
                  <c:v>SSP5-8.5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Latitude!$E$3:$E$114</c:f>
              <c:numCache>
                <c:formatCode>0.00_ </c:formatCode>
                <c:ptCount val="112"/>
                <c:pt idx="5">
                  <c:v>4.1100000000000003</c:v>
                </c:pt>
                <c:pt idx="6">
                  <c:v>4.87</c:v>
                </c:pt>
                <c:pt idx="7">
                  <c:v>4.5199999999999996</c:v>
                </c:pt>
                <c:pt idx="8">
                  <c:v>4.25</c:v>
                </c:pt>
                <c:pt idx="9">
                  <c:v>3.02</c:v>
                </c:pt>
                <c:pt idx="10">
                  <c:v>2.87</c:v>
                </c:pt>
                <c:pt idx="11">
                  <c:v>3.47</c:v>
                </c:pt>
                <c:pt idx="12">
                  <c:v>3.875</c:v>
                </c:pt>
                <c:pt idx="13">
                  <c:v>4.37</c:v>
                </c:pt>
                <c:pt idx="14">
                  <c:v>4.3499999999999996</c:v>
                </c:pt>
                <c:pt idx="15">
                  <c:v>4.25</c:v>
                </c:pt>
                <c:pt idx="16">
                  <c:v>3.8450000000000002</c:v>
                </c:pt>
                <c:pt idx="17">
                  <c:v>4.8757142857142863</c:v>
                </c:pt>
                <c:pt idx="18">
                  <c:v>4.72</c:v>
                </c:pt>
                <c:pt idx="19">
                  <c:v>4.82</c:v>
                </c:pt>
                <c:pt idx="20">
                  <c:v>4.7650000000000006</c:v>
                </c:pt>
                <c:pt idx="21">
                  <c:v>4.5566666666666666</c:v>
                </c:pt>
                <c:pt idx="22">
                  <c:v>4.6211111111111114</c:v>
                </c:pt>
                <c:pt idx="23">
                  <c:v>4.2879999999999994</c:v>
                </c:pt>
                <c:pt idx="24">
                  <c:v>4.8433333333333337</c:v>
                </c:pt>
                <c:pt idx="25">
                  <c:v>3.62</c:v>
                </c:pt>
                <c:pt idx="26">
                  <c:v>4.66</c:v>
                </c:pt>
                <c:pt idx="27">
                  <c:v>4.5716666666666672</c:v>
                </c:pt>
                <c:pt idx="28">
                  <c:v>6.02</c:v>
                </c:pt>
                <c:pt idx="29">
                  <c:v>4.9383333333333326</c:v>
                </c:pt>
                <c:pt idx="30">
                  <c:v>4.8099999999999996</c:v>
                </c:pt>
                <c:pt idx="31">
                  <c:v>5.2766666666666664</c:v>
                </c:pt>
                <c:pt idx="32">
                  <c:v>4.4349999999999996</c:v>
                </c:pt>
                <c:pt idx="33">
                  <c:v>3.9550000000000001</c:v>
                </c:pt>
                <c:pt idx="34">
                  <c:v>4.7300000000000004</c:v>
                </c:pt>
                <c:pt idx="35">
                  <c:v>4.4459999999999997</c:v>
                </c:pt>
                <c:pt idx="36">
                  <c:v>4.3949999999999996</c:v>
                </c:pt>
                <c:pt idx="38">
                  <c:v>5.085</c:v>
                </c:pt>
                <c:pt idx="39">
                  <c:v>4.0150000000000006</c:v>
                </c:pt>
                <c:pt idx="40">
                  <c:v>4.9849999999999994</c:v>
                </c:pt>
                <c:pt idx="42">
                  <c:v>4.0650000000000004</c:v>
                </c:pt>
                <c:pt idx="43">
                  <c:v>4.25</c:v>
                </c:pt>
                <c:pt idx="44">
                  <c:v>4.4880000000000004</c:v>
                </c:pt>
                <c:pt idx="45">
                  <c:v>3.81</c:v>
                </c:pt>
                <c:pt idx="46">
                  <c:v>3.83</c:v>
                </c:pt>
                <c:pt idx="47">
                  <c:v>4.7200000000000006</c:v>
                </c:pt>
                <c:pt idx="48">
                  <c:v>4.4424999999999999</c:v>
                </c:pt>
                <c:pt idx="49">
                  <c:v>4.72</c:v>
                </c:pt>
                <c:pt idx="50">
                  <c:v>4.9249999999999998</c:v>
                </c:pt>
                <c:pt idx="51">
                  <c:v>4.572857142857143</c:v>
                </c:pt>
                <c:pt idx="52">
                  <c:v>4.92</c:v>
                </c:pt>
                <c:pt idx="53">
                  <c:v>4.7699999999999996</c:v>
                </c:pt>
                <c:pt idx="54">
                  <c:v>4.92</c:v>
                </c:pt>
                <c:pt idx="55">
                  <c:v>4.835</c:v>
                </c:pt>
                <c:pt idx="56">
                  <c:v>4.6114285714285712</c:v>
                </c:pt>
                <c:pt idx="57">
                  <c:v>4.4033333333333333</c:v>
                </c:pt>
                <c:pt idx="58">
                  <c:v>4.32</c:v>
                </c:pt>
                <c:pt idx="59">
                  <c:v>4.218571428571428</c:v>
                </c:pt>
                <c:pt idx="60">
                  <c:v>4.4749999999999996</c:v>
                </c:pt>
                <c:pt idx="61">
                  <c:v>4.2843749999999998</c:v>
                </c:pt>
                <c:pt idx="62">
                  <c:v>4.0914285714285716</c:v>
                </c:pt>
                <c:pt idx="63">
                  <c:v>4.2066666666666661</c:v>
                </c:pt>
                <c:pt idx="64">
                  <c:v>4.1133333333333333</c:v>
                </c:pt>
                <c:pt idx="65">
                  <c:v>3.7450000000000001</c:v>
                </c:pt>
                <c:pt idx="66">
                  <c:v>4.1056249999999999</c:v>
                </c:pt>
                <c:pt idx="67">
                  <c:v>3.6549999999999998</c:v>
                </c:pt>
                <c:pt idx="68">
                  <c:v>4.4916666666666663</c:v>
                </c:pt>
                <c:pt idx="69">
                  <c:v>4.455000000000001</c:v>
                </c:pt>
                <c:pt idx="70">
                  <c:v>4.2206666666666672</c:v>
                </c:pt>
                <c:pt idx="71">
                  <c:v>4.3537499999999998</c:v>
                </c:pt>
                <c:pt idx="72">
                  <c:v>4.1704761904761911</c:v>
                </c:pt>
                <c:pt idx="73">
                  <c:v>3.7454545454545451</c:v>
                </c:pt>
                <c:pt idx="74">
                  <c:v>4.2</c:v>
                </c:pt>
                <c:pt idx="75">
                  <c:v>5.0266666666666664</c:v>
                </c:pt>
                <c:pt idx="76">
                  <c:v>5.2133333333333338</c:v>
                </c:pt>
                <c:pt idx="77">
                  <c:v>4.668000000000001</c:v>
                </c:pt>
                <c:pt idx="78">
                  <c:v>4.6009090909090906</c:v>
                </c:pt>
                <c:pt idx="79">
                  <c:v>4.1774999999999993</c:v>
                </c:pt>
                <c:pt idx="80">
                  <c:v>6.4249999999999998</c:v>
                </c:pt>
                <c:pt idx="81">
                  <c:v>4.3983333333333334</c:v>
                </c:pt>
                <c:pt idx="82">
                  <c:v>5.9862500000000001</c:v>
                </c:pt>
                <c:pt idx="83">
                  <c:v>2.8925000000000001</c:v>
                </c:pt>
                <c:pt idx="84">
                  <c:v>6.2676923076923083</c:v>
                </c:pt>
                <c:pt idx="85">
                  <c:v>5.3261538461538454</c:v>
                </c:pt>
                <c:pt idx="86">
                  <c:v>5.3408333333333333</c:v>
                </c:pt>
                <c:pt idx="87">
                  <c:v>5.7555000000000014</c:v>
                </c:pt>
                <c:pt idx="88">
                  <c:v>4.8469230769230771</c:v>
                </c:pt>
                <c:pt idx="89">
                  <c:v>4.75</c:v>
                </c:pt>
                <c:pt idx="90">
                  <c:v>6.0145454545454546</c:v>
                </c:pt>
                <c:pt idx="91">
                  <c:v>5.7925000000000004</c:v>
                </c:pt>
                <c:pt idx="92">
                  <c:v>5.8824999999999994</c:v>
                </c:pt>
                <c:pt idx="93">
                  <c:v>4.621666666666667</c:v>
                </c:pt>
                <c:pt idx="94">
                  <c:v>4.9969999999999999</c:v>
                </c:pt>
                <c:pt idx="95">
                  <c:v>5.5666666666666664</c:v>
                </c:pt>
                <c:pt idx="96">
                  <c:v>5.6066666666666656</c:v>
                </c:pt>
                <c:pt idx="97">
                  <c:v>4.6050000000000004</c:v>
                </c:pt>
                <c:pt idx="98">
                  <c:v>4.7516666666666669</c:v>
                </c:pt>
                <c:pt idx="99">
                  <c:v>4.8899999999999997</c:v>
                </c:pt>
                <c:pt idx="100">
                  <c:v>4.0936363636363646</c:v>
                </c:pt>
                <c:pt idx="101">
                  <c:v>4.128333333333333</c:v>
                </c:pt>
                <c:pt idx="102">
                  <c:v>4.4641935483870956</c:v>
                </c:pt>
                <c:pt idx="103">
                  <c:v>4.0438888888888886</c:v>
                </c:pt>
                <c:pt idx="104">
                  <c:v>4.1792857142857143</c:v>
                </c:pt>
                <c:pt idx="105">
                  <c:v>4.4803448275862072</c:v>
                </c:pt>
                <c:pt idx="106">
                  <c:v>4.7491304347826091</c:v>
                </c:pt>
                <c:pt idx="107">
                  <c:v>4.9731249999999996</c:v>
                </c:pt>
                <c:pt idx="108">
                  <c:v>4.8409999999999993</c:v>
                </c:pt>
                <c:pt idx="109">
                  <c:v>5.5039999999999996</c:v>
                </c:pt>
                <c:pt idx="110">
                  <c:v>5.56</c:v>
                </c:pt>
                <c:pt idx="111">
                  <c:v>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BB-4D43-8BAB-35D996F18225}"/>
            </c:ext>
          </c:extLst>
        </c:ser>
        <c:ser>
          <c:idx val="2"/>
          <c:order val="1"/>
          <c:tx>
            <c:strRef>
              <c:f>Latitude!$D$2</c:f>
              <c:strCache>
                <c:ptCount val="1"/>
                <c:pt idx="0">
                  <c:v>SSP3-7.0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Latitude!$D$3:$D$114</c:f>
              <c:numCache>
                <c:formatCode>0.00_ </c:formatCode>
                <c:ptCount val="112"/>
                <c:pt idx="5">
                  <c:v>3.25</c:v>
                </c:pt>
                <c:pt idx="6">
                  <c:v>3.64</c:v>
                </c:pt>
                <c:pt idx="7">
                  <c:v>3.395</c:v>
                </c:pt>
                <c:pt idx="8">
                  <c:v>3.2</c:v>
                </c:pt>
                <c:pt idx="9">
                  <c:v>2.48</c:v>
                </c:pt>
                <c:pt idx="10">
                  <c:v>2.16</c:v>
                </c:pt>
                <c:pt idx="11">
                  <c:v>2.5449999999999999</c:v>
                </c:pt>
                <c:pt idx="12">
                  <c:v>2.9049999999999998</c:v>
                </c:pt>
                <c:pt idx="13">
                  <c:v>3.336666666666666</c:v>
                </c:pt>
                <c:pt idx="14">
                  <c:v>3.32</c:v>
                </c:pt>
                <c:pt idx="15">
                  <c:v>3.2633333333333332</c:v>
                </c:pt>
                <c:pt idx="16">
                  <c:v>2.81</c:v>
                </c:pt>
                <c:pt idx="17">
                  <c:v>4.0414285714285727</c:v>
                </c:pt>
                <c:pt idx="18">
                  <c:v>3.29</c:v>
                </c:pt>
                <c:pt idx="19">
                  <c:v>3.17</c:v>
                </c:pt>
                <c:pt idx="20">
                  <c:v>3.6749999999999998</c:v>
                </c:pt>
                <c:pt idx="21">
                  <c:v>3.59</c:v>
                </c:pt>
                <c:pt idx="22">
                  <c:v>3.7955555555555551</c:v>
                </c:pt>
                <c:pt idx="23">
                  <c:v>3.49</c:v>
                </c:pt>
                <c:pt idx="24">
                  <c:v>4.1166666666666671</c:v>
                </c:pt>
                <c:pt idx="25">
                  <c:v>2.9</c:v>
                </c:pt>
                <c:pt idx="26">
                  <c:v>3.69</c:v>
                </c:pt>
                <c:pt idx="27">
                  <c:v>3.9916666666666671</c:v>
                </c:pt>
                <c:pt idx="28">
                  <c:v>5.03</c:v>
                </c:pt>
                <c:pt idx="29">
                  <c:v>4.0799999999999992</c:v>
                </c:pt>
                <c:pt idx="30">
                  <c:v>3.8966666666666669</c:v>
                </c:pt>
                <c:pt idx="31">
                  <c:v>4.1766666666666667</c:v>
                </c:pt>
                <c:pt idx="32">
                  <c:v>3.585</c:v>
                </c:pt>
                <c:pt idx="33">
                  <c:v>2.98</c:v>
                </c:pt>
                <c:pt idx="34">
                  <c:v>3.4533333333333331</c:v>
                </c:pt>
                <c:pt idx="35">
                  <c:v>3.2040000000000002</c:v>
                </c:pt>
                <c:pt idx="36">
                  <c:v>3.5024999999999999</c:v>
                </c:pt>
                <c:pt idx="38">
                  <c:v>3.9</c:v>
                </c:pt>
                <c:pt idx="39">
                  <c:v>3.33</c:v>
                </c:pt>
                <c:pt idx="40">
                  <c:v>3.51</c:v>
                </c:pt>
                <c:pt idx="42">
                  <c:v>3.085</c:v>
                </c:pt>
                <c:pt idx="43">
                  <c:v>3.07</c:v>
                </c:pt>
                <c:pt idx="44">
                  <c:v>3.3660000000000001</c:v>
                </c:pt>
                <c:pt idx="45">
                  <c:v>3.06</c:v>
                </c:pt>
                <c:pt idx="46">
                  <c:v>3.34</c:v>
                </c:pt>
                <c:pt idx="47">
                  <c:v>3.5225</c:v>
                </c:pt>
                <c:pt idx="48">
                  <c:v>3.3325</c:v>
                </c:pt>
                <c:pt idx="49">
                  <c:v>3.6066666666666669</c:v>
                </c:pt>
                <c:pt idx="50">
                  <c:v>3.61</c:v>
                </c:pt>
                <c:pt idx="51">
                  <c:v>3.4828571428571431</c:v>
                </c:pt>
                <c:pt idx="52">
                  <c:v>3.77</c:v>
                </c:pt>
                <c:pt idx="53">
                  <c:v>3.66</c:v>
                </c:pt>
                <c:pt idx="54">
                  <c:v>3.71</c:v>
                </c:pt>
                <c:pt idx="55">
                  <c:v>3.5249999999999999</c:v>
                </c:pt>
                <c:pt idx="56">
                  <c:v>3.39</c:v>
                </c:pt>
                <c:pt idx="57">
                  <c:v>3.3066666666666671</c:v>
                </c:pt>
                <c:pt idx="58">
                  <c:v>3.4042857142857139</c:v>
                </c:pt>
                <c:pt idx="59">
                  <c:v>3.2085714285714282</c:v>
                </c:pt>
                <c:pt idx="60">
                  <c:v>3.4039999999999999</c:v>
                </c:pt>
                <c:pt idx="61">
                  <c:v>3.2137500000000001</c:v>
                </c:pt>
                <c:pt idx="62">
                  <c:v>2.911428571428571</c:v>
                </c:pt>
                <c:pt idx="63">
                  <c:v>2.940666666666667</c:v>
                </c:pt>
                <c:pt idx="64">
                  <c:v>3.2475000000000001</c:v>
                </c:pt>
                <c:pt idx="65">
                  <c:v>2.8883333333333332</c:v>
                </c:pt>
                <c:pt idx="66">
                  <c:v>3.0968749999999998</c:v>
                </c:pt>
                <c:pt idx="67">
                  <c:v>2.5274999999999999</c:v>
                </c:pt>
                <c:pt idx="68">
                  <c:v>3.254999999999999</c:v>
                </c:pt>
                <c:pt idx="69">
                  <c:v>3.1314285714285721</c:v>
                </c:pt>
                <c:pt idx="70">
                  <c:v>3.2313333333333341</c:v>
                </c:pt>
                <c:pt idx="71">
                  <c:v>3.055625</c:v>
                </c:pt>
                <c:pt idx="72">
                  <c:v>3.0809523809523811</c:v>
                </c:pt>
                <c:pt idx="73">
                  <c:v>2.92</c:v>
                </c:pt>
                <c:pt idx="74">
                  <c:v>2.8683333333333341</c:v>
                </c:pt>
                <c:pt idx="75">
                  <c:v>3.6233333333333331</c:v>
                </c:pt>
                <c:pt idx="76">
                  <c:v>3.8411111111111111</c:v>
                </c:pt>
                <c:pt idx="77">
                  <c:v>3.3849999999999998</c:v>
                </c:pt>
                <c:pt idx="78">
                  <c:v>3.3254545454545461</c:v>
                </c:pt>
                <c:pt idx="79">
                  <c:v>2.69</c:v>
                </c:pt>
                <c:pt idx="80">
                  <c:v>4.2850000000000001</c:v>
                </c:pt>
                <c:pt idx="81">
                  <c:v>2.8883333333333341</c:v>
                </c:pt>
                <c:pt idx="82">
                  <c:v>4.4625000000000004</c:v>
                </c:pt>
                <c:pt idx="83">
                  <c:v>2.1875</c:v>
                </c:pt>
                <c:pt idx="84">
                  <c:v>4.3376923076923077</c:v>
                </c:pt>
                <c:pt idx="85">
                  <c:v>3.5815384615384618</c:v>
                </c:pt>
                <c:pt idx="86">
                  <c:v>3.561666666666667</c:v>
                </c:pt>
                <c:pt idx="87">
                  <c:v>4.1130000000000013</c:v>
                </c:pt>
                <c:pt idx="88">
                  <c:v>3.3469230769230771</c:v>
                </c:pt>
                <c:pt idx="89">
                  <c:v>2.8864285714285711</c:v>
                </c:pt>
                <c:pt idx="90">
                  <c:v>4.3445454545454547</c:v>
                </c:pt>
                <c:pt idx="91">
                  <c:v>3.7512500000000002</c:v>
                </c:pt>
                <c:pt idx="92">
                  <c:v>4.2649999999999997</c:v>
                </c:pt>
                <c:pt idx="93">
                  <c:v>3.061666666666667</c:v>
                </c:pt>
                <c:pt idx="94">
                  <c:v>3.1295000000000002</c:v>
                </c:pt>
                <c:pt idx="95">
                  <c:v>4.0355555555555558</c:v>
                </c:pt>
                <c:pt idx="96">
                  <c:v>4.2124999999999986</c:v>
                </c:pt>
                <c:pt idx="97">
                  <c:v>3.4125000000000001</c:v>
                </c:pt>
                <c:pt idx="98">
                  <c:v>3.8</c:v>
                </c:pt>
                <c:pt idx="99">
                  <c:v>3.76</c:v>
                </c:pt>
                <c:pt idx="100">
                  <c:v>2.7881818181818181</c:v>
                </c:pt>
                <c:pt idx="101">
                  <c:v>2.8824999999999998</c:v>
                </c:pt>
                <c:pt idx="102">
                  <c:v>3.225806451612903</c:v>
                </c:pt>
                <c:pt idx="103">
                  <c:v>2.8866666666666672</c:v>
                </c:pt>
                <c:pt idx="104">
                  <c:v>2.9874999999999998</c:v>
                </c:pt>
                <c:pt idx="105">
                  <c:v>3.249310344827586</c:v>
                </c:pt>
                <c:pt idx="106">
                  <c:v>3.6104347826086949</c:v>
                </c:pt>
                <c:pt idx="107">
                  <c:v>3.9087499999999999</c:v>
                </c:pt>
                <c:pt idx="108">
                  <c:v>3.7890000000000001</c:v>
                </c:pt>
                <c:pt idx="109">
                  <c:v>4.9980000000000002</c:v>
                </c:pt>
                <c:pt idx="110">
                  <c:v>5.1057142857142859</c:v>
                </c:pt>
                <c:pt idx="111">
                  <c:v>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B-4D43-8BAB-35D996F18225}"/>
            </c:ext>
          </c:extLst>
        </c:ser>
        <c:ser>
          <c:idx val="1"/>
          <c:order val="2"/>
          <c:tx>
            <c:strRef>
              <c:f>Latitude!$C$2</c:f>
              <c:strCache>
                <c:ptCount val="1"/>
                <c:pt idx="0">
                  <c:v>SSP2-4.5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Latitude!$C$3:$C$114</c:f>
              <c:numCache>
                <c:formatCode>0.00_ </c:formatCode>
                <c:ptCount val="112"/>
                <c:pt idx="5">
                  <c:v>2.87</c:v>
                </c:pt>
                <c:pt idx="6">
                  <c:v>3.59</c:v>
                </c:pt>
                <c:pt idx="7">
                  <c:v>3.21</c:v>
                </c:pt>
                <c:pt idx="8">
                  <c:v>2.85</c:v>
                </c:pt>
                <c:pt idx="9">
                  <c:v>1.87</c:v>
                </c:pt>
                <c:pt idx="10">
                  <c:v>1.81</c:v>
                </c:pt>
                <c:pt idx="11">
                  <c:v>2.33</c:v>
                </c:pt>
                <c:pt idx="12">
                  <c:v>2.5</c:v>
                </c:pt>
                <c:pt idx="13">
                  <c:v>3.0316666666666658</c:v>
                </c:pt>
                <c:pt idx="14">
                  <c:v>2.75</c:v>
                </c:pt>
                <c:pt idx="15">
                  <c:v>3.1566666666666672</c:v>
                </c:pt>
                <c:pt idx="16">
                  <c:v>2.33</c:v>
                </c:pt>
                <c:pt idx="17">
                  <c:v>3.511428571428572</c:v>
                </c:pt>
                <c:pt idx="18">
                  <c:v>2.98</c:v>
                </c:pt>
                <c:pt idx="19">
                  <c:v>2.68</c:v>
                </c:pt>
                <c:pt idx="20">
                  <c:v>2.82</c:v>
                </c:pt>
                <c:pt idx="21">
                  <c:v>2.4816666666666669</c:v>
                </c:pt>
                <c:pt idx="22">
                  <c:v>2.5388888888888892</c:v>
                </c:pt>
                <c:pt idx="23">
                  <c:v>2.0760000000000001</c:v>
                </c:pt>
                <c:pt idx="24">
                  <c:v>2.58</c:v>
                </c:pt>
                <c:pt idx="25">
                  <c:v>2.4300000000000002</c:v>
                </c:pt>
                <c:pt idx="26">
                  <c:v>2.17</c:v>
                </c:pt>
                <c:pt idx="27">
                  <c:v>2.123333333333334</c:v>
                </c:pt>
                <c:pt idx="28">
                  <c:v>2.36</c:v>
                </c:pt>
                <c:pt idx="29">
                  <c:v>2.4333333333333331</c:v>
                </c:pt>
                <c:pt idx="30">
                  <c:v>2.72</c:v>
                </c:pt>
                <c:pt idx="31">
                  <c:v>2.5933333333333328</c:v>
                </c:pt>
                <c:pt idx="32">
                  <c:v>2.2549999999999999</c:v>
                </c:pt>
                <c:pt idx="33">
                  <c:v>1.835</c:v>
                </c:pt>
                <c:pt idx="34">
                  <c:v>2.126666666666666</c:v>
                </c:pt>
                <c:pt idx="35">
                  <c:v>2.02</c:v>
                </c:pt>
                <c:pt idx="36">
                  <c:v>2.0125000000000002</c:v>
                </c:pt>
                <c:pt idx="38">
                  <c:v>2.23</c:v>
                </c:pt>
                <c:pt idx="39">
                  <c:v>1.7849999999999999</c:v>
                </c:pt>
                <c:pt idx="40">
                  <c:v>2.37</c:v>
                </c:pt>
                <c:pt idx="42">
                  <c:v>2.0449999999999999</c:v>
                </c:pt>
                <c:pt idx="43">
                  <c:v>1.91</c:v>
                </c:pt>
                <c:pt idx="44">
                  <c:v>2.3319999999999999</c:v>
                </c:pt>
                <c:pt idx="45">
                  <c:v>2.65</c:v>
                </c:pt>
                <c:pt idx="46">
                  <c:v>2.0099999999999998</c:v>
                </c:pt>
                <c:pt idx="47">
                  <c:v>2.2850000000000001</c:v>
                </c:pt>
                <c:pt idx="48">
                  <c:v>2.1175000000000002</c:v>
                </c:pt>
                <c:pt idx="49">
                  <c:v>2.27</c:v>
                </c:pt>
                <c:pt idx="50">
                  <c:v>2.355</c:v>
                </c:pt>
                <c:pt idx="51">
                  <c:v>2.2485714285714282</c:v>
                </c:pt>
                <c:pt idx="52">
                  <c:v>2.39</c:v>
                </c:pt>
                <c:pt idx="53">
                  <c:v>2.36</c:v>
                </c:pt>
                <c:pt idx="54">
                  <c:v>2.4900000000000002</c:v>
                </c:pt>
                <c:pt idx="55">
                  <c:v>2.2149999999999999</c:v>
                </c:pt>
                <c:pt idx="56">
                  <c:v>2.1057142857142859</c:v>
                </c:pt>
                <c:pt idx="57">
                  <c:v>2.41</c:v>
                </c:pt>
                <c:pt idx="58">
                  <c:v>2.0571428571428569</c:v>
                </c:pt>
                <c:pt idx="59">
                  <c:v>1.99</c:v>
                </c:pt>
                <c:pt idx="60">
                  <c:v>2.1869999999999998</c:v>
                </c:pt>
                <c:pt idx="61">
                  <c:v>2.026875</c:v>
                </c:pt>
                <c:pt idx="62">
                  <c:v>1.994285714285714</c:v>
                </c:pt>
                <c:pt idx="63">
                  <c:v>1.956</c:v>
                </c:pt>
                <c:pt idx="64">
                  <c:v>2.3033333333333328</c:v>
                </c:pt>
                <c:pt idx="65">
                  <c:v>1.966666666666667</c:v>
                </c:pt>
                <c:pt idx="66">
                  <c:v>1.931875</c:v>
                </c:pt>
                <c:pt idx="67">
                  <c:v>1.85375</c:v>
                </c:pt>
                <c:pt idx="68">
                  <c:v>2.0249999999999999</c:v>
                </c:pt>
                <c:pt idx="69">
                  <c:v>1.895</c:v>
                </c:pt>
                <c:pt idx="70">
                  <c:v>1.8166666666666671</c:v>
                </c:pt>
                <c:pt idx="71">
                  <c:v>2.0706250000000002</c:v>
                </c:pt>
                <c:pt idx="72">
                  <c:v>1.908571428571429</c:v>
                </c:pt>
                <c:pt idx="73">
                  <c:v>1.7481818181818181</c:v>
                </c:pt>
                <c:pt idx="74">
                  <c:v>1.7649999999999999</c:v>
                </c:pt>
                <c:pt idx="75">
                  <c:v>2.2377777777777781</c:v>
                </c:pt>
                <c:pt idx="76">
                  <c:v>2.2688888888888892</c:v>
                </c:pt>
                <c:pt idx="77">
                  <c:v>2.2850000000000001</c:v>
                </c:pt>
                <c:pt idx="78">
                  <c:v>2.2536363636363639</c:v>
                </c:pt>
                <c:pt idx="79">
                  <c:v>1.97</c:v>
                </c:pt>
                <c:pt idx="80">
                  <c:v>3.15</c:v>
                </c:pt>
                <c:pt idx="81">
                  <c:v>2.046666666666666</c:v>
                </c:pt>
                <c:pt idx="82">
                  <c:v>3.0575000000000001</c:v>
                </c:pt>
                <c:pt idx="83">
                  <c:v>1.395</c:v>
                </c:pt>
                <c:pt idx="84">
                  <c:v>3.08</c:v>
                </c:pt>
                <c:pt idx="85">
                  <c:v>2.5215384615384622</c:v>
                </c:pt>
                <c:pt idx="86">
                  <c:v>2.5225</c:v>
                </c:pt>
                <c:pt idx="87">
                  <c:v>2.7675000000000001</c:v>
                </c:pt>
                <c:pt idx="88">
                  <c:v>2.2176923076923081</c:v>
                </c:pt>
                <c:pt idx="89">
                  <c:v>1.975714285714286</c:v>
                </c:pt>
                <c:pt idx="90">
                  <c:v>2.9027272727272728</c:v>
                </c:pt>
                <c:pt idx="91">
                  <c:v>2.4587500000000002</c:v>
                </c:pt>
                <c:pt idx="92">
                  <c:v>2.6150000000000002</c:v>
                </c:pt>
                <c:pt idx="93">
                  <c:v>1.6733333333333329</c:v>
                </c:pt>
                <c:pt idx="94">
                  <c:v>1.8674999999999999</c:v>
                </c:pt>
                <c:pt idx="95">
                  <c:v>2.2366666666666668</c:v>
                </c:pt>
                <c:pt idx="96">
                  <c:v>2.539166666666667</c:v>
                </c:pt>
                <c:pt idx="97">
                  <c:v>1.96</c:v>
                </c:pt>
                <c:pt idx="98">
                  <c:v>2.0583333333333331</c:v>
                </c:pt>
                <c:pt idx="99">
                  <c:v>2.2200000000000002</c:v>
                </c:pt>
                <c:pt idx="100">
                  <c:v>1.1818181818181821</c:v>
                </c:pt>
                <c:pt idx="101">
                  <c:v>0.95333333333333325</c:v>
                </c:pt>
                <c:pt idx="102">
                  <c:v>1.169032258064516</c:v>
                </c:pt>
                <c:pt idx="103">
                  <c:v>1.0911111111111109</c:v>
                </c:pt>
                <c:pt idx="104">
                  <c:v>1.2357142857142851</c:v>
                </c:pt>
                <c:pt idx="105">
                  <c:v>1.6582758620689659</c:v>
                </c:pt>
                <c:pt idx="106">
                  <c:v>1.7804347826086959</c:v>
                </c:pt>
                <c:pt idx="107">
                  <c:v>1.9275</c:v>
                </c:pt>
                <c:pt idx="108">
                  <c:v>1.9615</c:v>
                </c:pt>
                <c:pt idx="109">
                  <c:v>2.65</c:v>
                </c:pt>
                <c:pt idx="110">
                  <c:v>2.9314285714285711</c:v>
                </c:pt>
                <c:pt idx="111">
                  <c:v>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B-4D43-8BAB-35D996F18225}"/>
            </c:ext>
          </c:extLst>
        </c:ser>
        <c:ser>
          <c:idx val="0"/>
          <c:order val="3"/>
          <c:tx>
            <c:strRef>
              <c:f>Latitude!$B$2</c:f>
              <c:strCache>
                <c:ptCount val="1"/>
                <c:pt idx="0">
                  <c:v>SSP1-2.6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Latitude!$B$3:$B$114</c:f>
              <c:numCache>
                <c:formatCode>0.00_ </c:formatCode>
                <c:ptCount val="112"/>
                <c:pt idx="5">
                  <c:v>1.43</c:v>
                </c:pt>
                <c:pt idx="6">
                  <c:v>1.96</c:v>
                </c:pt>
                <c:pt idx="7">
                  <c:v>1.79</c:v>
                </c:pt>
                <c:pt idx="8">
                  <c:v>1.65</c:v>
                </c:pt>
                <c:pt idx="9">
                  <c:v>1.21</c:v>
                </c:pt>
                <c:pt idx="10">
                  <c:v>1.1000000000000001</c:v>
                </c:pt>
                <c:pt idx="11">
                  <c:v>1.3149999999999999</c:v>
                </c:pt>
                <c:pt idx="12">
                  <c:v>1.58</c:v>
                </c:pt>
                <c:pt idx="13">
                  <c:v>2.06</c:v>
                </c:pt>
                <c:pt idx="14">
                  <c:v>1.5</c:v>
                </c:pt>
                <c:pt idx="15">
                  <c:v>1.7766666666666671</c:v>
                </c:pt>
                <c:pt idx="16">
                  <c:v>1.2649999999999999</c:v>
                </c:pt>
                <c:pt idx="17">
                  <c:v>2.1671428571428568</c:v>
                </c:pt>
                <c:pt idx="18">
                  <c:v>1.93</c:v>
                </c:pt>
                <c:pt idx="19">
                  <c:v>2.14</c:v>
                </c:pt>
                <c:pt idx="20">
                  <c:v>2.33</c:v>
                </c:pt>
                <c:pt idx="21">
                  <c:v>1.885</c:v>
                </c:pt>
                <c:pt idx="22">
                  <c:v>1.981111111111111</c:v>
                </c:pt>
                <c:pt idx="23">
                  <c:v>1.552</c:v>
                </c:pt>
                <c:pt idx="24">
                  <c:v>2.19</c:v>
                </c:pt>
                <c:pt idx="25">
                  <c:v>1.31</c:v>
                </c:pt>
                <c:pt idx="26">
                  <c:v>1.8</c:v>
                </c:pt>
                <c:pt idx="27">
                  <c:v>1.331666666666667</c:v>
                </c:pt>
                <c:pt idx="28">
                  <c:v>1.61</c:v>
                </c:pt>
                <c:pt idx="29">
                  <c:v>1.45</c:v>
                </c:pt>
                <c:pt idx="30">
                  <c:v>1.6733333333333329</c:v>
                </c:pt>
                <c:pt idx="31">
                  <c:v>2.2333333333333329</c:v>
                </c:pt>
                <c:pt idx="32">
                  <c:v>1.4550000000000001</c:v>
                </c:pt>
                <c:pt idx="33">
                  <c:v>0.93500000000000005</c:v>
                </c:pt>
                <c:pt idx="34">
                  <c:v>1.28</c:v>
                </c:pt>
                <c:pt idx="35">
                  <c:v>1.054</c:v>
                </c:pt>
                <c:pt idx="36">
                  <c:v>0.80750000000000011</c:v>
                </c:pt>
                <c:pt idx="38">
                  <c:v>1.175</c:v>
                </c:pt>
                <c:pt idx="39">
                  <c:v>0.70000000000000007</c:v>
                </c:pt>
                <c:pt idx="40">
                  <c:v>0.67500000000000004</c:v>
                </c:pt>
                <c:pt idx="42">
                  <c:v>0.75</c:v>
                </c:pt>
                <c:pt idx="43">
                  <c:v>0.88</c:v>
                </c:pt>
                <c:pt idx="44">
                  <c:v>0.82799999999999996</c:v>
                </c:pt>
                <c:pt idx="45">
                  <c:v>0.77</c:v>
                </c:pt>
                <c:pt idx="46">
                  <c:v>0.32</c:v>
                </c:pt>
                <c:pt idx="47">
                  <c:v>1.1200000000000001</c:v>
                </c:pt>
                <c:pt idx="48">
                  <c:v>1.05</c:v>
                </c:pt>
                <c:pt idx="49">
                  <c:v>1.1933333333333329</c:v>
                </c:pt>
                <c:pt idx="50">
                  <c:v>1.1850000000000001</c:v>
                </c:pt>
                <c:pt idx="51">
                  <c:v>0.9157142857142857</c:v>
                </c:pt>
                <c:pt idx="52">
                  <c:v>1.32</c:v>
                </c:pt>
                <c:pt idx="53">
                  <c:v>1.38</c:v>
                </c:pt>
                <c:pt idx="54">
                  <c:v>1.21</c:v>
                </c:pt>
                <c:pt idx="55">
                  <c:v>1.1000000000000001</c:v>
                </c:pt>
                <c:pt idx="56">
                  <c:v>1.081428571428571</c:v>
                </c:pt>
                <c:pt idx="57">
                  <c:v>1.0466666666666671</c:v>
                </c:pt>
                <c:pt idx="58">
                  <c:v>0.77428571428571424</c:v>
                </c:pt>
                <c:pt idx="59">
                  <c:v>0.82571428571428562</c:v>
                </c:pt>
                <c:pt idx="60">
                  <c:v>0.99</c:v>
                </c:pt>
                <c:pt idx="61">
                  <c:v>0.71499999999999997</c:v>
                </c:pt>
                <c:pt idx="62">
                  <c:v>0.94142857142857139</c:v>
                </c:pt>
                <c:pt idx="63">
                  <c:v>0.92799999999999983</c:v>
                </c:pt>
                <c:pt idx="64">
                  <c:v>1.041666666666667</c:v>
                </c:pt>
                <c:pt idx="65">
                  <c:v>0.86666666666666659</c:v>
                </c:pt>
                <c:pt idx="66">
                  <c:v>0.81812499999999999</c:v>
                </c:pt>
                <c:pt idx="67">
                  <c:v>0.90375000000000005</c:v>
                </c:pt>
                <c:pt idx="68">
                  <c:v>1.0900000000000001</c:v>
                </c:pt>
                <c:pt idx="69">
                  <c:v>1.006428571428571</c:v>
                </c:pt>
                <c:pt idx="70">
                  <c:v>1.009333333333333</c:v>
                </c:pt>
                <c:pt idx="71">
                  <c:v>1.109375</c:v>
                </c:pt>
                <c:pt idx="72">
                  <c:v>1.0528571428571429</c:v>
                </c:pt>
                <c:pt idx="73">
                  <c:v>0.92454545454545456</c:v>
                </c:pt>
                <c:pt idx="74">
                  <c:v>1.206666666666667</c:v>
                </c:pt>
                <c:pt idx="75">
                  <c:v>1.42</c:v>
                </c:pt>
                <c:pt idx="76">
                  <c:v>1.3444444444444441</c:v>
                </c:pt>
                <c:pt idx="77">
                  <c:v>1.377</c:v>
                </c:pt>
                <c:pt idx="78">
                  <c:v>1.480909090909091</c:v>
                </c:pt>
                <c:pt idx="79">
                  <c:v>0.95750000000000002</c:v>
                </c:pt>
                <c:pt idx="80">
                  <c:v>2.145</c:v>
                </c:pt>
                <c:pt idx="81">
                  <c:v>1.2649999999999999</c:v>
                </c:pt>
                <c:pt idx="82">
                  <c:v>1.91875</c:v>
                </c:pt>
                <c:pt idx="83">
                  <c:v>0.64749999999999996</c:v>
                </c:pt>
                <c:pt idx="84">
                  <c:v>1.917692307692308</c:v>
                </c:pt>
                <c:pt idx="85">
                  <c:v>1.4215384615384621</c:v>
                </c:pt>
                <c:pt idx="86">
                  <c:v>1.0791666666666671</c:v>
                </c:pt>
                <c:pt idx="87">
                  <c:v>1.306</c:v>
                </c:pt>
                <c:pt idx="88">
                  <c:v>0.77692307692307694</c:v>
                </c:pt>
                <c:pt idx="89">
                  <c:v>0.78285714285714292</c:v>
                </c:pt>
                <c:pt idx="90">
                  <c:v>1.173636363636364</c:v>
                </c:pt>
                <c:pt idx="91">
                  <c:v>1.2337499999999999</c:v>
                </c:pt>
                <c:pt idx="92">
                  <c:v>1.4824999999999999</c:v>
                </c:pt>
                <c:pt idx="93">
                  <c:v>0.17333333333333331</c:v>
                </c:pt>
                <c:pt idx="94">
                  <c:v>0.41</c:v>
                </c:pt>
                <c:pt idx="95">
                  <c:v>0.56222222222222229</c:v>
                </c:pt>
                <c:pt idx="96">
                  <c:v>0.92166666666666675</c:v>
                </c:pt>
                <c:pt idx="97">
                  <c:v>0.49249999999999999</c:v>
                </c:pt>
                <c:pt idx="98">
                  <c:v>0.94833333333333314</c:v>
                </c:pt>
                <c:pt idx="99">
                  <c:v>0.1066666666666666</c:v>
                </c:pt>
                <c:pt idx="100">
                  <c:v>-0.1327272727272728</c:v>
                </c:pt>
                <c:pt idx="101">
                  <c:v>-0.51583333333333337</c:v>
                </c:pt>
                <c:pt idx="102">
                  <c:v>-0.45129032258064522</c:v>
                </c:pt>
                <c:pt idx="103">
                  <c:v>-0.35666666666666669</c:v>
                </c:pt>
                <c:pt idx="104">
                  <c:v>-0.20178571428571429</c:v>
                </c:pt>
                <c:pt idx="105">
                  <c:v>0.15413793103448281</c:v>
                </c:pt>
                <c:pt idx="106">
                  <c:v>0.2882608695652174</c:v>
                </c:pt>
                <c:pt idx="107">
                  <c:v>0.34749999999999998</c:v>
                </c:pt>
                <c:pt idx="108">
                  <c:v>0.36249999999999999</c:v>
                </c:pt>
                <c:pt idx="109">
                  <c:v>0.54499999999999993</c:v>
                </c:pt>
                <c:pt idx="110">
                  <c:v>0.6885714285714285</c:v>
                </c:pt>
                <c:pt idx="111">
                  <c:v>4.1100000000000003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B-4D43-8BAB-35D996F18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05847103"/>
        <c:axId val="1705849599"/>
      </c:barChart>
      <c:catAx>
        <c:axId val="170584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05849599"/>
        <c:crosses val="autoZero"/>
        <c:auto val="1"/>
        <c:lblAlgn val="ctr"/>
        <c:lblOffset val="100"/>
        <c:noMultiLvlLbl val="0"/>
      </c:catAx>
      <c:valAx>
        <c:axId val="1705849599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in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05847103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Latitude!$I$2</c:f>
              <c:strCache>
                <c:ptCount val="1"/>
                <c:pt idx="0">
                  <c:v>SSP5-8.5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Latitude!$I$3:$I$114</c:f>
              <c:numCache>
                <c:formatCode>0.00_ </c:formatCode>
                <c:ptCount val="112"/>
                <c:pt idx="5">
                  <c:v>0.41899999999999998</c:v>
                </c:pt>
                <c:pt idx="6">
                  <c:v>0.44600000000000001</c:v>
                </c:pt>
                <c:pt idx="7">
                  <c:v>0.62575000000000003</c:v>
                </c:pt>
                <c:pt idx="9">
                  <c:v>0.79300000000000004</c:v>
                </c:pt>
                <c:pt idx="10">
                  <c:v>0.55899999999999994</c:v>
                </c:pt>
                <c:pt idx="13">
                  <c:v>0.72800000000000009</c:v>
                </c:pt>
                <c:pt idx="14">
                  <c:v>0.64700000000000002</c:v>
                </c:pt>
                <c:pt idx="15">
                  <c:v>0.72099999999999997</c:v>
                </c:pt>
                <c:pt idx="16">
                  <c:v>0.80249999999999999</c:v>
                </c:pt>
                <c:pt idx="17">
                  <c:v>0.69885714285714295</c:v>
                </c:pt>
                <c:pt idx="19">
                  <c:v>0.73675000000000002</c:v>
                </c:pt>
                <c:pt idx="20">
                  <c:v>0.74666666666674997</c:v>
                </c:pt>
                <c:pt idx="21">
                  <c:v>0.74072222222222228</c:v>
                </c:pt>
                <c:pt idx="22">
                  <c:v>0.77266666666666672</c:v>
                </c:pt>
                <c:pt idx="23">
                  <c:v>-7.6375000000000002</c:v>
                </c:pt>
                <c:pt idx="24">
                  <c:v>0.68700000000000006</c:v>
                </c:pt>
                <c:pt idx="26">
                  <c:v>0.8135</c:v>
                </c:pt>
                <c:pt idx="27">
                  <c:v>0.80449999999999999</c:v>
                </c:pt>
                <c:pt idx="28">
                  <c:v>0.79949999999999999</c:v>
                </c:pt>
                <c:pt idx="29">
                  <c:v>0.85875000000000001</c:v>
                </c:pt>
                <c:pt idx="30">
                  <c:v>0.79400000000000004</c:v>
                </c:pt>
                <c:pt idx="31">
                  <c:v>0.80866666666666676</c:v>
                </c:pt>
                <c:pt idx="32">
                  <c:v>0.85499999999999998</c:v>
                </c:pt>
                <c:pt idx="33">
                  <c:v>0.79933333333333334</c:v>
                </c:pt>
                <c:pt idx="34">
                  <c:v>0.83199999999999996</c:v>
                </c:pt>
                <c:pt idx="35">
                  <c:v>0.78139999999999998</c:v>
                </c:pt>
                <c:pt idx="36">
                  <c:v>0.74275000000000002</c:v>
                </c:pt>
                <c:pt idx="37">
                  <c:v>0.81200000000000006</c:v>
                </c:pt>
                <c:pt idx="38">
                  <c:v>0.80200000000000005</c:v>
                </c:pt>
                <c:pt idx="39">
                  <c:v>0.74</c:v>
                </c:pt>
                <c:pt idx="40">
                  <c:v>0.77900000000000003</c:v>
                </c:pt>
                <c:pt idx="41">
                  <c:v>0.85150000000000003</c:v>
                </c:pt>
                <c:pt idx="42">
                  <c:v>0.80500000000000005</c:v>
                </c:pt>
                <c:pt idx="43">
                  <c:v>0.72960000000000003</c:v>
                </c:pt>
                <c:pt idx="44">
                  <c:v>0.80400000000000005</c:v>
                </c:pt>
                <c:pt idx="45">
                  <c:v>0.752</c:v>
                </c:pt>
                <c:pt idx="46">
                  <c:v>0.85799999999999998</c:v>
                </c:pt>
                <c:pt idx="47">
                  <c:v>0.80349999999999999</c:v>
                </c:pt>
                <c:pt idx="48">
                  <c:v>0.78233333333333333</c:v>
                </c:pt>
                <c:pt idx="49">
                  <c:v>0.77899999999999991</c:v>
                </c:pt>
                <c:pt idx="50">
                  <c:v>0.78900000000000003</c:v>
                </c:pt>
                <c:pt idx="51">
                  <c:v>0.8145</c:v>
                </c:pt>
                <c:pt idx="52">
                  <c:v>0.83699999999999997</c:v>
                </c:pt>
                <c:pt idx="53">
                  <c:v>0.83599999999999997</c:v>
                </c:pt>
                <c:pt idx="55">
                  <c:v>0.76400000000000001</c:v>
                </c:pt>
                <c:pt idx="56">
                  <c:v>0.81374999999999997</c:v>
                </c:pt>
                <c:pt idx="57">
                  <c:v>0.83062499999999995</c:v>
                </c:pt>
                <c:pt idx="58">
                  <c:v>0.80075000000000007</c:v>
                </c:pt>
                <c:pt idx="59">
                  <c:v>0.79200000000000004</c:v>
                </c:pt>
                <c:pt idx="60">
                  <c:v>0.81588888888888889</c:v>
                </c:pt>
                <c:pt idx="61">
                  <c:v>0.80031818181818182</c:v>
                </c:pt>
                <c:pt idx="62">
                  <c:v>0.8244285714285714</c:v>
                </c:pt>
                <c:pt idx="63">
                  <c:v>0.83546874999999998</c:v>
                </c:pt>
                <c:pt idx="64">
                  <c:v>0.79637500000000006</c:v>
                </c:pt>
                <c:pt idx="65">
                  <c:v>0.79575000000000007</c:v>
                </c:pt>
                <c:pt idx="66">
                  <c:v>0.83674999999999999</c:v>
                </c:pt>
                <c:pt idx="67">
                  <c:v>0.90355882352941175</c:v>
                </c:pt>
                <c:pt idx="68">
                  <c:v>0.86266666666666669</c:v>
                </c:pt>
                <c:pt idx="69">
                  <c:v>0.87454545454545451</c:v>
                </c:pt>
                <c:pt idx="70">
                  <c:v>0.91145833333333337</c:v>
                </c:pt>
                <c:pt idx="71">
                  <c:v>0.85399999999999998</c:v>
                </c:pt>
                <c:pt idx="72">
                  <c:v>0.88453846153846161</c:v>
                </c:pt>
                <c:pt idx="73">
                  <c:v>0.84798684210526321</c:v>
                </c:pt>
                <c:pt idx="74">
                  <c:v>0.79656250000000006</c:v>
                </c:pt>
                <c:pt idx="75">
                  <c:v>0.78899999999999992</c:v>
                </c:pt>
                <c:pt idx="76">
                  <c:v>0.84770000000000001</c:v>
                </c:pt>
                <c:pt idx="77">
                  <c:v>0.80492592592588885</c:v>
                </c:pt>
                <c:pt idx="78">
                  <c:v>0.78412499999999996</c:v>
                </c:pt>
                <c:pt idx="79">
                  <c:v>0.81714285714285706</c:v>
                </c:pt>
                <c:pt idx="80">
                  <c:v>0.80649999999999999</c:v>
                </c:pt>
                <c:pt idx="81">
                  <c:v>0.79225000000000001</c:v>
                </c:pt>
                <c:pt idx="82">
                  <c:v>0.79400000000000004</c:v>
                </c:pt>
                <c:pt idx="83">
                  <c:v>0.75871428571428567</c:v>
                </c:pt>
                <c:pt idx="84">
                  <c:v>0.83886507936522225</c:v>
                </c:pt>
                <c:pt idx="85">
                  <c:v>0.75837500000000002</c:v>
                </c:pt>
                <c:pt idx="86">
                  <c:v>0.80345</c:v>
                </c:pt>
                <c:pt idx="87">
                  <c:v>0.80933333333337498</c:v>
                </c:pt>
                <c:pt idx="88">
                  <c:v>0.77262962962962967</c:v>
                </c:pt>
                <c:pt idx="89">
                  <c:v>0.81829629629666667</c:v>
                </c:pt>
                <c:pt idx="90">
                  <c:v>0.84917948717976921</c:v>
                </c:pt>
                <c:pt idx="91">
                  <c:v>0.82493749999999999</c:v>
                </c:pt>
                <c:pt idx="92">
                  <c:v>0.70250000000000001</c:v>
                </c:pt>
                <c:pt idx="93">
                  <c:v>0.75829166666675007</c:v>
                </c:pt>
                <c:pt idx="94">
                  <c:v>0.78300000000000003</c:v>
                </c:pt>
                <c:pt idx="95">
                  <c:v>0.74376666666666658</c:v>
                </c:pt>
                <c:pt idx="96">
                  <c:v>0.81396153846153851</c:v>
                </c:pt>
                <c:pt idx="97">
                  <c:v>0.87823809523814289</c:v>
                </c:pt>
                <c:pt idx="98">
                  <c:v>0.68140000000000001</c:v>
                </c:pt>
                <c:pt idx="99">
                  <c:v>0.7717333333334</c:v>
                </c:pt>
                <c:pt idx="100">
                  <c:v>0.70724691358022218</c:v>
                </c:pt>
                <c:pt idx="101">
                  <c:v>0.76275000000000004</c:v>
                </c:pt>
                <c:pt idx="102">
                  <c:v>0.73570833333336372</c:v>
                </c:pt>
                <c:pt idx="103">
                  <c:v>0.79072222222233335</c:v>
                </c:pt>
                <c:pt idx="104">
                  <c:v>0.76321739130430433</c:v>
                </c:pt>
                <c:pt idx="105">
                  <c:v>0.73864000000000007</c:v>
                </c:pt>
                <c:pt idx="106">
                  <c:v>0.67686333333335991</c:v>
                </c:pt>
                <c:pt idx="107">
                  <c:v>0.69257833333329999</c:v>
                </c:pt>
                <c:pt idx="108">
                  <c:v>0.65741666666666676</c:v>
                </c:pt>
                <c:pt idx="109">
                  <c:v>0.62914285714285711</c:v>
                </c:pt>
                <c:pt idx="110">
                  <c:v>0.53903333333330006</c:v>
                </c:pt>
                <c:pt idx="111">
                  <c:v>0.58741666666666659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B-4D43-8BAB-35D996F18225}"/>
            </c:ext>
          </c:extLst>
        </c:ser>
        <c:ser>
          <c:idx val="1"/>
          <c:order val="1"/>
          <c:tx>
            <c:strRef>
              <c:f>Latitude!$H$2</c:f>
              <c:strCache>
                <c:ptCount val="1"/>
                <c:pt idx="0">
                  <c:v>SSP3-7.0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Latitude!$H$3:$H$114</c:f>
              <c:numCache>
                <c:formatCode>0.00_ </c:formatCode>
                <c:ptCount val="112"/>
                <c:pt idx="5">
                  <c:v>0.34599999999999997</c:v>
                </c:pt>
                <c:pt idx="6">
                  <c:v>0.376</c:v>
                </c:pt>
                <c:pt idx="7">
                  <c:v>0.54700000000000004</c:v>
                </c:pt>
                <c:pt idx="9">
                  <c:v>0.71199999999999997</c:v>
                </c:pt>
                <c:pt idx="10">
                  <c:v>0.49099999999999999</c:v>
                </c:pt>
                <c:pt idx="13">
                  <c:v>0.64699999999999991</c:v>
                </c:pt>
                <c:pt idx="14">
                  <c:v>0.56800000000000006</c:v>
                </c:pt>
                <c:pt idx="15">
                  <c:v>0.63300000000000001</c:v>
                </c:pt>
                <c:pt idx="16">
                  <c:v>0.70599999999999996</c:v>
                </c:pt>
                <c:pt idx="17">
                  <c:v>0.61885714285714288</c:v>
                </c:pt>
                <c:pt idx="19">
                  <c:v>0.66325000000000001</c:v>
                </c:pt>
                <c:pt idx="20">
                  <c:v>0.66274999999999995</c:v>
                </c:pt>
                <c:pt idx="21">
                  <c:v>0.66244444444444439</c:v>
                </c:pt>
                <c:pt idx="22">
                  <c:v>0.68579999999999997</c:v>
                </c:pt>
                <c:pt idx="23">
                  <c:v>-7.70275</c:v>
                </c:pt>
                <c:pt idx="24">
                  <c:v>0.6100000000000001</c:v>
                </c:pt>
                <c:pt idx="26">
                  <c:v>0.72750000000000004</c:v>
                </c:pt>
                <c:pt idx="27">
                  <c:v>0.71691666666675002</c:v>
                </c:pt>
                <c:pt idx="28">
                  <c:v>0.70874999999999999</c:v>
                </c:pt>
                <c:pt idx="29">
                  <c:v>0.76816666666666666</c:v>
                </c:pt>
                <c:pt idx="30">
                  <c:v>0.71799999999999997</c:v>
                </c:pt>
                <c:pt idx="31">
                  <c:v>0.71166666666666656</c:v>
                </c:pt>
                <c:pt idx="32">
                  <c:v>0.75600000000000001</c:v>
                </c:pt>
                <c:pt idx="33">
                  <c:v>0.70666666666666667</c:v>
                </c:pt>
                <c:pt idx="34">
                  <c:v>0.73655555555566676</c:v>
                </c:pt>
                <c:pt idx="35">
                  <c:v>0.69569999999999999</c:v>
                </c:pt>
                <c:pt idx="36">
                  <c:v>0.65249999999999997</c:v>
                </c:pt>
                <c:pt idx="37">
                  <c:v>0.71699999999999997</c:v>
                </c:pt>
                <c:pt idx="38">
                  <c:v>0.69499999999999995</c:v>
                </c:pt>
                <c:pt idx="39">
                  <c:v>0.66599999999999993</c:v>
                </c:pt>
                <c:pt idx="40">
                  <c:v>0.67200000000000004</c:v>
                </c:pt>
                <c:pt idx="41">
                  <c:v>0.75383333333333324</c:v>
                </c:pt>
                <c:pt idx="42">
                  <c:v>0.69699999999999995</c:v>
                </c:pt>
                <c:pt idx="43">
                  <c:v>0.62779999999999991</c:v>
                </c:pt>
                <c:pt idx="44">
                  <c:v>0.72299999999999998</c:v>
                </c:pt>
                <c:pt idx="45">
                  <c:v>0.67800000000000005</c:v>
                </c:pt>
                <c:pt idx="46">
                  <c:v>0.76600000000000001</c:v>
                </c:pt>
                <c:pt idx="47">
                  <c:v>0.70550000000000002</c:v>
                </c:pt>
                <c:pt idx="48">
                  <c:v>0.68966666666666665</c:v>
                </c:pt>
                <c:pt idx="49">
                  <c:v>0.69166666666666676</c:v>
                </c:pt>
                <c:pt idx="50">
                  <c:v>0.69087500000000002</c:v>
                </c:pt>
                <c:pt idx="51">
                  <c:v>0.72950000000000004</c:v>
                </c:pt>
                <c:pt idx="52">
                  <c:v>0.73799999999999999</c:v>
                </c:pt>
                <c:pt idx="53">
                  <c:v>0.73699999999999999</c:v>
                </c:pt>
                <c:pt idx="55">
                  <c:v>0.66</c:v>
                </c:pt>
                <c:pt idx="56">
                  <c:v>0.71924999999999994</c:v>
                </c:pt>
                <c:pt idx="57">
                  <c:v>0.72950000000000004</c:v>
                </c:pt>
                <c:pt idx="58">
                  <c:v>0.69650000000000001</c:v>
                </c:pt>
                <c:pt idx="59">
                  <c:v>0.70474999999999999</c:v>
                </c:pt>
                <c:pt idx="60">
                  <c:v>0.72755555555555551</c:v>
                </c:pt>
                <c:pt idx="61">
                  <c:v>0.7070909090909091</c:v>
                </c:pt>
                <c:pt idx="62">
                  <c:v>0.73457142857142865</c:v>
                </c:pt>
                <c:pt idx="63">
                  <c:v>0.74331250000000004</c:v>
                </c:pt>
                <c:pt idx="64">
                  <c:v>0.71375</c:v>
                </c:pt>
                <c:pt idx="65">
                  <c:v>0.70874999999999999</c:v>
                </c:pt>
                <c:pt idx="66">
                  <c:v>0.75137500000000002</c:v>
                </c:pt>
                <c:pt idx="67">
                  <c:v>0.8165</c:v>
                </c:pt>
                <c:pt idx="68">
                  <c:v>0.76566666666666672</c:v>
                </c:pt>
                <c:pt idx="69">
                  <c:v>0.78454545454545443</c:v>
                </c:pt>
                <c:pt idx="70">
                  <c:v>0.82454166666666673</c:v>
                </c:pt>
                <c:pt idx="71">
                  <c:v>0.76346666666666663</c:v>
                </c:pt>
                <c:pt idx="72">
                  <c:v>0.78826923076923083</c:v>
                </c:pt>
                <c:pt idx="73">
                  <c:v>0.75511184210526316</c:v>
                </c:pt>
                <c:pt idx="74">
                  <c:v>0.70681249999999995</c:v>
                </c:pt>
                <c:pt idx="75">
                  <c:v>0.6925</c:v>
                </c:pt>
                <c:pt idx="76">
                  <c:v>0.75029999999999997</c:v>
                </c:pt>
                <c:pt idx="77">
                  <c:v>0.71059259259255558</c:v>
                </c:pt>
                <c:pt idx="78">
                  <c:v>0.68612499999999998</c:v>
                </c:pt>
                <c:pt idx="79">
                  <c:v>0.73242857142857143</c:v>
                </c:pt>
                <c:pt idx="80">
                  <c:v>0.72</c:v>
                </c:pt>
                <c:pt idx="81">
                  <c:v>0.68658333333333343</c:v>
                </c:pt>
                <c:pt idx="82">
                  <c:v>0.70233333333333325</c:v>
                </c:pt>
                <c:pt idx="83">
                  <c:v>0.67200000000000004</c:v>
                </c:pt>
                <c:pt idx="84">
                  <c:v>0.72847619047633339</c:v>
                </c:pt>
                <c:pt idx="85">
                  <c:v>0.65949999999999998</c:v>
                </c:pt>
                <c:pt idx="86">
                  <c:v>0.69828888888886664</c:v>
                </c:pt>
                <c:pt idx="87">
                  <c:v>0.705333333333375</c:v>
                </c:pt>
                <c:pt idx="88">
                  <c:v>0.67544444444444451</c:v>
                </c:pt>
                <c:pt idx="89">
                  <c:v>0.71977777777777774</c:v>
                </c:pt>
                <c:pt idx="90">
                  <c:v>0.74635897435869225</c:v>
                </c:pt>
                <c:pt idx="91">
                  <c:v>0.72562499999999996</c:v>
                </c:pt>
                <c:pt idx="92">
                  <c:v>0.6079444444444444</c:v>
                </c:pt>
                <c:pt idx="93">
                  <c:v>0.66220833333325002</c:v>
                </c:pt>
                <c:pt idx="94">
                  <c:v>0.68369999999999997</c:v>
                </c:pt>
                <c:pt idx="95">
                  <c:v>0.65008888888886662</c:v>
                </c:pt>
                <c:pt idx="96">
                  <c:v>0.71646153846153848</c:v>
                </c:pt>
                <c:pt idx="97">
                  <c:v>0.77028571428571435</c:v>
                </c:pt>
                <c:pt idx="98">
                  <c:v>0.59530000000000005</c:v>
                </c:pt>
                <c:pt idx="99">
                  <c:v>0.66446666666659993</c:v>
                </c:pt>
                <c:pt idx="100">
                  <c:v>0.61048148148133341</c:v>
                </c:pt>
                <c:pt idx="101">
                  <c:v>0.65587499999999999</c:v>
                </c:pt>
                <c:pt idx="102">
                  <c:v>0.62799242424236368</c:v>
                </c:pt>
                <c:pt idx="103">
                  <c:v>0.68042222222233328</c:v>
                </c:pt>
                <c:pt idx="104">
                  <c:v>0.65552173913047829</c:v>
                </c:pt>
                <c:pt idx="105">
                  <c:v>0.63178000000000001</c:v>
                </c:pt>
                <c:pt idx="106">
                  <c:v>0.56566333333331997</c:v>
                </c:pt>
                <c:pt idx="107">
                  <c:v>0.5808916666667</c:v>
                </c:pt>
                <c:pt idx="108">
                  <c:v>0.54261111111105553</c:v>
                </c:pt>
                <c:pt idx="109">
                  <c:v>0.51950000000000007</c:v>
                </c:pt>
                <c:pt idx="110">
                  <c:v>0.42348333333330002</c:v>
                </c:pt>
                <c:pt idx="111">
                  <c:v>0.47466666666666663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B-4D43-8BAB-35D996F18225}"/>
            </c:ext>
          </c:extLst>
        </c:ser>
        <c:ser>
          <c:idx val="2"/>
          <c:order val="2"/>
          <c:tx>
            <c:strRef>
              <c:f>Latitude!$G$2</c:f>
              <c:strCache>
                <c:ptCount val="1"/>
                <c:pt idx="0">
                  <c:v>SSP2-4.5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Latitude!$G$3:$G$114</c:f>
              <c:numCache>
                <c:formatCode>0.00_ </c:formatCode>
                <c:ptCount val="112"/>
                <c:pt idx="5">
                  <c:v>0.247</c:v>
                </c:pt>
                <c:pt idx="6">
                  <c:v>0.27700000000000002</c:v>
                </c:pt>
                <c:pt idx="7">
                  <c:v>0.434</c:v>
                </c:pt>
                <c:pt idx="9">
                  <c:v>0.55800000000000005</c:v>
                </c:pt>
                <c:pt idx="10">
                  <c:v>0.39700000000000002</c:v>
                </c:pt>
                <c:pt idx="13">
                  <c:v>0.51933333333333331</c:v>
                </c:pt>
                <c:pt idx="14">
                  <c:v>0.44500000000000001</c:v>
                </c:pt>
                <c:pt idx="15">
                  <c:v>0.50866666666666671</c:v>
                </c:pt>
                <c:pt idx="16">
                  <c:v>0.55449999999999999</c:v>
                </c:pt>
                <c:pt idx="17">
                  <c:v>0.50735714285714284</c:v>
                </c:pt>
                <c:pt idx="19">
                  <c:v>0.54400000000000004</c:v>
                </c:pt>
                <c:pt idx="20">
                  <c:v>0.53183333333325</c:v>
                </c:pt>
                <c:pt idx="21">
                  <c:v>0.53761111111111104</c:v>
                </c:pt>
                <c:pt idx="22">
                  <c:v>0.55654999999999999</c:v>
                </c:pt>
                <c:pt idx="23">
                  <c:v>-7.8010000000000002</c:v>
                </c:pt>
                <c:pt idx="24">
                  <c:v>0.48</c:v>
                </c:pt>
                <c:pt idx="26">
                  <c:v>0.59149999999999991</c:v>
                </c:pt>
                <c:pt idx="27">
                  <c:v>0.57933333333324999</c:v>
                </c:pt>
                <c:pt idx="28">
                  <c:v>0.57625000000000004</c:v>
                </c:pt>
                <c:pt idx="29">
                  <c:v>0.63108333333333333</c:v>
                </c:pt>
                <c:pt idx="30">
                  <c:v>0.57899999999999996</c:v>
                </c:pt>
                <c:pt idx="31">
                  <c:v>0.58099999999999996</c:v>
                </c:pt>
                <c:pt idx="32">
                  <c:v>0.61299999999999999</c:v>
                </c:pt>
                <c:pt idx="33">
                  <c:v>0.57233333333333336</c:v>
                </c:pt>
                <c:pt idx="34">
                  <c:v>0.59544444444433331</c:v>
                </c:pt>
                <c:pt idx="35">
                  <c:v>0.57069999999999999</c:v>
                </c:pt>
                <c:pt idx="36">
                  <c:v>0.51349999999999996</c:v>
                </c:pt>
                <c:pt idx="37">
                  <c:v>0.58899999999999997</c:v>
                </c:pt>
                <c:pt idx="38">
                  <c:v>0.58650000000000002</c:v>
                </c:pt>
                <c:pt idx="39">
                  <c:v>0.53099999999999992</c:v>
                </c:pt>
                <c:pt idx="40">
                  <c:v>0.56200000000000006</c:v>
                </c:pt>
                <c:pt idx="41">
                  <c:v>0.62283333333333335</c:v>
                </c:pt>
                <c:pt idx="42">
                  <c:v>0.58399999999999996</c:v>
                </c:pt>
                <c:pt idx="43">
                  <c:v>0.50219999999999998</c:v>
                </c:pt>
                <c:pt idx="44">
                  <c:v>0.58299999999999996</c:v>
                </c:pt>
                <c:pt idx="45">
                  <c:v>0.53300000000000003</c:v>
                </c:pt>
                <c:pt idx="46">
                  <c:v>0.61349999999999993</c:v>
                </c:pt>
                <c:pt idx="47">
                  <c:v>0.57499999999999996</c:v>
                </c:pt>
                <c:pt idx="48">
                  <c:v>0.55200000000000005</c:v>
                </c:pt>
                <c:pt idx="49">
                  <c:v>0.55599999999999994</c:v>
                </c:pt>
                <c:pt idx="50">
                  <c:v>0.56800000000000006</c:v>
                </c:pt>
                <c:pt idx="51">
                  <c:v>0.58099999999999996</c:v>
                </c:pt>
                <c:pt idx="52">
                  <c:v>0.59299999999999997</c:v>
                </c:pt>
                <c:pt idx="53">
                  <c:v>0.59299999999999997</c:v>
                </c:pt>
                <c:pt idx="55">
                  <c:v>0.55200000000000005</c:v>
                </c:pt>
                <c:pt idx="56">
                  <c:v>0.59749999999999992</c:v>
                </c:pt>
                <c:pt idx="57">
                  <c:v>0.60575000000000001</c:v>
                </c:pt>
                <c:pt idx="58">
                  <c:v>0.58099999999999996</c:v>
                </c:pt>
                <c:pt idx="59">
                  <c:v>0.58174999999999999</c:v>
                </c:pt>
                <c:pt idx="60">
                  <c:v>0.60222222222222221</c:v>
                </c:pt>
                <c:pt idx="61">
                  <c:v>0.58886363636363637</c:v>
                </c:pt>
                <c:pt idx="62">
                  <c:v>0.61335714285714282</c:v>
                </c:pt>
                <c:pt idx="63">
                  <c:v>0.62340625000000005</c:v>
                </c:pt>
                <c:pt idx="64">
                  <c:v>0.58824999999999994</c:v>
                </c:pt>
                <c:pt idx="65">
                  <c:v>0.59199999999999997</c:v>
                </c:pt>
                <c:pt idx="66">
                  <c:v>0.63024999999999998</c:v>
                </c:pt>
                <c:pt idx="67">
                  <c:v>0.69785294117647056</c:v>
                </c:pt>
                <c:pt idx="68">
                  <c:v>0.65666666666666673</c:v>
                </c:pt>
                <c:pt idx="69">
                  <c:v>0.67154545454545456</c:v>
                </c:pt>
                <c:pt idx="70">
                  <c:v>0.7034583333333333</c:v>
                </c:pt>
                <c:pt idx="71">
                  <c:v>0.65046666666666664</c:v>
                </c:pt>
                <c:pt idx="72">
                  <c:v>0.67349999999999999</c:v>
                </c:pt>
                <c:pt idx="73">
                  <c:v>0.64384210526315788</c:v>
                </c:pt>
                <c:pt idx="74">
                  <c:v>0.59187500000000004</c:v>
                </c:pt>
                <c:pt idx="75">
                  <c:v>0.56771428571428573</c:v>
                </c:pt>
                <c:pt idx="76">
                  <c:v>0.62509999999999999</c:v>
                </c:pt>
                <c:pt idx="77">
                  <c:v>0.58737037037033335</c:v>
                </c:pt>
                <c:pt idx="78">
                  <c:v>0.56374999999999997</c:v>
                </c:pt>
                <c:pt idx="79">
                  <c:v>0.62</c:v>
                </c:pt>
                <c:pt idx="80">
                  <c:v>0.61</c:v>
                </c:pt>
                <c:pt idx="81">
                  <c:v>0.56016666666666659</c:v>
                </c:pt>
                <c:pt idx="82">
                  <c:v>0.58666666666666656</c:v>
                </c:pt>
                <c:pt idx="83">
                  <c:v>0.5645</c:v>
                </c:pt>
                <c:pt idx="84">
                  <c:v>0.58962698412688885</c:v>
                </c:pt>
                <c:pt idx="85">
                  <c:v>0.54912500000000009</c:v>
                </c:pt>
                <c:pt idx="86">
                  <c:v>0.57014444444446666</c:v>
                </c:pt>
                <c:pt idx="87">
                  <c:v>0.57947916666662502</c:v>
                </c:pt>
                <c:pt idx="88">
                  <c:v>0.5642962962962963</c:v>
                </c:pt>
                <c:pt idx="89">
                  <c:v>0.60566666666666669</c:v>
                </c:pt>
                <c:pt idx="90">
                  <c:v>0.6255384615386923</c:v>
                </c:pt>
                <c:pt idx="91">
                  <c:v>0.61712499999999992</c:v>
                </c:pt>
                <c:pt idx="92">
                  <c:v>0.50249999999999995</c:v>
                </c:pt>
                <c:pt idx="93">
                  <c:v>0.56254166666674998</c:v>
                </c:pt>
                <c:pt idx="94">
                  <c:v>0.56410000000000005</c:v>
                </c:pt>
                <c:pt idx="95">
                  <c:v>0.54271111111113335</c:v>
                </c:pt>
                <c:pt idx="96">
                  <c:v>0.60615384615384615</c:v>
                </c:pt>
                <c:pt idx="97">
                  <c:v>0.66552380952385715</c:v>
                </c:pt>
                <c:pt idx="98">
                  <c:v>0.51270000000000004</c:v>
                </c:pt>
                <c:pt idx="99">
                  <c:v>0.56446666666659995</c:v>
                </c:pt>
                <c:pt idx="100">
                  <c:v>0.5165185185186667</c:v>
                </c:pt>
                <c:pt idx="101">
                  <c:v>0.56099999999999994</c:v>
                </c:pt>
                <c:pt idx="102">
                  <c:v>0.53691666666672733</c:v>
                </c:pt>
                <c:pt idx="103">
                  <c:v>0.59220555555566667</c:v>
                </c:pt>
                <c:pt idx="104">
                  <c:v>0.56778260869569563</c:v>
                </c:pt>
                <c:pt idx="105">
                  <c:v>0.54596</c:v>
                </c:pt>
                <c:pt idx="106">
                  <c:v>0.48726333333332</c:v>
                </c:pt>
                <c:pt idx="107">
                  <c:v>0.49717666666670002</c:v>
                </c:pt>
                <c:pt idx="108">
                  <c:v>0.45780555555550012</c:v>
                </c:pt>
                <c:pt idx="109">
                  <c:v>0.44107142857142861</c:v>
                </c:pt>
                <c:pt idx="110">
                  <c:v>0.3364166666667</c:v>
                </c:pt>
                <c:pt idx="111">
                  <c:v>0.38666666666666671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B-4D43-8BAB-35D996F18225}"/>
            </c:ext>
          </c:extLst>
        </c:ser>
        <c:ser>
          <c:idx val="3"/>
          <c:order val="3"/>
          <c:tx>
            <c:strRef>
              <c:f>Latitude!$F$2</c:f>
              <c:strCache>
                <c:ptCount val="1"/>
                <c:pt idx="0">
                  <c:v>SSP1-2.6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rgbClr val="4472C4"/>
              </a:solidFill>
              <a:round/>
            </a:ln>
            <a:effectLst/>
          </c:spPr>
          <c:invertIfNegative val="0"/>
          <c:cat>
            <c:numRef>
              <c:f>Latitude!$A$3:$A$114</c:f>
              <c:numCache>
                <c:formatCode>General</c:formatCode>
                <c:ptCount val="112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-53</c:v>
                </c:pt>
                <c:pt idx="7">
                  <c:v>-52</c:v>
                </c:pt>
                <c:pt idx="8">
                  <c:v>-51</c:v>
                </c:pt>
                <c:pt idx="9">
                  <c:v>-50</c:v>
                </c:pt>
                <c:pt idx="10">
                  <c:v>-47</c:v>
                </c:pt>
                <c:pt idx="11">
                  <c:v>-46</c:v>
                </c:pt>
                <c:pt idx="12">
                  <c:v>-44</c:v>
                </c:pt>
                <c:pt idx="13">
                  <c:v>-42</c:v>
                </c:pt>
                <c:pt idx="14">
                  <c:v>-41</c:v>
                </c:pt>
                <c:pt idx="15">
                  <c:v>-40</c:v>
                </c:pt>
                <c:pt idx="16">
                  <c:v>-39</c:v>
                </c:pt>
                <c:pt idx="17">
                  <c:v>-38</c:v>
                </c:pt>
                <c:pt idx="18">
                  <c:v>-37</c:v>
                </c:pt>
                <c:pt idx="19">
                  <c:v>-36</c:v>
                </c:pt>
                <c:pt idx="20">
                  <c:v>-35</c:v>
                </c:pt>
                <c:pt idx="21">
                  <c:v>-34</c:v>
                </c:pt>
                <c:pt idx="22">
                  <c:v>-33</c:v>
                </c:pt>
                <c:pt idx="23">
                  <c:v>-32</c:v>
                </c:pt>
                <c:pt idx="24">
                  <c:v>-31</c:v>
                </c:pt>
                <c:pt idx="25">
                  <c:v>-30</c:v>
                </c:pt>
                <c:pt idx="26">
                  <c:v>-28</c:v>
                </c:pt>
                <c:pt idx="27">
                  <c:v>-27</c:v>
                </c:pt>
                <c:pt idx="28">
                  <c:v>-26</c:v>
                </c:pt>
                <c:pt idx="29">
                  <c:v>-25</c:v>
                </c:pt>
                <c:pt idx="30">
                  <c:v>-24</c:v>
                </c:pt>
                <c:pt idx="31">
                  <c:v>-23</c:v>
                </c:pt>
                <c:pt idx="32">
                  <c:v>-22</c:v>
                </c:pt>
                <c:pt idx="33">
                  <c:v>-20</c:v>
                </c:pt>
                <c:pt idx="34">
                  <c:v>-19</c:v>
                </c:pt>
                <c:pt idx="35">
                  <c:v>-18</c:v>
                </c:pt>
                <c:pt idx="36">
                  <c:v>-17</c:v>
                </c:pt>
                <c:pt idx="37">
                  <c:v>-16</c:v>
                </c:pt>
                <c:pt idx="38">
                  <c:v>-15</c:v>
                </c:pt>
                <c:pt idx="39">
                  <c:v>-14</c:v>
                </c:pt>
                <c:pt idx="40">
                  <c:v>-13</c:v>
                </c:pt>
                <c:pt idx="41">
                  <c:v>-12</c:v>
                </c:pt>
                <c:pt idx="42">
                  <c:v>-11</c:v>
                </c:pt>
                <c:pt idx="43">
                  <c:v>-9</c:v>
                </c:pt>
                <c:pt idx="44">
                  <c:v>-8</c:v>
                </c:pt>
                <c:pt idx="45">
                  <c:v>-6</c:v>
                </c:pt>
                <c:pt idx="46">
                  <c:v>-5</c:v>
                </c:pt>
                <c:pt idx="47">
                  <c:v>-4</c:v>
                </c:pt>
                <c:pt idx="48">
                  <c:v>-3</c:v>
                </c:pt>
                <c:pt idx="49">
                  <c:v>-2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</c:numCache>
            </c:numRef>
          </c:cat>
          <c:val>
            <c:numRef>
              <c:f>Latitude!$F$3:$F$114</c:f>
              <c:numCache>
                <c:formatCode>0.00_ </c:formatCode>
                <c:ptCount val="112"/>
                <c:pt idx="5">
                  <c:v>0.15</c:v>
                </c:pt>
                <c:pt idx="6">
                  <c:v>0.17799999999999999</c:v>
                </c:pt>
                <c:pt idx="7">
                  <c:v>0.32424999999999998</c:v>
                </c:pt>
                <c:pt idx="9">
                  <c:v>0.41199999999999998</c:v>
                </c:pt>
                <c:pt idx="10">
                  <c:v>0.29899999999999999</c:v>
                </c:pt>
                <c:pt idx="13">
                  <c:v>0.39866666666666672</c:v>
                </c:pt>
                <c:pt idx="14">
                  <c:v>0.33300000000000002</c:v>
                </c:pt>
                <c:pt idx="15">
                  <c:v>0.39266666666666672</c:v>
                </c:pt>
                <c:pt idx="16">
                  <c:v>0.42949999999999999</c:v>
                </c:pt>
                <c:pt idx="17">
                  <c:v>0.39785714285714291</c:v>
                </c:pt>
                <c:pt idx="19">
                  <c:v>0.43099999999999999</c:v>
                </c:pt>
                <c:pt idx="20">
                  <c:v>0.40558333333324997</c:v>
                </c:pt>
                <c:pt idx="21">
                  <c:v>0.42</c:v>
                </c:pt>
                <c:pt idx="22">
                  <c:v>0.4327833333333333</c:v>
                </c:pt>
                <c:pt idx="23">
                  <c:v>-7.8925000000000001</c:v>
                </c:pt>
                <c:pt idx="24">
                  <c:v>0.35899999999999999</c:v>
                </c:pt>
                <c:pt idx="26">
                  <c:v>0.46400000000000002</c:v>
                </c:pt>
                <c:pt idx="27">
                  <c:v>0.45316666666674998</c:v>
                </c:pt>
                <c:pt idx="28">
                  <c:v>0.45700000000000002</c:v>
                </c:pt>
                <c:pt idx="29">
                  <c:v>0.50075000000000003</c:v>
                </c:pt>
                <c:pt idx="30">
                  <c:v>0.45800000000000002</c:v>
                </c:pt>
                <c:pt idx="31">
                  <c:v>0.45866666666666661</c:v>
                </c:pt>
                <c:pt idx="32">
                  <c:v>0.49199999999999999</c:v>
                </c:pt>
                <c:pt idx="33">
                  <c:v>0.46266666666666673</c:v>
                </c:pt>
                <c:pt idx="34">
                  <c:v>0.47777777777766672</c:v>
                </c:pt>
                <c:pt idx="35">
                  <c:v>0.45340000000000003</c:v>
                </c:pt>
                <c:pt idx="36">
                  <c:v>0.40225</c:v>
                </c:pt>
                <c:pt idx="37">
                  <c:v>0.46700000000000003</c:v>
                </c:pt>
                <c:pt idx="38">
                  <c:v>0.47599999999999998</c:v>
                </c:pt>
                <c:pt idx="39">
                  <c:v>0.41699999999999998</c:v>
                </c:pt>
                <c:pt idx="40">
                  <c:v>0.45400000000000001</c:v>
                </c:pt>
                <c:pt idx="41">
                  <c:v>0.50266666666666671</c:v>
                </c:pt>
                <c:pt idx="42">
                  <c:v>0.47399999999999998</c:v>
                </c:pt>
                <c:pt idx="43">
                  <c:v>0.38479999999999998</c:v>
                </c:pt>
                <c:pt idx="44">
                  <c:v>0.45700000000000002</c:v>
                </c:pt>
                <c:pt idx="45">
                  <c:v>0.42499999999999999</c:v>
                </c:pt>
                <c:pt idx="46">
                  <c:v>0.47599999999999998</c:v>
                </c:pt>
                <c:pt idx="47">
                  <c:v>0.44900000000000001</c:v>
                </c:pt>
                <c:pt idx="48">
                  <c:v>0.43233333333333329</c:v>
                </c:pt>
                <c:pt idx="49">
                  <c:v>0.4306666666666667</c:v>
                </c:pt>
                <c:pt idx="50">
                  <c:v>0.44537500000000002</c:v>
                </c:pt>
                <c:pt idx="51">
                  <c:v>0.46</c:v>
                </c:pt>
                <c:pt idx="52">
                  <c:v>0.46</c:v>
                </c:pt>
                <c:pt idx="53">
                  <c:v>0.46</c:v>
                </c:pt>
                <c:pt idx="55">
                  <c:v>0.443</c:v>
                </c:pt>
                <c:pt idx="56">
                  <c:v>0.46725</c:v>
                </c:pt>
                <c:pt idx="57">
                  <c:v>0.482875</c:v>
                </c:pt>
                <c:pt idx="58">
                  <c:v>0.47599999999999998</c:v>
                </c:pt>
                <c:pt idx="59">
                  <c:v>0.47099999999999997</c:v>
                </c:pt>
                <c:pt idx="60">
                  <c:v>0.48388888888888881</c:v>
                </c:pt>
                <c:pt idx="61">
                  <c:v>0.46899999999999997</c:v>
                </c:pt>
                <c:pt idx="62">
                  <c:v>0.49099999999999999</c:v>
                </c:pt>
                <c:pt idx="63">
                  <c:v>0.49512499999999998</c:v>
                </c:pt>
                <c:pt idx="64">
                  <c:v>0.47649999999999998</c:v>
                </c:pt>
                <c:pt idx="65">
                  <c:v>0.47131250000000002</c:v>
                </c:pt>
                <c:pt idx="66">
                  <c:v>0.51293750000000005</c:v>
                </c:pt>
                <c:pt idx="67">
                  <c:v>0.58102941176470591</c:v>
                </c:pt>
                <c:pt idx="68">
                  <c:v>0.54066666666666663</c:v>
                </c:pt>
                <c:pt idx="69">
                  <c:v>0.54999999999999993</c:v>
                </c:pt>
                <c:pt idx="70">
                  <c:v>0.59004166666666669</c:v>
                </c:pt>
                <c:pt idx="71">
                  <c:v>0.53066666666666662</c:v>
                </c:pt>
                <c:pt idx="72">
                  <c:v>0.54780769230769233</c:v>
                </c:pt>
                <c:pt idx="73">
                  <c:v>0.5263355263157895</c:v>
                </c:pt>
                <c:pt idx="74">
                  <c:v>0.46987499999999999</c:v>
                </c:pt>
                <c:pt idx="75">
                  <c:v>0.44900000000000001</c:v>
                </c:pt>
                <c:pt idx="76">
                  <c:v>0.50409999999999999</c:v>
                </c:pt>
                <c:pt idx="77">
                  <c:v>0.46670370370366671</c:v>
                </c:pt>
                <c:pt idx="78">
                  <c:v>0.44974999999999998</c:v>
                </c:pt>
                <c:pt idx="79">
                  <c:v>0.51600000000000001</c:v>
                </c:pt>
                <c:pt idx="80">
                  <c:v>0.50475000000000003</c:v>
                </c:pt>
                <c:pt idx="81">
                  <c:v>0.4371666666666667</c:v>
                </c:pt>
                <c:pt idx="82">
                  <c:v>0.47599999999999998</c:v>
                </c:pt>
                <c:pt idx="83">
                  <c:v>0.46192857142857152</c:v>
                </c:pt>
                <c:pt idx="84">
                  <c:v>0.46190476190466673</c:v>
                </c:pt>
                <c:pt idx="85">
                  <c:v>0.43099999999999999</c:v>
                </c:pt>
                <c:pt idx="86">
                  <c:v>0.44823888888886659</c:v>
                </c:pt>
                <c:pt idx="87">
                  <c:v>0.45574999999999999</c:v>
                </c:pt>
                <c:pt idx="88">
                  <c:v>0.44635185185185189</c:v>
                </c:pt>
                <c:pt idx="89">
                  <c:v>0.48655555555555552</c:v>
                </c:pt>
                <c:pt idx="90">
                  <c:v>0.50366666666669235</c:v>
                </c:pt>
                <c:pt idx="91">
                  <c:v>0.49562499999999998</c:v>
                </c:pt>
                <c:pt idx="92">
                  <c:v>0.39761111111111108</c:v>
                </c:pt>
                <c:pt idx="93">
                  <c:v>0.44474999999999998</c:v>
                </c:pt>
                <c:pt idx="94">
                  <c:v>0.44790000000000002</c:v>
                </c:pt>
                <c:pt idx="95">
                  <c:v>0.4294</c:v>
                </c:pt>
                <c:pt idx="96">
                  <c:v>0.49496153846153851</c:v>
                </c:pt>
                <c:pt idx="97">
                  <c:v>0.54276190476185715</c:v>
                </c:pt>
                <c:pt idx="98">
                  <c:v>0.4123</c:v>
                </c:pt>
                <c:pt idx="99">
                  <c:v>0.44323333333339998</c:v>
                </c:pt>
                <c:pt idx="100">
                  <c:v>0.40231481481466669</c:v>
                </c:pt>
                <c:pt idx="101">
                  <c:v>0.43637500000000001</c:v>
                </c:pt>
                <c:pt idx="102">
                  <c:v>0.41365151515145449</c:v>
                </c:pt>
                <c:pt idx="103">
                  <c:v>0.47062777777766668</c:v>
                </c:pt>
                <c:pt idx="104">
                  <c:v>0.44763043478260872</c:v>
                </c:pt>
                <c:pt idx="105">
                  <c:v>0.42298000000000002</c:v>
                </c:pt>
                <c:pt idx="106">
                  <c:v>0.35457333333331997</c:v>
                </c:pt>
                <c:pt idx="107">
                  <c:v>0.37272833333330002</c:v>
                </c:pt>
                <c:pt idx="108">
                  <c:v>0.3308518518518333</c:v>
                </c:pt>
                <c:pt idx="109">
                  <c:v>0.32410714285714282</c:v>
                </c:pt>
                <c:pt idx="110">
                  <c:v>0.20895</c:v>
                </c:pt>
                <c:pt idx="111">
                  <c:v>0.22866666666666671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BB-4D43-8BAB-35D996F18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05847103"/>
        <c:axId val="1705849599"/>
      </c:barChart>
      <c:catAx>
        <c:axId val="170584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05849599"/>
        <c:crosses val="autoZero"/>
        <c:auto val="1"/>
        <c:lblAlgn val="ctr"/>
        <c:lblOffset val="100"/>
        <c:noMultiLvlLbl val="0"/>
      </c:catAx>
      <c:valAx>
        <c:axId val="1705849599"/>
        <c:scaling>
          <c:orientation val="minMax"/>
          <c:max val="1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in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05847103"/>
        <c:crosses val="autoZero"/>
        <c:crossBetween val="between"/>
        <c:majorUnit val="0.70000000000000007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621241</xdr:colOff>
      <xdr:row>1</xdr:row>
      <xdr:rowOff>0</xdr:rowOff>
    </xdr:from>
    <xdr:to>
      <xdr:col>22</xdr:col>
      <xdr:colOff>279024</xdr:colOff>
      <xdr:row>10</xdr:row>
      <xdr:rowOff>164042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F3F9172-5FFF-4DDB-BC02-E2AF9B5E1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612320</xdr:colOff>
      <xdr:row>12</xdr:row>
      <xdr:rowOff>68037</xdr:rowOff>
    </xdr:from>
    <xdr:to>
      <xdr:col>22</xdr:col>
      <xdr:colOff>326571</xdr:colOff>
      <xdr:row>23</xdr:row>
      <xdr:rowOff>81643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922BFB6-1892-438A-BD57-2C147FE2B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37307</xdr:colOff>
      <xdr:row>4</xdr:row>
      <xdr:rowOff>33338</xdr:rowOff>
    </xdr:from>
    <xdr:to>
      <xdr:col>12</xdr:col>
      <xdr:colOff>624683</xdr:colOff>
      <xdr:row>26</xdr:row>
      <xdr:rowOff>115094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5CC15AE-7A50-4998-8A7D-A92390038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82020</xdr:colOff>
      <xdr:row>3</xdr:row>
      <xdr:rowOff>144461</xdr:rowOff>
    </xdr:from>
    <xdr:to>
      <xdr:col>15</xdr:col>
      <xdr:colOff>582083</xdr:colOff>
      <xdr:row>28</xdr:row>
      <xdr:rowOff>15875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52F299-F204-4389-9777-14B85A737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60MoveData\Users\tingz\Desktop\PD_Research_submitted\Figure%201-&#20840;&#29699;&#29616;&#29366;&#20998;&#24067;&#22270;\St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1"/>
      <sheetName val="SLR-m"/>
      <sheetName val="SLR"/>
      <sheetName val="Sta1中删除的"/>
      <sheetName val="X"/>
      <sheetName val="Y"/>
      <sheetName val="SLR-X"/>
      <sheetName val="SLR-Y"/>
      <sheetName val="SLR-m-X"/>
      <sheetName val="SLR-m-Y"/>
    </sheetNames>
    <sheetDataSet>
      <sheetData sheetId="0"/>
      <sheetData sheetId="1">
        <row r="2">
          <cell r="A2">
            <v>123</v>
          </cell>
        </row>
      </sheetData>
      <sheetData sheetId="2">
        <row r="2">
          <cell r="A2">
            <v>2548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A2">
            <v>-173</v>
          </cell>
          <cell r="B2">
            <v>0.45200000000000001</v>
          </cell>
          <cell r="C2">
            <v>0.56699999999999995</v>
          </cell>
          <cell r="D2">
            <v>0.67600000000000005</v>
          </cell>
          <cell r="E2">
            <v>0.752</v>
          </cell>
        </row>
        <row r="3">
          <cell r="A3">
            <v>-163</v>
          </cell>
          <cell r="B3">
            <v>0.32300000000000001</v>
          </cell>
          <cell r="C3">
            <v>0.42399999999999999</v>
          </cell>
          <cell r="D3">
            <v>0.50700000000000001</v>
          </cell>
          <cell r="E3">
            <v>0.60799999999999998</v>
          </cell>
        </row>
        <row r="4">
          <cell r="A4">
            <v>-141</v>
          </cell>
          <cell r="B4">
            <v>1.2E-2</v>
          </cell>
          <cell r="C4">
            <v>8.7999999999999995E-2</v>
          </cell>
          <cell r="D4">
            <v>0.126</v>
          </cell>
          <cell r="E4">
            <v>0.19400000000000001</v>
          </cell>
        </row>
        <row r="5">
          <cell r="A5">
            <v>-124</v>
          </cell>
          <cell r="B5">
            <v>0.41525000000000001</v>
          </cell>
          <cell r="C5">
            <v>0.50350000000000006</v>
          </cell>
          <cell r="D5">
            <v>0.59575</v>
          </cell>
          <cell r="E5">
            <v>0.67149999999999999</v>
          </cell>
        </row>
        <row r="6">
          <cell r="A6">
            <v>-123</v>
          </cell>
          <cell r="B6">
            <v>0.255666666667</v>
          </cell>
          <cell r="C6">
            <v>0.33333333333300003</v>
          </cell>
          <cell r="D6">
            <v>0.41466666666699997</v>
          </cell>
          <cell r="E6">
            <v>0.48422222222200001</v>
          </cell>
        </row>
        <row r="7">
          <cell r="A7">
            <v>-117</v>
          </cell>
          <cell r="B7">
            <v>0.41699999999999998</v>
          </cell>
          <cell r="C7">
            <v>0.51700000000000002</v>
          </cell>
          <cell r="D7">
            <v>0.62450000000000006</v>
          </cell>
          <cell r="E7">
            <v>0.71699999999999997</v>
          </cell>
        </row>
        <row r="8">
          <cell r="A8">
            <v>-116</v>
          </cell>
          <cell r="B8">
            <v>0.49399999999999999</v>
          </cell>
          <cell r="C8">
            <v>0.59799999999999998</v>
          </cell>
          <cell r="D8">
            <v>0.71099999999999997</v>
          </cell>
          <cell r="E8">
            <v>0.79900000000000004</v>
          </cell>
        </row>
        <row r="9">
          <cell r="A9">
            <v>-115</v>
          </cell>
          <cell r="B9">
            <v>0.43</v>
          </cell>
          <cell r="C9">
            <v>0.52900000000000003</v>
          </cell>
          <cell r="D9">
            <v>0.63200000000000001</v>
          </cell>
          <cell r="E9">
            <v>0.72399999999999998</v>
          </cell>
        </row>
        <row r="10">
          <cell r="A10">
            <v>-114</v>
          </cell>
          <cell r="B10">
            <v>0.48983333333333329</v>
          </cell>
          <cell r="C10">
            <v>0.59199999999999997</v>
          </cell>
          <cell r="D10">
            <v>0.70000000000000007</v>
          </cell>
          <cell r="E10">
            <v>0.78566666666666662</v>
          </cell>
        </row>
        <row r="11">
          <cell r="A11">
            <v>-113</v>
          </cell>
          <cell r="B11">
            <v>0.51300000000000001</v>
          </cell>
          <cell r="C11">
            <v>0.61199999999999999</v>
          </cell>
          <cell r="D11">
            <v>0.72099999999999997</v>
          </cell>
          <cell r="E11">
            <v>0.80633333333333335</v>
          </cell>
        </row>
        <row r="12">
          <cell r="A12">
            <v>-112</v>
          </cell>
          <cell r="B12">
            <v>0.52224999999999999</v>
          </cell>
          <cell r="C12">
            <v>0.62250000000000005</v>
          </cell>
          <cell r="D12">
            <v>0.73099999999999998</v>
          </cell>
          <cell r="E12">
            <v>0.8135</v>
          </cell>
        </row>
        <row r="13">
          <cell r="A13">
            <v>-111</v>
          </cell>
          <cell r="B13">
            <v>0.54866666666666675</v>
          </cell>
          <cell r="C13">
            <v>0.64633333333333332</v>
          </cell>
          <cell r="D13">
            <v>0.7553333333333333</v>
          </cell>
          <cell r="E13">
            <v>0.83466666666666667</v>
          </cell>
        </row>
        <row r="14">
          <cell r="A14">
            <v>-110</v>
          </cell>
          <cell r="B14">
            <v>0.50700000000000001</v>
          </cell>
          <cell r="C14">
            <v>0.60312500000000002</v>
          </cell>
          <cell r="D14">
            <v>0.71724999999999994</v>
          </cell>
          <cell r="E14">
            <v>0.79400000000000004</v>
          </cell>
        </row>
        <row r="15">
          <cell r="A15">
            <v>-109</v>
          </cell>
          <cell r="B15">
            <v>0.51</v>
          </cell>
          <cell r="C15">
            <v>0.60666666666666658</v>
          </cell>
          <cell r="D15">
            <v>0.71866666666666656</v>
          </cell>
          <cell r="E15">
            <v>0.79466666666666674</v>
          </cell>
        </row>
        <row r="16">
          <cell r="A16">
            <v>-108</v>
          </cell>
          <cell r="B16">
            <v>0.51</v>
          </cell>
          <cell r="C16">
            <v>0.60850000000000004</v>
          </cell>
          <cell r="D16">
            <v>0.72199999999999998</v>
          </cell>
          <cell r="E16">
            <v>0.79800000000000004</v>
          </cell>
        </row>
        <row r="17">
          <cell r="A17">
            <v>-107</v>
          </cell>
          <cell r="B17">
            <v>0.52200000000000002</v>
          </cell>
          <cell r="C17">
            <v>0.62149999999999994</v>
          </cell>
          <cell r="D17">
            <v>0.73699999999999999</v>
          </cell>
          <cell r="E17">
            <v>0.8135</v>
          </cell>
        </row>
        <row r="18">
          <cell r="A18">
            <v>-106</v>
          </cell>
          <cell r="B18">
            <v>0.54600000000000004</v>
          </cell>
          <cell r="C18">
            <v>0.64700000000000002</v>
          </cell>
          <cell r="D18">
            <v>0.7636666666666666</v>
          </cell>
          <cell r="E18">
            <v>0.83933333333333326</v>
          </cell>
        </row>
        <row r="19">
          <cell r="A19">
            <v>-105</v>
          </cell>
          <cell r="B19">
            <v>0.61471428571428566</v>
          </cell>
          <cell r="C19">
            <v>0.71899999999999997</v>
          </cell>
          <cell r="D19">
            <v>0.8394285714285713</v>
          </cell>
          <cell r="E19">
            <v>0.91485714285714281</v>
          </cell>
        </row>
        <row r="20">
          <cell r="A20">
            <v>-104</v>
          </cell>
          <cell r="B20">
            <v>0.66800000000000004</v>
          </cell>
          <cell r="C20">
            <v>0.77300000000000002</v>
          </cell>
          <cell r="D20">
            <v>0.89549999999999996</v>
          </cell>
          <cell r="E20">
            <v>0.97099999999999997</v>
          </cell>
        </row>
        <row r="21">
          <cell r="A21">
            <v>-103</v>
          </cell>
          <cell r="B21">
            <v>0.70599999999999996</v>
          </cell>
          <cell r="C21">
            <v>0.81399999999999995</v>
          </cell>
          <cell r="D21">
            <v>0.93799999999999994</v>
          </cell>
          <cell r="E21">
            <v>1.0129999999999999</v>
          </cell>
        </row>
        <row r="22">
          <cell r="A22">
            <v>-102</v>
          </cell>
          <cell r="B22">
            <v>0.72</v>
          </cell>
          <cell r="C22">
            <v>0.82799999999999996</v>
          </cell>
          <cell r="D22">
            <v>0.95199999999999996</v>
          </cell>
          <cell r="E22">
            <v>1.028</v>
          </cell>
        </row>
        <row r="23">
          <cell r="A23">
            <v>-99</v>
          </cell>
          <cell r="B23">
            <v>0.73699999999999999</v>
          </cell>
          <cell r="C23">
            <v>0.84699999999999998</v>
          </cell>
          <cell r="D23">
            <v>0.97399999999999998</v>
          </cell>
          <cell r="E23">
            <v>1.05</v>
          </cell>
        </row>
        <row r="24">
          <cell r="A24">
            <v>-98</v>
          </cell>
          <cell r="B24">
            <v>0.67509999999999992</v>
          </cell>
          <cell r="C24">
            <v>0.78680000000000005</v>
          </cell>
          <cell r="D24">
            <v>0.91249999999999998</v>
          </cell>
          <cell r="E24">
            <v>1</v>
          </cell>
        </row>
        <row r="25">
          <cell r="A25">
            <v>-97</v>
          </cell>
          <cell r="B25">
            <v>0.64700000000000002</v>
          </cell>
          <cell r="C25">
            <v>0.76300000000000001</v>
          </cell>
          <cell r="D25">
            <v>0.88800000000000001</v>
          </cell>
          <cell r="E25">
            <v>0.98199999999999998</v>
          </cell>
        </row>
        <row r="26">
          <cell r="A26">
            <v>-96</v>
          </cell>
          <cell r="B26">
            <v>0.53239999999999998</v>
          </cell>
          <cell r="C26">
            <v>0.64670000000000005</v>
          </cell>
          <cell r="D26">
            <v>0.77250000000000008</v>
          </cell>
          <cell r="E26">
            <v>0.86319999999999997</v>
          </cell>
        </row>
        <row r="27">
          <cell r="A27">
            <v>-95</v>
          </cell>
          <cell r="B27">
            <v>0.51</v>
          </cell>
          <cell r="C27">
            <v>0.62549999999999994</v>
          </cell>
          <cell r="D27">
            <v>0.75</v>
          </cell>
          <cell r="E27">
            <v>0.84299999999999997</v>
          </cell>
        </row>
        <row r="28">
          <cell r="A28">
            <v>-94</v>
          </cell>
          <cell r="B28">
            <v>0.55800000000000005</v>
          </cell>
          <cell r="C28">
            <v>0.66400000000000003</v>
          </cell>
          <cell r="D28">
            <v>0.79400000000000004</v>
          </cell>
          <cell r="E28">
            <v>0.86799999999999999</v>
          </cell>
        </row>
        <row r="29">
          <cell r="A29">
            <v>-93</v>
          </cell>
          <cell r="B29">
            <v>0.53400000000000003</v>
          </cell>
          <cell r="C29">
            <v>0.63800000000000001</v>
          </cell>
          <cell r="D29">
            <v>0.77200000000000002</v>
          </cell>
          <cell r="E29">
            <v>0.84599999999999997</v>
          </cell>
        </row>
        <row r="30">
          <cell r="A30">
            <v>-92</v>
          </cell>
          <cell r="B30">
            <v>0.54869999999999997</v>
          </cell>
          <cell r="C30">
            <v>0.65639999999999998</v>
          </cell>
          <cell r="D30">
            <v>0.78579999999999994</v>
          </cell>
          <cell r="E30">
            <v>0.86810000000000009</v>
          </cell>
        </row>
        <row r="31">
          <cell r="A31">
            <v>-91</v>
          </cell>
          <cell r="B31">
            <v>0.57150000000000001</v>
          </cell>
          <cell r="C31">
            <v>0.68500000000000005</v>
          </cell>
          <cell r="D31">
            <v>0.82150000000000001</v>
          </cell>
          <cell r="E31">
            <v>0.90450000000000008</v>
          </cell>
        </row>
        <row r="32">
          <cell r="A32">
            <v>-90</v>
          </cell>
          <cell r="B32">
            <v>0.59587499999999993</v>
          </cell>
          <cell r="C32">
            <v>0.70774999999999999</v>
          </cell>
          <cell r="D32">
            <v>0.83499999999999996</v>
          </cell>
          <cell r="E32">
            <v>0.91849999999999998</v>
          </cell>
        </row>
        <row r="33">
          <cell r="A33">
            <v>-89</v>
          </cell>
          <cell r="B33">
            <v>0.59210000000000007</v>
          </cell>
          <cell r="C33">
            <v>0.70440000000000003</v>
          </cell>
          <cell r="D33">
            <v>0.83260000000000001</v>
          </cell>
          <cell r="E33">
            <v>0.91300000000000003</v>
          </cell>
        </row>
        <row r="34">
          <cell r="A34">
            <v>-88</v>
          </cell>
          <cell r="B34">
            <v>0.73083333333333333</v>
          </cell>
          <cell r="C34">
            <v>0.85808333333333342</v>
          </cell>
          <cell r="D34">
            <v>0.97683333333333344</v>
          </cell>
          <cell r="E34">
            <v>1.0687500000000001</v>
          </cell>
        </row>
        <row r="35">
          <cell r="A35">
            <v>-87</v>
          </cell>
          <cell r="B35">
            <v>0.65366666666666673</v>
          </cell>
          <cell r="C35">
            <v>0.77716666666666667</v>
          </cell>
          <cell r="D35">
            <v>0.89733333333333343</v>
          </cell>
          <cell r="E35">
            <v>0.9863333333333334</v>
          </cell>
        </row>
        <row r="36">
          <cell r="A36">
            <v>-86</v>
          </cell>
          <cell r="B36">
            <v>0.50466666666666671</v>
          </cell>
          <cell r="C36">
            <v>0.60733333333333339</v>
          </cell>
          <cell r="D36">
            <v>0.74199999999999999</v>
          </cell>
          <cell r="E36">
            <v>0.81800000000000006</v>
          </cell>
        </row>
        <row r="37">
          <cell r="A37">
            <v>-85</v>
          </cell>
          <cell r="B37">
            <v>0.57320000000000004</v>
          </cell>
          <cell r="C37">
            <v>0.69530000000000003</v>
          </cell>
          <cell r="D37">
            <v>0.81730000000000003</v>
          </cell>
          <cell r="E37">
            <v>0.90290000000000004</v>
          </cell>
        </row>
        <row r="38">
          <cell r="A38">
            <v>-84</v>
          </cell>
          <cell r="B38">
            <v>0.39</v>
          </cell>
          <cell r="C38">
            <v>0.51375000000000004</v>
          </cell>
          <cell r="D38">
            <v>0.63850000000000007</v>
          </cell>
          <cell r="E38">
            <v>0.73275000000000001</v>
          </cell>
        </row>
        <row r="39">
          <cell r="A39">
            <v>-83</v>
          </cell>
          <cell r="B39">
            <v>0.53100000000000003</v>
          </cell>
          <cell r="C39">
            <v>0.65825</v>
          </cell>
          <cell r="D39">
            <v>0.77987499999999998</v>
          </cell>
          <cell r="E39">
            <v>0.86787499999999995</v>
          </cell>
        </row>
        <row r="40">
          <cell r="A40">
            <v>-82</v>
          </cell>
          <cell r="B40">
            <v>0.48266666666666658</v>
          </cell>
          <cell r="C40">
            <v>0.60266666666666657</v>
          </cell>
          <cell r="D40">
            <v>0.73166666666666658</v>
          </cell>
          <cell r="E40">
            <v>0.81599999999999995</v>
          </cell>
        </row>
        <row r="41">
          <cell r="A41">
            <v>-81</v>
          </cell>
          <cell r="B41">
            <v>0.52259999999999995</v>
          </cell>
          <cell r="C41">
            <v>0.64100000000000001</v>
          </cell>
          <cell r="D41">
            <v>0.76500000000000001</v>
          </cell>
          <cell r="E41">
            <v>0.84819999999999995</v>
          </cell>
        </row>
        <row r="42">
          <cell r="A42">
            <v>-80</v>
          </cell>
          <cell r="B42">
            <v>0.23749999999999999</v>
          </cell>
          <cell r="C42">
            <v>0.35675000000000001</v>
          </cell>
          <cell r="D42">
            <v>0.48025000000000001</v>
          </cell>
          <cell r="E42">
            <v>0.57724999999999993</v>
          </cell>
        </row>
        <row r="43">
          <cell r="A43">
            <v>-79</v>
          </cell>
          <cell r="B43">
            <v>0.50800000000000001</v>
          </cell>
          <cell r="C43">
            <v>0.63100000000000001</v>
          </cell>
          <cell r="D43">
            <v>0.74350000000000005</v>
          </cell>
          <cell r="E43">
            <v>0.82800000000000007</v>
          </cell>
        </row>
        <row r="44">
          <cell r="A44">
            <v>-78</v>
          </cell>
          <cell r="B44">
            <v>0.47591666666666671</v>
          </cell>
          <cell r="C44">
            <v>0.59275</v>
          </cell>
          <cell r="D44">
            <v>0.70866666666666667</v>
          </cell>
          <cell r="E44">
            <v>0.79316666666666658</v>
          </cell>
        </row>
        <row r="45">
          <cell r="A45">
            <v>-77</v>
          </cell>
          <cell r="B45">
            <v>0.46200000000000002</v>
          </cell>
          <cell r="C45">
            <v>0.58599999999999997</v>
          </cell>
          <cell r="D45">
            <v>0.68666666666666665</v>
          </cell>
          <cell r="E45">
            <v>0.77333333333333332</v>
          </cell>
        </row>
        <row r="46">
          <cell r="A46">
            <v>-76</v>
          </cell>
          <cell r="B46">
            <v>0.5625</v>
          </cell>
          <cell r="C46">
            <v>0.68599999999999994</v>
          </cell>
          <cell r="D46">
            <v>0.8155</v>
          </cell>
          <cell r="E46">
            <v>0.89733333333499998</v>
          </cell>
        </row>
        <row r="47">
          <cell r="A47">
            <v>-75</v>
          </cell>
          <cell r="B47">
            <v>0.62424999999999997</v>
          </cell>
          <cell r="C47">
            <v>0.75891666666649993</v>
          </cell>
          <cell r="D47">
            <v>0.86850000000000005</v>
          </cell>
          <cell r="E47">
            <v>0.96499999999999997</v>
          </cell>
        </row>
        <row r="48">
          <cell r="A48">
            <v>-74</v>
          </cell>
          <cell r="B48">
            <v>0.40375</v>
          </cell>
          <cell r="C48">
            <v>0.499</v>
          </cell>
          <cell r="D48">
            <v>0.57050000000000001</v>
          </cell>
          <cell r="E48">
            <v>0.63624999999999998</v>
          </cell>
        </row>
        <row r="49">
          <cell r="A49">
            <v>-73</v>
          </cell>
          <cell r="B49">
            <v>0.52400000000000002</v>
          </cell>
          <cell r="C49">
            <v>0.65500000000000003</v>
          </cell>
          <cell r="D49">
            <v>0.753</v>
          </cell>
          <cell r="E49">
            <v>0.85</v>
          </cell>
        </row>
        <row r="50">
          <cell r="A50">
            <v>-72</v>
          </cell>
          <cell r="B50">
            <v>0.32450000000000001</v>
          </cell>
          <cell r="C50">
            <v>0.43233333333333329</v>
          </cell>
          <cell r="D50">
            <v>0.54566666666666663</v>
          </cell>
          <cell r="E50">
            <v>0.61916666666666664</v>
          </cell>
        </row>
        <row r="51">
          <cell r="A51">
            <v>-71</v>
          </cell>
          <cell r="B51">
            <v>0.33666666666666673</v>
          </cell>
          <cell r="C51">
            <v>0.42233333333333328</v>
          </cell>
          <cell r="D51">
            <v>0.49533333333333329</v>
          </cell>
          <cell r="E51">
            <v>0.55366666666666664</v>
          </cell>
        </row>
        <row r="52">
          <cell r="A52">
            <v>-70</v>
          </cell>
          <cell r="B52">
            <v>0.52100000000000002</v>
          </cell>
          <cell r="C52">
            <v>0.64800000000000002</v>
          </cell>
          <cell r="D52">
            <v>0.76800000000000002</v>
          </cell>
          <cell r="E52">
            <v>0.86</v>
          </cell>
        </row>
        <row r="53">
          <cell r="A53">
            <v>-69</v>
          </cell>
          <cell r="B53">
            <v>0.38892857142857151</v>
          </cell>
          <cell r="C53">
            <v>0.50971428571428568</v>
          </cell>
          <cell r="D53">
            <v>0.62071428571428566</v>
          </cell>
          <cell r="E53">
            <v>0.71021428571428569</v>
          </cell>
        </row>
        <row r="54">
          <cell r="A54">
            <v>-68</v>
          </cell>
          <cell r="B54">
            <v>0.45133333333333342</v>
          </cell>
          <cell r="C54">
            <v>0.57666666666666666</v>
          </cell>
          <cell r="D54">
            <v>0.6905</v>
          </cell>
          <cell r="E54">
            <v>0.77716666666666667</v>
          </cell>
        </row>
        <row r="55">
          <cell r="A55">
            <v>-67</v>
          </cell>
          <cell r="B55">
            <v>0.51400000000000001</v>
          </cell>
          <cell r="C55">
            <v>0.64100000000000001</v>
          </cell>
          <cell r="D55">
            <v>0.75600000000000001</v>
          </cell>
          <cell r="E55">
            <v>0.84799999999999998</v>
          </cell>
        </row>
        <row r="56">
          <cell r="A56">
            <v>-66</v>
          </cell>
          <cell r="B56">
            <v>0.46500000000000002</v>
          </cell>
          <cell r="C56">
            <v>0.58966666666666667</v>
          </cell>
          <cell r="D56">
            <v>0.69766666666666666</v>
          </cell>
          <cell r="E56">
            <v>0.79599999999999993</v>
          </cell>
        </row>
        <row r="57">
          <cell r="A57">
            <v>-65</v>
          </cell>
          <cell r="B57">
            <v>0.57383333333333331</v>
          </cell>
          <cell r="C57">
            <v>0.70066666666666677</v>
          </cell>
          <cell r="D57">
            <v>0.79966666666666664</v>
          </cell>
          <cell r="E57">
            <v>0.89849999999999997</v>
          </cell>
        </row>
        <row r="58">
          <cell r="A58">
            <v>-64</v>
          </cell>
          <cell r="B58">
            <v>0.54066666666666674</v>
          </cell>
          <cell r="C58">
            <v>0.6684444444444444</v>
          </cell>
          <cell r="D58">
            <v>0.77744444444444438</v>
          </cell>
          <cell r="E58">
            <v>0.87777777777777777</v>
          </cell>
        </row>
        <row r="59">
          <cell r="A59">
            <v>-63</v>
          </cell>
          <cell r="B59">
            <v>0.49375000000000002</v>
          </cell>
          <cell r="C59">
            <v>0.62125000000000008</v>
          </cell>
          <cell r="D59">
            <v>0.72499999999999998</v>
          </cell>
          <cell r="E59">
            <v>0.82450000000000001</v>
          </cell>
        </row>
        <row r="60">
          <cell r="A60">
            <v>-62</v>
          </cell>
          <cell r="B60">
            <v>0.42283333333333328</v>
          </cell>
          <cell r="C60">
            <v>0.54633333333333334</v>
          </cell>
          <cell r="D60">
            <v>0.65083333333333337</v>
          </cell>
          <cell r="E60">
            <v>0.7413333333333334</v>
          </cell>
        </row>
        <row r="61">
          <cell r="A61">
            <v>-61</v>
          </cell>
          <cell r="B61">
            <v>0.45600000000000002</v>
          </cell>
          <cell r="C61">
            <v>0.57899999999999996</v>
          </cell>
          <cell r="D61">
            <v>0.68700000000000006</v>
          </cell>
          <cell r="E61">
            <v>0.77300000000000002</v>
          </cell>
        </row>
        <row r="62">
          <cell r="A62">
            <v>-59</v>
          </cell>
          <cell r="B62">
            <v>0.45333333333333331</v>
          </cell>
          <cell r="C62">
            <v>0.57766666666666666</v>
          </cell>
          <cell r="D62">
            <v>0.69233333333333336</v>
          </cell>
          <cell r="E62">
            <v>0.78449999999999998</v>
          </cell>
        </row>
        <row r="63">
          <cell r="A63">
            <v>-58</v>
          </cell>
          <cell r="B63">
            <v>-6.2552333333333996</v>
          </cell>
          <cell r="C63">
            <v>-6.1575333333333999</v>
          </cell>
          <cell r="D63">
            <v>-6.0636000000000001</v>
          </cell>
          <cell r="E63">
            <v>-5.9913666666666003</v>
          </cell>
        </row>
        <row r="64">
          <cell r="A64">
            <v>-57</v>
          </cell>
          <cell r="B64">
            <v>0.36366666666666658</v>
          </cell>
          <cell r="C64">
            <v>0.48633333333333328</v>
          </cell>
          <cell r="D64">
            <v>0.61833333333333329</v>
          </cell>
          <cell r="E64">
            <v>0.70199999999999996</v>
          </cell>
        </row>
        <row r="65">
          <cell r="A65">
            <v>-56</v>
          </cell>
          <cell r="B65">
            <v>0.47699999999999998</v>
          </cell>
          <cell r="C65">
            <v>0.60599999999999998</v>
          </cell>
          <cell r="D65">
            <v>0.71799999999999997</v>
          </cell>
          <cell r="E65">
            <v>0.81299999999999994</v>
          </cell>
        </row>
        <row r="66">
          <cell r="A66">
            <v>-54</v>
          </cell>
          <cell r="B66">
            <v>0.39924999999999999</v>
          </cell>
          <cell r="C66">
            <v>0.52974999999999994</v>
          </cell>
          <cell r="D66">
            <v>0.65949999999999998</v>
          </cell>
          <cell r="E66">
            <v>0.74524999999999997</v>
          </cell>
        </row>
        <row r="67">
          <cell r="A67">
            <v>-53</v>
          </cell>
          <cell r="B67">
            <v>0.51899999999999991</v>
          </cell>
          <cell r="C67">
            <v>0.65500000000000003</v>
          </cell>
          <cell r="D67">
            <v>0.76249999999999996</v>
          </cell>
          <cell r="E67">
            <v>0.86699999999999999</v>
          </cell>
        </row>
        <row r="68">
          <cell r="A68">
            <v>-52</v>
          </cell>
          <cell r="B68">
            <v>0.48</v>
          </cell>
          <cell r="C68">
            <v>0.61</v>
          </cell>
          <cell r="D68">
            <v>0.72299999999999998</v>
          </cell>
          <cell r="E68">
            <v>0.81299999999999994</v>
          </cell>
        </row>
        <row r="69">
          <cell r="A69">
            <v>-51</v>
          </cell>
          <cell r="B69">
            <v>0.39600000000000002</v>
          </cell>
          <cell r="C69">
            <v>0.53</v>
          </cell>
          <cell r="D69">
            <v>0.67</v>
          </cell>
          <cell r="E69">
            <v>0.754</v>
          </cell>
        </row>
        <row r="70">
          <cell r="A70">
            <v>-49</v>
          </cell>
          <cell r="B70">
            <v>0.47475000000000001</v>
          </cell>
          <cell r="C70">
            <v>0.60799999999999998</v>
          </cell>
          <cell r="D70">
            <v>0.73225000000000007</v>
          </cell>
          <cell r="E70">
            <v>0.8175</v>
          </cell>
        </row>
        <row r="71">
          <cell r="A71">
            <v>-48</v>
          </cell>
          <cell r="B71">
            <v>0.55049999999999999</v>
          </cell>
          <cell r="C71">
            <v>0.6865</v>
          </cell>
          <cell r="D71">
            <v>0.81899999999999995</v>
          </cell>
          <cell r="E71">
            <v>0.90449999999999997</v>
          </cell>
        </row>
        <row r="72">
          <cell r="A72">
            <v>-45</v>
          </cell>
          <cell r="B72">
            <v>0.45400000000000001</v>
          </cell>
          <cell r="C72">
            <v>0.58599999999999997</v>
          </cell>
          <cell r="D72">
            <v>0.70299999999999996</v>
          </cell>
          <cell r="E72">
            <v>0.79</v>
          </cell>
        </row>
        <row r="73">
          <cell r="A73">
            <v>-40</v>
          </cell>
          <cell r="B73">
            <v>0.41799999999999998</v>
          </cell>
          <cell r="C73">
            <v>0.54500000000000004</v>
          </cell>
          <cell r="D73">
            <v>0.67600000000000005</v>
          </cell>
          <cell r="E73">
            <v>0.75600000000000001</v>
          </cell>
        </row>
        <row r="74">
          <cell r="A74">
            <v>-24</v>
          </cell>
          <cell r="B74">
            <v>0.49099999999999999</v>
          </cell>
          <cell r="C74">
            <v>0.61599999999999999</v>
          </cell>
          <cell r="D74">
            <v>0.72399999999999998</v>
          </cell>
          <cell r="E74">
            <v>0.81599999999999995</v>
          </cell>
        </row>
        <row r="75">
          <cell r="A75">
            <v>-23</v>
          </cell>
          <cell r="B75">
            <v>0.49199999999999999</v>
          </cell>
          <cell r="C75">
            <v>0.61549999999999994</v>
          </cell>
          <cell r="D75">
            <v>0.72499999999999998</v>
          </cell>
          <cell r="E75">
            <v>0.81699999999999995</v>
          </cell>
        </row>
        <row r="76">
          <cell r="A76">
            <v>-17</v>
          </cell>
          <cell r="B76">
            <v>0.46174999999999999</v>
          </cell>
          <cell r="C76">
            <v>0.58716666666666661</v>
          </cell>
          <cell r="D76">
            <v>0.69816666666666671</v>
          </cell>
          <cell r="E76">
            <v>0.79200000000000015</v>
          </cell>
        </row>
        <row r="77">
          <cell r="A77">
            <v>-16</v>
          </cell>
          <cell r="B77">
            <v>0.45066666666666672</v>
          </cell>
          <cell r="C77">
            <v>0.57299999999999995</v>
          </cell>
          <cell r="D77">
            <v>0.68433333333333346</v>
          </cell>
          <cell r="E77">
            <v>0.77677777777777779</v>
          </cell>
        </row>
        <row r="78">
          <cell r="A78">
            <v>-15</v>
          </cell>
          <cell r="B78">
            <v>0.45233333333333331</v>
          </cell>
          <cell r="C78">
            <v>0.57699999999999996</v>
          </cell>
          <cell r="D78">
            <v>0.68833333333333335</v>
          </cell>
          <cell r="E78">
            <v>0.78100000000000003</v>
          </cell>
        </row>
        <row r="79">
          <cell r="A79">
            <v>-14</v>
          </cell>
          <cell r="B79">
            <v>0.45400000000000001</v>
          </cell>
          <cell r="C79">
            <v>0.57799999999999996</v>
          </cell>
          <cell r="D79">
            <v>0.69</v>
          </cell>
          <cell r="E79">
            <v>0.78200000000000003</v>
          </cell>
        </row>
        <row r="80">
          <cell r="A80">
            <v>-13</v>
          </cell>
          <cell r="B80">
            <v>0.47099999999999997</v>
          </cell>
          <cell r="C80">
            <v>0.59599999999999997</v>
          </cell>
          <cell r="D80">
            <v>0.70899999999999996</v>
          </cell>
          <cell r="E80">
            <v>0.80200000000000005</v>
          </cell>
        </row>
        <row r="81">
          <cell r="A81">
            <v>-12</v>
          </cell>
          <cell r="B81">
            <v>0.46500000000000002</v>
          </cell>
          <cell r="C81">
            <v>0.58799999999999997</v>
          </cell>
          <cell r="D81">
            <v>0.70799999999999996</v>
          </cell>
          <cell r="E81">
            <v>0.80400000000000005</v>
          </cell>
        </row>
        <row r="82">
          <cell r="A82">
            <v>-11</v>
          </cell>
          <cell r="B82">
            <v>0.47149999999999997</v>
          </cell>
          <cell r="C82">
            <v>0.60399999999999998</v>
          </cell>
          <cell r="D82">
            <v>0.75949999999999995</v>
          </cell>
          <cell r="E82">
            <v>0.8640000000000001</v>
          </cell>
        </row>
        <row r="83">
          <cell r="A83">
            <v>-10</v>
          </cell>
          <cell r="B83">
            <v>0.45466666666666672</v>
          </cell>
          <cell r="C83">
            <v>0.57099999999999995</v>
          </cell>
          <cell r="D83">
            <v>0.66833333333333333</v>
          </cell>
          <cell r="E83">
            <v>0.76700000000000002</v>
          </cell>
        </row>
        <row r="84">
          <cell r="A84">
            <v>-9</v>
          </cell>
          <cell r="B84">
            <v>0.45435714285714279</v>
          </cell>
          <cell r="C84">
            <v>0.57001190476192853</v>
          </cell>
          <cell r="D84">
            <v>0.66777380952378562</v>
          </cell>
          <cell r="E84">
            <v>0.76444047619050004</v>
          </cell>
        </row>
        <row r="85">
          <cell r="A85">
            <v>-8</v>
          </cell>
          <cell r="B85">
            <v>0.47039999999999998</v>
          </cell>
          <cell r="C85">
            <v>0.58479999999999999</v>
          </cell>
          <cell r="D85">
            <v>0.68119999999999992</v>
          </cell>
          <cell r="E85">
            <v>0.77560000000000007</v>
          </cell>
        </row>
        <row r="86">
          <cell r="A86">
            <v>-7</v>
          </cell>
          <cell r="B86">
            <v>0.38205555555550003</v>
          </cell>
          <cell r="C86">
            <v>0.49483333333333329</v>
          </cell>
          <cell r="D86">
            <v>0.58199999999999996</v>
          </cell>
          <cell r="E86">
            <v>0.67890277777783326</v>
          </cell>
        </row>
        <row r="87">
          <cell r="A87">
            <v>-6</v>
          </cell>
          <cell r="B87">
            <v>0.38334782608695661</v>
          </cell>
          <cell r="C87">
            <v>0.49769565217391298</v>
          </cell>
          <cell r="D87">
            <v>0.58682608695652172</v>
          </cell>
          <cell r="E87">
            <v>0.68213043478260871</v>
          </cell>
        </row>
        <row r="88">
          <cell r="A88">
            <v>-5</v>
          </cell>
          <cell r="B88">
            <v>0.38037500000000002</v>
          </cell>
          <cell r="C88">
            <v>0.49725000000000003</v>
          </cell>
          <cell r="D88">
            <v>0.59250000000000003</v>
          </cell>
          <cell r="E88">
            <v>0.69174999999999998</v>
          </cell>
        </row>
        <row r="89">
          <cell r="A89">
            <v>-4</v>
          </cell>
          <cell r="B89">
            <v>0.37888888888888889</v>
          </cell>
          <cell r="C89">
            <v>0.49127777777777781</v>
          </cell>
          <cell r="D89">
            <v>0.5698333333333333</v>
          </cell>
          <cell r="E89">
            <v>0.67133333333333334</v>
          </cell>
        </row>
        <row r="90">
          <cell r="A90">
            <v>-3</v>
          </cell>
          <cell r="B90">
            <v>0.40560317460319051</v>
          </cell>
          <cell r="C90">
            <v>0.52218253968257144</v>
          </cell>
          <cell r="D90">
            <v>0.61142063492066667</v>
          </cell>
          <cell r="E90">
            <v>0.71115079365076195</v>
          </cell>
        </row>
        <row r="91">
          <cell r="A91">
            <v>-2</v>
          </cell>
          <cell r="B91">
            <v>0.406031249999875</v>
          </cell>
          <cell r="C91">
            <v>0.52385416666675</v>
          </cell>
          <cell r="D91">
            <v>0.61587499999987505</v>
          </cell>
          <cell r="E91">
            <v>0.71735416666662499</v>
          </cell>
        </row>
        <row r="92">
          <cell r="A92">
            <v>-1</v>
          </cell>
          <cell r="B92">
            <v>0.42840277777774999</v>
          </cell>
          <cell r="C92">
            <v>0.54613888888891671</v>
          </cell>
          <cell r="D92">
            <v>0.64291666666666669</v>
          </cell>
          <cell r="E92">
            <v>0.7426388888889166</v>
          </cell>
        </row>
        <row r="93">
          <cell r="A93">
            <v>0</v>
          </cell>
          <cell r="B93">
            <v>0.46542857142857141</v>
          </cell>
          <cell r="C93">
            <v>0.5862857142857143</v>
          </cell>
          <cell r="D93">
            <v>0.68117857142857141</v>
          </cell>
          <cell r="E93">
            <v>0.78646428571428573</v>
          </cell>
        </row>
        <row r="94">
          <cell r="A94">
            <v>1</v>
          </cell>
          <cell r="B94">
            <v>0.46456140350852632</v>
          </cell>
          <cell r="C94">
            <v>0.58951754385989474</v>
          </cell>
          <cell r="D94">
            <v>0.68431578947378957</v>
          </cell>
          <cell r="E94">
            <v>0.7947017543862106</v>
          </cell>
        </row>
        <row r="95">
          <cell r="A95">
            <v>2</v>
          </cell>
          <cell r="B95">
            <v>0.49399999999999999</v>
          </cell>
          <cell r="C95">
            <v>0.62</v>
          </cell>
          <cell r="D95">
            <v>0.70874999999999999</v>
          </cell>
          <cell r="E95">
            <v>0.82199999999999995</v>
          </cell>
        </row>
        <row r="96">
          <cell r="A96">
            <v>3</v>
          </cell>
          <cell r="B96">
            <v>0.44140000000000001</v>
          </cell>
          <cell r="C96">
            <v>0.55869999999999997</v>
          </cell>
          <cell r="D96">
            <v>0.65995000000000004</v>
          </cell>
          <cell r="E96">
            <v>0.75849999999999995</v>
          </cell>
        </row>
        <row r="97">
          <cell r="A97">
            <v>4</v>
          </cell>
          <cell r="B97">
            <v>0.4719545454545454</v>
          </cell>
          <cell r="C97">
            <v>0.59390909090909094</v>
          </cell>
          <cell r="D97">
            <v>0.68700000000000006</v>
          </cell>
          <cell r="E97">
            <v>0.79790909090909101</v>
          </cell>
        </row>
        <row r="98">
          <cell r="A98">
            <v>5</v>
          </cell>
          <cell r="B98">
            <v>0.451125</v>
          </cell>
          <cell r="C98">
            <v>0.57304166666666667</v>
          </cell>
          <cell r="D98">
            <v>0.66641666666666666</v>
          </cell>
          <cell r="E98">
            <v>0.77741666666666676</v>
          </cell>
        </row>
        <row r="99">
          <cell r="A99">
            <v>6</v>
          </cell>
          <cell r="B99">
            <v>0.44641666666666668</v>
          </cell>
          <cell r="C99">
            <v>0.56766666666666665</v>
          </cell>
          <cell r="D99">
            <v>0.66275000000000006</v>
          </cell>
          <cell r="E99">
            <v>0.77450000000000008</v>
          </cell>
        </row>
        <row r="100">
          <cell r="A100">
            <v>7</v>
          </cell>
          <cell r="B100">
            <v>0.42249999999999999</v>
          </cell>
          <cell r="C100">
            <v>0.54466666666666663</v>
          </cell>
          <cell r="D100">
            <v>0.64066666666666672</v>
          </cell>
          <cell r="E100">
            <v>0.749</v>
          </cell>
        </row>
        <row r="101">
          <cell r="A101">
            <v>8</v>
          </cell>
          <cell r="B101">
            <v>0.4578627450980588</v>
          </cell>
          <cell r="C101">
            <v>0.58325490196076468</v>
          </cell>
          <cell r="D101">
            <v>0.67770588235294127</v>
          </cell>
          <cell r="E101">
            <v>0.78774509803923531</v>
          </cell>
        </row>
        <row r="102">
          <cell r="A102">
            <v>9</v>
          </cell>
          <cell r="B102">
            <v>0.45429999999999998</v>
          </cell>
          <cell r="C102">
            <v>0.57884999999999998</v>
          </cell>
          <cell r="D102">
            <v>0.68309999999999993</v>
          </cell>
          <cell r="E102">
            <v>0.78700000000000003</v>
          </cell>
        </row>
        <row r="103">
          <cell r="A103">
            <v>10</v>
          </cell>
          <cell r="B103">
            <v>0.42265079365076191</v>
          </cell>
          <cell r="C103">
            <v>0.54880952380957149</v>
          </cell>
          <cell r="D103">
            <v>0.66366666666666663</v>
          </cell>
          <cell r="E103">
            <v>0.76782539682533335</v>
          </cell>
        </row>
        <row r="104">
          <cell r="A104">
            <v>11</v>
          </cell>
          <cell r="B104">
            <v>0.40084615384615391</v>
          </cell>
          <cell r="C104">
            <v>0.52225961538461541</v>
          </cell>
          <cell r="D104">
            <v>0.62458653846153855</v>
          </cell>
          <cell r="E104">
            <v>0.7297403846153846</v>
          </cell>
        </row>
        <row r="105">
          <cell r="A105">
            <v>12</v>
          </cell>
          <cell r="B105">
            <v>0.39982352941176469</v>
          </cell>
          <cell r="C105">
            <v>0.53286274509799991</v>
          </cell>
          <cell r="D105">
            <v>0.61803921568623532</v>
          </cell>
          <cell r="E105">
            <v>0.72226470588235292</v>
          </cell>
        </row>
        <row r="106">
          <cell r="A106">
            <v>13</v>
          </cell>
          <cell r="B106">
            <v>0.38473750000000001</v>
          </cell>
          <cell r="C106">
            <v>0.50939999999999996</v>
          </cell>
          <cell r="D106">
            <v>0.60024999999999995</v>
          </cell>
          <cell r="E106">
            <v>0.70711250000000003</v>
          </cell>
        </row>
        <row r="107">
          <cell r="A107">
            <v>14</v>
          </cell>
          <cell r="B107">
            <v>0.44900000000000001</v>
          </cell>
          <cell r="C107">
            <v>0.58250000000000002</v>
          </cell>
          <cell r="D107">
            <v>0.72399999999999998</v>
          </cell>
          <cell r="E107">
            <v>0.82099999999999995</v>
          </cell>
        </row>
        <row r="108">
          <cell r="A108">
            <v>15</v>
          </cell>
          <cell r="B108">
            <v>0.46500000000000002</v>
          </cell>
          <cell r="C108">
            <v>0.58966666666666667</v>
          </cell>
          <cell r="D108">
            <v>0.70533333333333337</v>
          </cell>
          <cell r="E108">
            <v>0.80466666666666675</v>
          </cell>
        </row>
        <row r="109">
          <cell r="A109">
            <v>16</v>
          </cell>
          <cell r="B109">
            <v>0.34442857142857142</v>
          </cell>
          <cell r="C109">
            <v>0.46995238095242847</v>
          </cell>
          <cell r="D109">
            <v>0.5700476190475714</v>
          </cell>
          <cell r="E109">
            <v>0.67528571428571438</v>
          </cell>
        </row>
        <row r="110">
          <cell r="A110">
            <v>17</v>
          </cell>
          <cell r="B110">
            <v>0.34</v>
          </cell>
          <cell r="C110">
            <v>0.48225000000000001</v>
          </cell>
          <cell r="D110">
            <v>0.57374999999999998</v>
          </cell>
          <cell r="E110">
            <v>0.69324999999999992</v>
          </cell>
        </row>
        <row r="111">
          <cell r="A111">
            <v>18</v>
          </cell>
          <cell r="B111">
            <v>0.45724999999999999</v>
          </cell>
          <cell r="C111">
            <v>0.577125</v>
          </cell>
          <cell r="D111">
            <v>0.69950000000000001</v>
          </cell>
          <cell r="E111">
            <v>0.78874999999999995</v>
          </cell>
        </row>
        <row r="112">
          <cell r="A112">
            <v>19</v>
          </cell>
          <cell r="B112">
            <v>0.42230000000000001</v>
          </cell>
          <cell r="C112">
            <v>0.55280000000000007</v>
          </cell>
          <cell r="D112">
            <v>0.66079999999999994</v>
          </cell>
          <cell r="E112">
            <v>0.76439999999999997</v>
          </cell>
        </row>
        <row r="113">
          <cell r="A113">
            <v>20</v>
          </cell>
          <cell r="B113">
            <v>0.48499999999999999</v>
          </cell>
          <cell r="C113">
            <v>0.61299999999999999</v>
          </cell>
          <cell r="D113">
            <v>0.74199999999999999</v>
          </cell>
          <cell r="E113">
            <v>0.83199999999999996</v>
          </cell>
        </row>
        <row r="114">
          <cell r="A114">
            <v>21</v>
          </cell>
          <cell r="B114">
            <v>0.48125000000000001</v>
          </cell>
          <cell r="C114">
            <v>0.60250000000000004</v>
          </cell>
          <cell r="D114">
            <v>0.70433333333324999</v>
          </cell>
          <cell r="E114">
            <v>0.80841666666675005</v>
          </cell>
        </row>
        <row r="115">
          <cell r="A115">
            <v>22</v>
          </cell>
          <cell r="B115">
            <v>0.40949999999999998</v>
          </cell>
          <cell r="C115">
            <v>0.54600000000000004</v>
          </cell>
          <cell r="D115">
            <v>0.65500000000000003</v>
          </cell>
          <cell r="E115">
            <v>0.76249999999999996</v>
          </cell>
        </row>
        <row r="116">
          <cell r="A116">
            <v>23</v>
          </cell>
          <cell r="B116">
            <v>0.30380000000000001</v>
          </cell>
          <cell r="C116">
            <v>0.43900000000000011</v>
          </cell>
          <cell r="D116">
            <v>0.52960000000000007</v>
          </cell>
          <cell r="E116">
            <v>0.64695000000000003</v>
          </cell>
        </row>
        <row r="117">
          <cell r="A117">
            <v>24</v>
          </cell>
          <cell r="B117">
            <v>0.19600000000000001</v>
          </cell>
          <cell r="C117">
            <v>0.34200000000000003</v>
          </cell>
          <cell r="D117">
            <v>0.42799999999999999</v>
          </cell>
          <cell r="E117">
            <v>0.55200000000000005</v>
          </cell>
        </row>
        <row r="118">
          <cell r="A118">
            <v>25</v>
          </cell>
          <cell r="B118">
            <v>0.26933333333333342</v>
          </cell>
          <cell r="C118">
            <v>0.38266666666666671</v>
          </cell>
          <cell r="D118">
            <v>0.47733333333333328</v>
          </cell>
          <cell r="E118">
            <v>0.58066666666666666</v>
          </cell>
        </row>
        <row r="119">
          <cell r="A119">
            <v>26</v>
          </cell>
          <cell r="B119">
            <v>0.41799999999999998</v>
          </cell>
          <cell r="C119">
            <v>0.51649999999999996</v>
          </cell>
          <cell r="D119">
            <v>0.61499999999999999</v>
          </cell>
          <cell r="E119">
            <v>0.70699999999999996</v>
          </cell>
        </row>
        <row r="120">
          <cell r="A120">
            <v>27</v>
          </cell>
          <cell r="B120">
            <v>0.43</v>
          </cell>
          <cell r="C120">
            <v>0.53400000000000003</v>
          </cell>
          <cell r="D120">
            <v>0.63700000000000001</v>
          </cell>
          <cell r="E120">
            <v>0.73</v>
          </cell>
        </row>
        <row r="121">
          <cell r="A121">
            <v>28</v>
          </cell>
          <cell r="B121">
            <v>0.309</v>
          </cell>
          <cell r="C121">
            <v>0.45600000000000002</v>
          </cell>
          <cell r="D121">
            <v>0.54400000000000004</v>
          </cell>
          <cell r="E121">
            <v>0.66800000000000004</v>
          </cell>
        </row>
        <row r="122">
          <cell r="A122">
            <v>30</v>
          </cell>
          <cell r="B122">
            <v>0.32200000000000001</v>
          </cell>
          <cell r="C122">
            <v>0.50800000000000001</v>
          </cell>
          <cell r="D122">
            <v>0.59799999999999998</v>
          </cell>
          <cell r="E122">
            <v>0.68899999999999995</v>
          </cell>
        </row>
        <row r="123">
          <cell r="A123">
            <v>32</v>
          </cell>
          <cell r="B123">
            <v>0.45600000000000002</v>
          </cell>
          <cell r="C123">
            <v>0.58299999999999996</v>
          </cell>
          <cell r="D123">
            <v>0.71899999999999997</v>
          </cell>
          <cell r="E123">
            <v>0.80400000000000005</v>
          </cell>
        </row>
        <row r="124">
          <cell r="A124">
            <v>33</v>
          </cell>
          <cell r="B124">
            <v>0.46639999999999998</v>
          </cell>
          <cell r="C124">
            <v>0.59219999999999995</v>
          </cell>
          <cell r="D124">
            <v>0.7228</v>
          </cell>
          <cell r="E124">
            <v>0.81379999999999997</v>
          </cell>
        </row>
        <row r="125">
          <cell r="A125">
            <v>34</v>
          </cell>
          <cell r="B125">
            <v>0.44350000000000001</v>
          </cell>
          <cell r="C125">
            <v>0.5575</v>
          </cell>
          <cell r="D125">
            <v>0.67200000000000004</v>
          </cell>
          <cell r="E125">
            <v>0.78049999999999997</v>
          </cell>
        </row>
        <row r="126">
          <cell r="A126">
            <v>35</v>
          </cell>
          <cell r="B126">
            <v>0.41199999999999998</v>
          </cell>
          <cell r="C126">
            <v>0.52400000000000002</v>
          </cell>
          <cell r="D126">
            <v>0.63600000000000001</v>
          </cell>
          <cell r="E126">
            <v>0.74299999999999999</v>
          </cell>
        </row>
        <row r="127">
          <cell r="A127">
            <v>36</v>
          </cell>
          <cell r="B127">
            <v>0.43099999999999999</v>
          </cell>
          <cell r="C127">
            <v>0.54949999999999999</v>
          </cell>
          <cell r="D127">
            <v>0.66999999999999993</v>
          </cell>
          <cell r="E127">
            <v>0.76800000000000002</v>
          </cell>
        </row>
        <row r="128">
          <cell r="A128">
            <v>37</v>
          </cell>
          <cell r="B128">
            <v>0.41099999999999998</v>
          </cell>
          <cell r="C128">
            <v>0.53100000000000003</v>
          </cell>
          <cell r="D128">
            <v>0.66200000000000003</v>
          </cell>
          <cell r="E128">
            <v>0.76600000000000001</v>
          </cell>
        </row>
        <row r="129">
          <cell r="A129">
            <v>39</v>
          </cell>
          <cell r="B129">
            <v>0.45700000000000002</v>
          </cell>
          <cell r="C129">
            <v>0.58299999999999996</v>
          </cell>
          <cell r="D129">
            <v>0.72299999999999998</v>
          </cell>
          <cell r="E129">
            <v>0.80400000000000005</v>
          </cell>
        </row>
        <row r="130">
          <cell r="A130">
            <v>44</v>
          </cell>
          <cell r="B130">
            <v>0.48740000000000011</v>
          </cell>
          <cell r="C130">
            <v>0.60719999999999996</v>
          </cell>
          <cell r="D130">
            <v>0.74249999999999994</v>
          </cell>
          <cell r="E130">
            <v>0.82889999999999997</v>
          </cell>
        </row>
        <row r="131">
          <cell r="A131">
            <v>46</v>
          </cell>
          <cell r="B131">
            <v>0.47699999999999998</v>
          </cell>
          <cell r="C131">
            <v>0.60549999999999993</v>
          </cell>
          <cell r="D131">
            <v>0.747</v>
          </cell>
          <cell r="E131">
            <v>0.82650000000000001</v>
          </cell>
        </row>
        <row r="132">
          <cell r="A132">
            <v>48</v>
          </cell>
          <cell r="B132">
            <v>0.4</v>
          </cell>
          <cell r="C132">
            <v>0.51949999999999996</v>
          </cell>
          <cell r="D132">
            <v>0.65249999999999997</v>
          </cell>
          <cell r="E132">
            <v>0.75</v>
          </cell>
        </row>
        <row r="133">
          <cell r="A133">
            <v>49</v>
          </cell>
          <cell r="B133">
            <v>0.38900000000000001</v>
          </cell>
          <cell r="C133">
            <v>0.50450000000000006</v>
          </cell>
          <cell r="D133">
            <v>0.63250000000000006</v>
          </cell>
          <cell r="E133">
            <v>0.73</v>
          </cell>
        </row>
        <row r="134">
          <cell r="A134">
            <v>51</v>
          </cell>
          <cell r="B134">
            <v>0.372</v>
          </cell>
          <cell r="C134">
            <v>0.498</v>
          </cell>
          <cell r="D134">
            <v>0.63500000000000001</v>
          </cell>
          <cell r="E134">
            <v>0.751</v>
          </cell>
        </row>
        <row r="135">
          <cell r="A135">
            <v>53</v>
          </cell>
          <cell r="B135">
            <v>0.372</v>
          </cell>
          <cell r="C135">
            <v>0.497</v>
          </cell>
          <cell r="D135">
            <v>0.63400000000000001</v>
          </cell>
          <cell r="E135">
            <v>0.749</v>
          </cell>
        </row>
        <row r="136">
          <cell r="A136">
            <v>54</v>
          </cell>
          <cell r="B136">
            <v>0.41649999999999998</v>
          </cell>
          <cell r="C136">
            <v>0.54699999999999993</v>
          </cell>
          <cell r="D136">
            <v>0.69500000000000006</v>
          </cell>
          <cell r="E136">
            <v>0.80699999999999994</v>
          </cell>
        </row>
        <row r="137">
          <cell r="A137">
            <v>55</v>
          </cell>
          <cell r="B137">
            <v>0.38700000000000001</v>
          </cell>
          <cell r="C137">
            <v>0.51549999999999996</v>
          </cell>
          <cell r="D137">
            <v>0.65349999999999997</v>
          </cell>
          <cell r="E137">
            <v>0.76124999999999998</v>
          </cell>
        </row>
        <row r="138">
          <cell r="A138">
            <v>56</v>
          </cell>
          <cell r="B138">
            <v>0.35599999999999998</v>
          </cell>
          <cell r="C138">
            <v>0.48</v>
          </cell>
          <cell r="D138">
            <v>0.61399999999999999</v>
          </cell>
          <cell r="E138">
            <v>0.72599999999999998</v>
          </cell>
        </row>
        <row r="139">
          <cell r="A139">
            <v>57</v>
          </cell>
          <cell r="B139">
            <v>0.35899999999999999</v>
          </cell>
          <cell r="C139">
            <v>0.48299999999999998</v>
          </cell>
          <cell r="D139">
            <v>0.61250000000000004</v>
          </cell>
          <cell r="E139">
            <v>0.72350000000000003</v>
          </cell>
        </row>
        <row r="140">
          <cell r="A140">
            <v>58</v>
          </cell>
          <cell r="B140">
            <v>0.378</v>
          </cell>
          <cell r="C140">
            <v>0.504</v>
          </cell>
          <cell r="D140">
            <v>0.63400000000000001</v>
          </cell>
          <cell r="E140">
            <v>0.746</v>
          </cell>
        </row>
        <row r="141">
          <cell r="A141">
            <v>63</v>
          </cell>
          <cell r="B141">
            <v>0.51600000000000001</v>
          </cell>
          <cell r="C141">
            <v>0.66700000000000004</v>
          </cell>
          <cell r="D141">
            <v>0.82399999999999995</v>
          </cell>
          <cell r="E141">
            <v>0.93100000000000005</v>
          </cell>
        </row>
        <row r="142">
          <cell r="A142">
            <v>65</v>
          </cell>
          <cell r="B142">
            <v>0.52600000000000002</v>
          </cell>
          <cell r="C142">
            <v>0.67800000000000005</v>
          </cell>
          <cell r="D142">
            <v>0.84</v>
          </cell>
          <cell r="E142">
            <v>0.95</v>
          </cell>
        </row>
        <row r="143">
          <cell r="A143">
            <v>81</v>
          </cell>
          <cell r="B143">
            <v>0.45100000000000001</v>
          </cell>
          <cell r="C143">
            <v>0.57999999999999996</v>
          </cell>
          <cell r="D143">
            <v>0.71199999999999997</v>
          </cell>
          <cell r="E143">
            <v>0.81799999999999995</v>
          </cell>
        </row>
        <row r="144">
          <cell r="A144">
            <v>85</v>
          </cell>
          <cell r="B144">
            <v>0.38600000000000001</v>
          </cell>
          <cell r="C144">
            <v>0.48799999999999999</v>
          </cell>
          <cell r="D144">
            <v>0.6</v>
          </cell>
          <cell r="E144">
            <v>0.70799999999999996</v>
          </cell>
        </row>
        <row r="145">
          <cell r="A145">
            <v>89</v>
          </cell>
          <cell r="B145">
            <v>0.47049999999999997</v>
          </cell>
          <cell r="C145">
            <v>0.5665</v>
          </cell>
          <cell r="D145">
            <v>0.68150000000000011</v>
          </cell>
          <cell r="E145">
            <v>0.79050000000000009</v>
          </cell>
        </row>
        <row r="146">
          <cell r="A146">
            <v>95</v>
          </cell>
          <cell r="B146">
            <v>0.436</v>
          </cell>
          <cell r="C146">
            <v>0.53600000000000003</v>
          </cell>
          <cell r="D146">
            <v>0.64500000000000002</v>
          </cell>
          <cell r="E146">
            <v>0.75600000000000001</v>
          </cell>
        </row>
        <row r="147">
          <cell r="A147">
            <v>97</v>
          </cell>
          <cell r="B147">
            <v>0.41399999999999998</v>
          </cell>
          <cell r="C147">
            <v>0.51</v>
          </cell>
          <cell r="D147">
            <v>0.61499999999999999</v>
          </cell>
          <cell r="E147">
            <v>0.72599999999999998</v>
          </cell>
        </row>
        <row r="148">
          <cell r="A148">
            <v>98</v>
          </cell>
          <cell r="B148">
            <v>0.44866666666666671</v>
          </cell>
          <cell r="C148">
            <v>0.55733333333333335</v>
          </cell>
          <cell r="D148">
            <v>0.66833333333333333</v>
          </cell>
          <cell r="E148">
            <v>0.77400000000000002</v>
          </cell>
        </row>
        <row r="149">
          <cell r="A149">
            <v>99</v>
          </cell>
          <cell r="B149">
            <v>0.44724999999999998</v>
          </cell>
          <cell r="C149">
            <v>0.55900000000000005</v>
          </cell>
          <cell r="D149">
            <v>0.67200000000000004</v>
          </cell>
          <cell r="E149">
            <v>0.77524999999999999</v>
          </cell>
        </row>
        <row r="150">
          <cell r="A150">
            <v>100</v>
          </cell>
          <cell r="B150">
            <v>0.42149999999999999</v>
          </cell>
          <cell r="C150">
            <v>0.53725000000000001</v>
          </cell>
          <cell r="D150">
            <v>0.65400000000000003</v>
          </cell>
          <cell r="E150">
            <v>0.75675000000000003</v>
          </cell>
        </row>
        <row r="151">
          <cell r="A151">
            <v>101</v>
          </cell>
          <cell r="B151">
            <v>0.442</v>
          </cell>
          <cell r="C151">
            <v>0.54900000000000004</v>
          </cell>
          <cell r="D151">
            <v>0.65400000000000003</v>
          </cell>
          <cell r="E151">
            <v>0.76</v>
          </cell>
        </row>
        <row r="152">
          <cell r="A152">
            <v>103</v>
          </cell>
          <cell r="B152">
            <v>0.441</v>
          </cell>
          <cell r="C152">
            <v>0.56399999999999995</v>
          </cell>
          <cell r="D152">
            <v>0.68300000000000005</v>
          </cell>
          <cell r="E152">
            <v>0.78</v>
          </cell>
        </row>
        <row r="153">
          <cell r="A153">
            <v>104</v>
          </cell>
          <cell r="B153">
            <v>0.442</v>
          </cell>
          <cell r="C153">
            <v>0.56000000000000005</v>
          </cell>
          <cell r="D153">
            <v>0.68300000000000005</v>
          </cell>
          <cell r="E153">
            <v>0.78100000000000003</v>
          </cell>
        </row>
        <row r="154">
          <cell r="A154">
            <v>105</v>
          </cell>
          <cell r="B154">
            <v>0.44800000000000001</v>
          </cell>
          <cell r="C154">
            <v>0.56633333333333324</v>
          </cell>
          <cell r="D154">
            <v>0.68366666666666676</v>
          </cell>
          <cell r="E154">
            <v>0.78366666666666662</v>
          </cell>
        </row>
        <row r="155">
          <cell r="A155">
            <v>106</v>
          </cell>
          <cell r="B155">
            <v>0.42199999999999999</v>
          </cell>
          <cell r="C155">
            <v>0.55600000000000005</v>
          </cell>
          <cell r="D155">
            <v>0.66600000000000004</v>
          </cell>
          <cell r="E155">
            <v>0.76400000000000001</v>
          </cell>
        </row>
        <row r="156">
          <cell r="A156">
            <v>107</v>
          </cell>
          <cell r="B156">
            <v>0.42666666666666669</v>
          </cell>
          <cell r="C156">
            <v>0.55600000000000005</v>
          </cell>
          <cell r="D156">
            <v>0.66766666666666674</v>
          </cell>
          <cell r="E156">
            <v>0.76600000000000001</v>
          </cell>
        </row>
        <row r="157">
          <cell r="A157">
            <v>108</v>
          </cell>
          <cell r="B157">
            <v>0.44124999999999998</v>
          </cell>
          <cell r="C157">
            <v>0.57250000000000001</v>
          </cell>
          <cell r="D157">
            <v>0.68399999999999994</v>
          </cell>
          <cell r="E157">
            <v>0.78400000000000003</v>
          </cell>
        </row>
        <row r="158">
          <cell r="A158">
            <v>109</v>
          </cell>
          <cell r="B158">
            <v>0.41849999999999998</v>
          </cell>
          <cell r="C158">
            <v>0.55049999999999999</v>
          </cell>
          <cell r="D158">
            <v>0.66549999999999998</v>
          </cell>
          <cell r="E158">
            <v>0.76900000000000002</v>
          </cell>
        </row>
        <row r="159">
          <cell r="A159">
            <v>110</v>
          </cell>
          <cell r="B159">
            <v>0.41733333333333328</v>
          </cell>
          <cell r="C159">
            <v>0.55133333333333334</v>
          </cell>
          <cell r="D159">
            <v>0.66533333333333333</v>
          </cell>
          <cell r="E159">
            <v>0.76800000000000013</v>
          </cell>
        </row>
        <row r="160">
          <cell r="A160">
            <v>112</v>
          </cell>
          <cell r="B160">
            <v>0.44700000000000001</v>
          </cell>
          <cell r="C160">
            <v>0.55900000000000005</v>
          </cell>
          <cell r="D160">
            <v>0.67800000000000005</v>
          </cell>
          <cell r="E160">
            <v>0.78</v>
          </cell>
        </row>
        <row r="161">
          <cell r="A161">
            <v>113</v>
          </cell>
          <cell r="B161">
            <v>0.41499999999999998</v>
          </cell>
          <cell r="C161">
            <v>0.55200000000000005</v>
          </cell>
          <cell r="D161">
            <v>0.66800000000000004</v>
          </cell>
          <cell r="E161">
            <v>0.77</v>
          </cell>
        </row>
        <row r="162">
          <cell r="A162">
            <v>114</v>
          </cell>
          <cell r="B162">
            <v>0.44409375000000001</v>
          </cell>
          <cell r="C162">
            <v>0.56237499999999996</v>
          </cell>
          <cell r="D162">
            <v>0.67453125000000003</v>
          </cell>
          <cell r="E162">
            <v>0.7734375</v>
          </cell>
        </row>
        <row r="163">
          <cell r="A163">
            <v>115</v>
          </cell>
          <cell r="B163">
            <v>0.439</v>
          </cell>
          <cell r="C163">
            <v>0.57699999999999996</v>
          </cell>
          <cell r="D163">
            <v>0.69550000000000001</v>
          </cell>
          <cell r="E163">
            <v>0.79749999999999999</v>
          </cell>
        </row>
        <row r="164">
          <cell r="A164">
            <v>116</v>
          </cell>
          <cell r="B164">
            <v>0.44650000000000001</v>
          </cell>
          <cell r="C164">
            <v>0.54649999999999999</v>
          </cell>
          <cell r="D164">
            <v>0.65500000000000003</v>
          </cell>
          <cell r="E164">
            <v>0.73299999999999998</v>
          </cell>
        </row>
        <row r="165">
          <cell r="A165">
            <v>117</v>
          </cell>
          <cell r="B165">
            <v>0.434</v>
          </cell>
          <cell r="C165">
            <v>0.57399999999999995</v>
          </cell>
          <cell r="D165">
            <v>0.69399999999999995</v>
          </cell>
          <cell r="E165">
            <v>0.79700000000000004</v>
          </cell>
        </row>
        <row r="166">
          <cell r="A166">
            <v>119</v>
          </cell>
          <cell r="B166">
            <v>0.38500000000000001</v>
          </cell>
          <cell r="C166">
            <v>0.51200000000000001</v>
          </cell>
          <cell r="D166">
            <v>0.66200000000000003</v>
          </cell>
          <cell r="E166">
            <v>0.77900000000000003</v>
          </cell>
        </row>
        <row r="167">
          <cell r="A167">
            <v>120</v>
          </cell>
          <cell r="B167">
            <v>0.45550000000000002</v>
          </cell>
          <cell r="C167">
            <v>0.57150000000000001</v>
          </cell>
          <cell r="D167">
            <v>0.6925</v>
          </cell>
          <cell r="E167">
            <v>0.79025000000000001</v>
          </cell>
        </row>
        <row r="168">
          <cell r="A168">
            <v>121</v>
          </cell>
          <cell r="B168">
            <v>0.43149999999999999</v>
          </cell>
          <cell r="C168">
            <v>0.55225000000000002</v>
          </cell>
          <cell r="D168">
            <v>0.6905</v>
          </cell>
          <cell r="E168">
            <v>0.79837500000000006</v>
          </cell>
        </row>
        <row r="169">
          <cell r="A169">
            <v>122</v>
          </cell>
          <cell r="B169">
            <v>0.47225000000000011</v>
          </cell>
          <cell r="C169">
            <v>0.58787500000000004</v>
          </cell>
          <cell r="D169">
            <v>0.71875</v>
          </cell>
          <cell r="E169">
            <v>0.81850000000000001</v>
          </cell>
        </row>
        <row r="170">
          <cell r="A170">
            <v>123</v>
          </cell>
          <cell r="B170">
            <v>0.45200000000000001</v>
          </cell>
          <cell r="C170">
            <v>0.58199999999999996</v>
          </cell>
          <cell r="D170">
            <v>0.68600000000000005</v>
          </cell>
          <cell r="E170">
            <v>0.79100000000000004</v>
          </cell>
        </row>
        <row r="171">
          <cell r="A171">
            <v>124</v>
          </cell>
          <cell r="B171">
            <v>0.48299999999999998</v>
          </cell>
          <cell r="C171">
            <v>0.63749999999999996</v>
          </cell>
          <cell r="D171">
            <v>0.76349999999999996</v>
          </cell>
          <cell r="E171">
            <v>0.86599999999999999</v>
          </cell>
        </row>
        <row r="172">
          <cell r="A172">
            <v>125</v>
          </cell>
          <cell r="B172">
            <v>0.48499999999999999</v>
          </cell>
          <cell r="C172">
            <v>0.64200000000000002</v>
          </cell>
          <cell r="D172">
            <v>0.77600000000000002</v>
          </cell>
          <cell r="E172">
            <v>0.88</v>
          </cell>
        </row>
        <row r="173">
          <cell r="A173">
            <v>126</v>
          </cell>
          <cell r="B173">
            <v>0.51800000000000002</v>
          </cell>
          <cell r="C173">
            <v>0.64300000000000002</v>
          </cell>
          <cell r="D173">
            <v>0.79050000000000009</v>
          </cell>
          <cell r="E173">
            <v>0.90449999999999997</v>
          </cell>
        </row>
        <row r="174">
          <cell r="A174">
            <v>127</v>
          </cell>
          <cell r="B174">
            <v>0.43874999999999997</v>
          </cell>
          <cell r="C174">
            <v>0.57325000000000004</v>
          </cell>
          <cell r="D174">
            <v>0.71599999999999997</v>
          </cell>
          <cell r="E174">
            <v>0.826125</v>
          </cell>
        </row>
        <row r="175">
          <cell r="A175">
            <v>128</v>
          </cell>
          <cell r="B175">
            <v>0.45222222222199998</v>
          </cell>
          <cell r="C175">
            <v>0.58250000000000002</v>
          </cell>
          <cell r="D175">
            <v>0.71022222222199993</v>
          </cell>
          <cell r="E175">
            <v>0.81644444444433339</v>
          </cell>
        </row>
        <row r="176">
          <cell r="A176">
            <v>130</v>
          </cell>
          <cell r="B176">
            <v>0.48753571428550002</v>
          </cell>
          <cell r="C176">
            <v>0.62878571428550001</v>
          </cell>
          <cell r="D176">
            <v>0.77219642857174997</v>
          </cell>
          <cell r="E176">
            <v>0.89019642857174996</v>
          </cell>
        </row>
        <row r="177">
          <cell r="A177">
            <v>132</v>
          </cell>
          <cell r="B177">
            <v>0.47399999999999998</v>
          </cell>
          <cell r="C177">
            <v>0.58399999999999996</v>
          </cell>
          <cell r="D177">
            <v>0.69699999999999995</v>
          </cell>
          <cell r="E177">
            <v>0.80500000000000005</v>
          </cell>
        </row>
        <row r="178">
          <cell r="A178">
            <v>133</v>
          </cell>
          <cell r="B178">
            <v>0.45400000000000001</v>
          </cell>
          <cell r="C178">
            <v>0.56200000000000006</v>
          </cell>
          <cell r="D178">
            <v>0.67200000000000004</v>
          </cell>
          <cell r="E178">
            <v>0.77900000000000003</v>
          </cell>
        </row>
        <row r="179">
          <cell r="A179">
            <v>134</v>
          </cell>
          <cell r="B179">
            <v>0.503</v>
          </cell>
          <cell r="C179">
            <v>0.60399999999999998</v>
          </cell>
          <cell r="D179">
            <v>0.72499999999999998</v>
          </cell>
          <cell r="E179">
            <v>0.82950000000000002</v>
          </cell>
        </row>
        <row r="180">
          <cell r="A180">
            <v>135</v>
          </cell>
          <cell r="B180">
            <v>0.45400000000000001</v>
          </cell>
          <cell r="C180">
            <v>0.59199999999999997</v>
          </cell>
          <cell r="D180">
            <v>0.73699999999999999</v>
          </cell>
          <cell r="E180">
            <v>0.85</v>
          </cell>
        </row>
        <row r="181">
          <cell r="A181">
            <v>136</v>
          </cell>
          <cell r="B181">
            <v>0.49287500000000001</v>
          </cell>
          <cell r="C181">
            <v>0.61525000000000007</v>
          </cell>
          <cell r="D181">
            <v>0.75624999999999998</v>
          </cell>
          <cell r="E181">
            <v>0.86012500000000003</v>
          </cell>
        </row>
        <row r="182">
          <cell r="A182">
            <v>137</v>
          </cell>
          <cell r="B182">
            <v>0.32224999999999998</v>
          </cell>
          <cell r="C182">
            <v>0.44650000000000001</v>
          </cell>
          <cell r="D182">
            <v>0.59350000000000003</v>
          </cell>
          <cell r="E182">
            <v>0.70125000000000004</v>
          </cell>
        </row>
        <row r="183">
          <cell r="A183">
            <v>138</v>
          </cell>
          <cell r="B183">
            <v>0.41799999999999998</v>
          </cell>
          <cell r="C183">
            <v>0.52900000000000003</v>
          </cell>
          <cell r="D183">
            <v>0.63400000000000001</v>
          </cell>
          <cell r="E183">
            <v>0.74199999999999999</v>
          </cell>
        </row>
        <row r="184">
          <cell r="A184">
            <v>139</v>
          </cell>
          <cell r="B184">
            <v>0.497</v>
          </cell>
          <cell r="C184">
            <v>0.6</v>
          </cell>
          <cell r="D184">
            <v>0.70650000000000002</v>
          </cell>
          <cell r="E184">
            <v>0.77049999999999996</v>
          </cell>
        </row>
        <row r="185">
          <cell r="A185">
            <v>140</v>
          </cell>
          <cell r="B185">
            <v>0.42299999999999999</v>
          </cell>
          <cell r="C185">
            <v>0.55833333333299995</v>
          </cell>
          <cell r="D185">
            <v>0.72166666666699997</v>
          </cell>
          <cell r="E185">
            <v>0.83966666666699996</v>
          </cell>
        </row>
        <row r="186">
          <cell r="A186">
            <v>141</v>
          </cell>
          <cell r="B186">
            <v>0.38733333333333331</v>
          </cell>
          <cell r="C186">
            <v>0.49266666666666681</v>
          </cell>
          <cell r="D186">
            <v>0.59766666666666668</v>
          </cell>
          <cell r="E186">
            <v>0.68533333333333335</v>
          </cell>
        </row>
        <row r="187">
          <cell r="A187">
            <v>142</v>
          </cell>
          <cell r="B187">
            <v>0.52516666666675005</v>
          </cell>
          <cell r="C187">
            <v>0.6441666666675</v>
          </cell>
          <cell r="D187">
            <v>0.79258333333249997</v>
          </cell>
          <cell r="E187">
            <v>0.90091666666749992</v>
          </cell>
        </row>
        <row r="188">
          <cell r="A188">
            <v>144</v>
          </cell>
          <cell r="B188">
            <v>0.42399999999999999</v>
          </cell>
          <cell r="C188">
            <v>0.53300000000000003</v>
          </cell>
          <cell r="D188">
            <v>0.65149999999999997</v>
          </cell>
          <cell r="E188">
            <v>0.74124999999999996</v>
          </cell>
        </row>
        <row r="189">
          <cell r="A189">
            <v>145</v>
          </cell>
          <cell r="B189">
            <v>0.41875000000000001</v>
          </cell>
          <cell r="C189">
            <v>0.53281250000000002</v>
          </cell>
          <cell r="D189">
            <v>0.66574999999999995</v>
          </cell>
          <cell r="E189">
            <v>0.76200000000000001</v>
          </cell>
        </row>
        <row r="190">
          <cell r="A190">
            <v>146</v>
          </cell>
          <cell r="B190">
            <v>0.41549999999999998</v>
          </cell>
          <cell r="C190">
            <v>0.52999999999999992</v>
          </cell>
          <cell r="D190">
            <v>0.65899999999999992</v>
          </cell>
          <cell r="E190">
            <v>0.75150000000000006</v>
          </cell>
        </row>
        <row r="191">
          <cell r="A191">
            <v>147</v>
          </cell>
          <cell r="B191">
            <v>0.47533333333299999</v>
          </cell>
          <cell r="C191">
            <v>0.59233333333299998</v>
          </cell>
          <cell r="D191">
            <v>0.73466666666699998</v>
          </cell>
          <cell r="E191">
            <v>0.83799999999999997</v>
          </cell>
        </row>
        <row r="192">
          <cell r="A192">
            <v>148</v>
          </cell>
          <cell r="B192">
            <v>0.38833333333333342</v>
          </cell>
          <cell r="C192">
            <v>0.51949999999999996</v>
          </cell>
          <cell r="D192">
            <v>0.66466666666666663</v>
          </cell>
          <cell r="E192">
            <v>0.75858333333333328</v>
          </cell>
        </row>
        <row r="193">
          <cell r="A193">
            <v>149</v>
          </cell>
          <cell r="B193">
            <v>0.49</v>
          </cell>
          <cell r="C193">
            <v>0.60799999999999998</v>
          </cell>
          <cell r="D193">
            <v>0.752</v>
          </cell>
          <cell r="E193">
            <v>0.85599999999999998</v>
          </cell>
        </row>
        <row r="194">
          <cell r="A194">
            <v>151</v>
          </cell>
          <cell r="B194">
            <v>0.49199999999999999</v>
          </cell>
          <cell r="C194">
            <v>0.61299999999999999</v>
          </cell>
          <cell r="D194">
            <v>0.75600000000000001</v>
          </cell>
          <cell r="E194">
            <v>0.85499999999999998</v>
          </cell>
        </row>
        <row r="195">
          <cell r="A195">
            <v>152</v>
          </cell>
          <cell r="B195">
            <v>0.4496</v>
          </cell>
          <cell r="C195">
            <v>0.58640000000000003</v>
          </cell>
          <cell r="D195">
            <v>0.73089999999999999</v>
          </cell>
          <cell r="E195">
            <v>0.83599999999999997</v>
          </cell>
        </row>
        <row r="196">
          <cell r="A196">
            <v>153</v>
          </cell>
          <cell r="B196">
            <v>0.4269333333334</v>
          </cell>
          <cell r="C196">
            <v>0.54766666666660002</v>
          </cell>
          <cell r="D196">
            <v>0.69273333333340004</v>
          </cell>
          <cell r="E196">
            <v>0.78680000000000005</v>
          </cell>
        </row>
        <row r="197">
          <cell r="A197">
            <v>156</v>
          </cell>
          <cell r="B197">
            <v>0.39600000000000002</v>
          </cell>
          <cell r="C197">
            <v>0.502</v>
          </cell>
          <cell r="D197">
            <v>0.62</v>
          </cell>
          <cell r="E197">
            <v>0.71399999999999997</v>
          </cell>
        </row>
        <row r="198">
          <cell r="A198">
            <v>157</v>
          </cell>
          <cell r="B198">
            <v>0.40799999999999997</v>
          </cell>
          <cell r="C198">
            <v>0.51100000000000001</v>
          </cell>
          <cell r="D198">
            <v>0.63300000000000001</v>
          </cell>
          <cell r="E198">
            <v>0.72899999999999998</v>
          </cell>
        </row>
        <row r="199">
          <cell r="A199">
            <v>159</v>
          </cell>
          <cell r="B199">
            <v>0.36799999999999999</v>
          </cell>
          <cell r="C199">
            <v>0.47399999999999998</v>
          </cell>
          <cell r="D199">
            <v>0.58399999999999996</v>
          </cell>
          <cell r="E199">
            <v>0.68400000000000005</v>
          </cell>
        </row>
        <row r="200">
          <cell r="A200">
            <v>160</v>
          </cell>
          <cell r="B200">
            <v>0.46600000000000003</v>
          </cell>
          <cell r="C200">
            <v>0.58199999999999996</v>
          </cell>
          <cell r="D200">
            <v>0.70299999999999996</v>
          </cell>
          <cell r="E200">
            <v>0.81399999999999995</v>
          </cell>
        </row>
        <row r="201">
          <cell r="A201">
            <v>161</v>
          </cell>
          <cell r="B201">
            <v>0.37</v>
          </cell>
          <cell r="C201">
            <v>0.48199999999999998</v>
          </cell>
          <cell r="D201">
            <v>0.59</v>
          </cell>
          <cell r="E201">
            <v>0.69599999999999995</v>
          </cell>
        </row>
        <row r="202">
          <cell r="A202">
            <v>164</v>
          </cell>
          <cell r="B202">
            <v>0.40600000000000003</v>
          </cell>
          <cell r="C202">
            <v>0.52800000000000002</v>
          </cell>
          <cell r="D202">
            <v>0.63800000000000001</v>
          </cell>
          <cell r="E202">
            <v>0.752</v>
          </cell>
        </row>
        <row r="203">
          <cell r="A203">
            <v>165</v>
          </cell>
          <cell r="B203">
            <v>0.45600000000000002</v>
          </cell>
          <cell r="C203">
            <v>0.56100000000000005</v>
          </cell>
          <cell r="D203">
            <v>0.72</v>
          </cell>
          <cell r="E203">
            <v>0.81799999999999995</v>
          </cell>
        </row>
        <row r="204">
          <cell r="A204">
            <v>168</v>
          </cell>
          <cell r="B204">
            <v>0.48</v>
          </cell>
          <cell r="C204">
            <v>0.59899999999999998</v>
          </cell>
          <cell r="D204">
            <v>0.73899999999999999</v>
          </cell>
          <cell r="E204">
            <v>0.83799999999999997</v>
          </cell>
        </row>
        <row r="205">
          <cell r="A205">
            <v>169</v>
          </cell>
          <cell r="B205">
            <v>0.53800000000000003</v>
          </cell>
          <cell r="C205">
            <v>0.64200000000000002</v>
          </cell>
          <cell r="D205">
            <v>0.76400000000000001</v>
          </cell>
          <cell r="E205">
            <v>0.86799999999999999</v>
          </cell>
        </row>
        <row r="206">
          <cell r="A206">
            <v>170</v>
          </cell>
          <cell r="B206">
            <v>0.41199999999999998</v>
          </cell>
          <cell r="C206">
            <v>0.55800000000000005</v>
          </cell>
          <cell r="D206">
            <v>0.71199999999999997</v>
          </cell>
          <cell r="E206">
            <v>0.79300000000000004</v>
          </cell>
        </row>
        <row r="207">
          <cell r="A207">
            <v>179</v>
          </cell>
          <cell r="B207">
            <v>0.47899999999999998</v>
          </cell>
          <cell r="C207">
            <v>0.60599999999999998</v>
          </cell>
          <cell r="D207">
            <v>0.73</v>
          </cell>
          <cell r="E207">
            <v>0.84</v>
          </cell>
        </row>
      </sheetData>
      <sheetData sheetId="9">
        <row r="2">
          <cell r="A2">
            <v>-55</v>
          </cell>
          <cell r="B2">
            <v>0.15</v>
          </cell>
          <cell r="C2">
            <v>0.247</v>
          </cell>
          <cell r="D2">
            <v>0.34599999999999997</v>
          </cell>
          <cell r="E2">
            <v>0.41899999999999998</v>
          </cell>
        </row>
        <row r="3">
          <cell r="A3">
            <v>-54</v>
          </cell>
          <cell r="B3">
            <v>0.16200000000000001</v>
          </cell>
          <cell r="C3">
            <v>0.26200000000000001</v>
          </cell>
          <cell r="D3">
            <v>0.36099999999999999</v>
          </cell>
          <cell r="E3">
            <v>0.433</v>
          </cell>
        </row>
        <row r="4">
          <cell r="A4">
            <v>-53</v>
          </cell>
          <cell r="B4">
            <v>0.17799999999999999</v>
          </cell>
          <cell r="C4">
            <v>0.27700000000000002</v>
          </cell>
          <cell r="D4">
            <v>0.376</v>
          </cell>
          <cell r="E4">
            <v>0.44600000000000001</v>
          </cell>
        </row>
        <row r="5">
          <cell r="A5">
            <v>-52</v>
          </cell>
          <cell r="B5">
            <v>0.32424999999999998</v>
          </cell>
          <cell r="C5">
            <v>0.434</v>
          </cell>
          <cell r="D5">
            <v>0.54700000000000004</v>
          </cell>
          <cell r="E5">
            <v>0.62575000000000003</v>
          </cell>
        </row>
        <row r="6">
          <cell r="A6">
            <v>-50</v>
          </cell>
          <cell r="B6">
            <v>0.41199999999999998</v>
          </cell>
          <cell r="C6">
            <v>0.55800000000000005</v>
          </cell>
          <cell r="D6">
            <v>0.71199999999999997</v>
          </cell>
          <cell r="E6">
            <v>0.79300000000000004</v>
          </cell>
        </row>
        <row r="7">
          <cell r="A7">
            <v>-48</v>
          </cell>
          <cell r="B7">
            <v>0.51600000000000001</v>
          </cell>
          <cell r="C7">
            <v>0.66700000000000004</v>
          </cell>
          <cell r="D7">
            <v>0.82399999999999995</v>
          </cell>
          <cell r="E7">
            <v>0.93100000000000005</v>
          </cell>
        </row>
        <row r="8">
          <cell r="A8">
            <v>-47</v>
          </cell>
          <cell r="B8">
            <v>0.29899999999999999</v>
          </cell>
          <cell r="C8">
            <v>0.39700000000000002</v>
          </cell>
          <cell r="D8">
            <v>0.49099999999999999</v>
          </cell>
          <cell r="E8">
            <v>0.55899999999999994</v>
          </cell>
        </row>
        <row r="9">
          <cell r="A9">
            <v>-45</v>
          </cell>
          <cell r="B9">
            <v>0.40100000000000002</v>
          </cell>
          <cell r="C9">
            <v>0.52349999999999997</v>
          </cell>
          <cell r="D9">
            <v>0.65549999999999997</v>
          </cell>
          <cell r="E9">
            <v>0.73899999999999999</v>
          </cell>
        </row>
        <row r="10">
          <cell r="A10">
            <v>-43</v>
          </cell>
          <cell r="B10">
            <v>0.40066666666666673</v>
          </cell>
          <cell r="C10">
            <v>0.52666666666666673</v>
          </cell>
          <cell r="D10">
            <v>0.66033333333333333</v>
          </cell>
          <cell r="E10">
            <v>0.74650000000000005</v>
          </cell>
        </row>
        <row r="11">
          <cell r="A11">
            <v>-42</v>
          </cell>
          <cell r="B11">
            <v>0.39866666666666672</v>
          </cell>
          <cell r="C11">
            <v>0.51933333333333331</v>
          </cell>
          <cell r="D11">
            <v>0.64699999999999991</v>
          </cell>
          <cell r="E11">
            <v>0.72800000000000009</v>
          </cell>
        </row>
        <row r="12">
          <cell r="A12">
            <v>-41</v>
          </cell>
          <cell r="B12">
            <v>0.33300000000000002</v>
          </cell>
          <cell r="C12">
            <v>0.44500000000000001</v>
          </cell>
          <cell r="D12">
            <v>0.56800000000000006</v>
          </cell>
          <cell r="E12">
            <v>0.64700000000000002</v>
          </cell>
        </row>
        <row r="13">
          <cell r="A13">
            <v>-40</v>
          </cell>
          <cell r="B13">
            <v>0.39266666666666672</v>
          </cell>
          <cell r="C13">
            <v>0.50866666666666671</v>
          </cell>
          <cell r="D13">
            <v>0.63300000000000001</v>
          </cell>
          <cell r="E13">
            <v>0.72099999999999997</v>
          </cell>
        </row>
        <row r="14">
          <cell r="A14">
            <v>-39</v>
          </cell>
          <cell r="B14">
            <v>0.42949999999999999</v>
          </cell>
          <cell r="C14">
            <v>0.55449999999999999</v>
          </cell>
          <cell r="D14">
            <v>0.70599999999999996</v>
          </cell>
          <cell r="E14">
            <v>0.80249999999999999</v>
          </cell>
        </row>
        <row r="15">
          <cell r="A15">
            <v>-38</v>
          </cell>
          <cell r="B15">
            <v>0.39785714285714291</v>
          </cell>
          <cell r="C15">
            <v>0.50735714285714284</v>
          </cell>
          <cell r="D15">
            <v>0.61885714285714288</v>
          </cell>
          <cell r="E15">
            <v>0.69885714285714295</v>
          </cell>
        </row>
        <row r="16">
          <cell r="A16">
            <v>-36</v>
          </cell>
          <cell r="B16">
            <v>0.43099999999999999</v>
          </cell>
          <cell r="C16">
            <v>0.54400000000000004</v>
          </cell>
          <cell r="D16">
            <v>0.66325000000000001</v>
          </cell>
          <cell r="E16">
            <v>0.73675000000000002</v>
          </cell>
        </row>
        <row r="17">
          <cell r="A17">
            <v>-35</v>
          </cell>
          <cell r="B17">
            <v>0.40558333333324997</v>
          </cell>
          <cell r="C17">
            <v>0.53183333333325</v>
          </cell>
          <cell r="D17">
            <v>0.66274999999999995</v>
          </cell>
          <cell r="E17">
            <v>0.74666666666674997</v>
          </cell>
        </row>
        <row r="18">
          <cell r="A18">
            <v>-34</v>
          </cell>
          <cell r="B18">
            <v>0.42</v>
          </cell>
          <cell r="C18">
            <v>0.53761111111111104</v>
          </cell>
          <cell r="D18">
            <v>0.66244444444444439</v>
          </cell>
          <cell r="E18">
            <v>0.74072222222222228</v>
          </cell>
        </row>
        <row r="19">
          <cell r="A19">
            <v>-33</v>
          </cell>
          <cell r="B19">
            <v>0.4327833333333333</v>
          </cell>
          <cell r="C19">
            <v>0.55654999999999999</v>
          </cell>
          <cell r="D19">
            <v>0.68579999999999997</v>
          </cell>
          <cell r="E19">
            <v>0.77266666666666672</v>
          </cell>
        </row>
        <row r="20">
          <cell r="A20">
            <v>-32</v>
          </cell>
          <cell r="B20">
            <v>-7.8925000000000001</v>
          </cell>
          <cell r="C20">
            <v>-7.8010000000000002</v>
          </cell>
          <cell r="D20">
            <v>-7.70275</v>
          </cell>
          <cell r="E20">
            <v>-7.6375000000000002</v>
          </cell>
        </row>
        <row r="21">
          <cell r="A21">
            <v>-31</v>
          </cell>
          <cell r="B21">
            <v>0.35899999999999999</v>
          </cell>
          <cell r="C21">
            <v>0.48</v>
          </cell>
          <cell r="D21">
            <v>0.6100000000000001</v>
          </cell>
          <cell r="E21">
            <v>0.68700000000000006</v>
          </cell>
        </row>
        <row r="22">
          <cell r="A22">
            <v>-29</v>
          </cell>
          <cell r="B22">
            <v>0.48199999999999998</v>
          </cell>
          <cell r="C22">
            <v>0.61399999999999999</v>
          </cell>
          <cell r="D22">
            <v>0.746</v>
          </cell>
          <cell r="E22">
            <v>0.83799999999999997</v>
          </cell>
        </row>
        <row r="23">
          <cell r="A23">
            <v>-28</v>
          </cell>
          <cell r="B23">
            <v>0.46400000000000002</v>
          </cell>
          <cell r="C23">
            <v>0.59149999999999991</v>
          </cell>
          <cell r="D23">
            <v>0.72750000000000004</v>
          </cell>
          <cell r="E23">
            <v>0.8135</v>
          </cell>
        </row>
        <row r="24">
          <cell r="A24">
            <v>-27</v>
          </cell>
          <cell r="B24">
            <v>0.45316666666674998</v>
          </cell>
          <cell r="C24">
            <v>0.57933333333324999</v>
          </cell>
          <cell r="D24">
            <v>0.71691666666675002</v>
          </cell>
          <cell r="E24">
            <v>0.80449999999999999</v>
          </cell>
        </row>
        <row r="25">
          <cell r="A25">
            <v>-26</v>
          </cell>
          <cell r="B25">
            <v>0.45700000000000002</v>
          </cell>
          <cell r="C25">
            <v>0.57625000000000004</v>
          </cell>
          <cell r="D25">
            <v>0.70874999999999999</v>
          </cell>
          <cell r="E25">
            <v>0.79949999999999999</v>
          </cell>
        </row>
        <row r="26">
          <cell r="A26">
            <v>-25</v>
          </cell>
          <cell r="B26">
            <v>0.50075000000000003</v>
          </cell>
          <cell r="C26">
            <v>0.63108333333333333</v>
          </cell>
          <cell r="D26">
            <v>0.76816666666666666</v>
          </cell>
          <cell r="E26">
            <v>0.85875000000000001</v>
          </cell>
        </row>
        <row r="27">
          <cell r="A27">
            <v>-24</v>
          </cell>
          <cell r="B27">
            <v>0.45800000000000002</v>
          </cell>
          <cell r="C27">
            <v>0.57899999999999996</v>
          </cell>
          <cell r="D27">
            <v>0.71799999999999997</v>
          </cell>
          <cell r="E27">
            <v>0.79400000000000004</v>
          </cell>
        </row>
        <row r="28">
          <cell r="A28">
            <v>-23</v>
          </cell>
          <cell r="B28">
            <v>0.45866666666666661</v>
          </cell>
          <cell r="C28">
            <v>0.58099999999999996</v>
          </cell>
          <cell r="D28">
            <v>0.71166666666666656</v>
          </cell>
          <cell r="E28">
            <v>0.80866666666666676</v>
          </cell>
        </row>
        <row r="29">
          <cell r="A29">
            <v>-22</v>
          </cell>
          <cell r="B29">
            <v>0.49199999999999999</v>
          </cell>
          <cell r="C29">
            <v>0.61299999999999999</v>
          </cell>
          <cell r="D29">
            <v>0.75600000000000001</v>
          </cell>
          <cell r="E29">
            <v>0.85499999999999998</v>
          </cell>
        </row>
        <row r="30">
          <cell r="A30">
            <v>-21</v>
          </cell>
          <cell r="B30">
            <v>0.46</v>
          </cell>
          <cell r="C30">
            <v>0.57799999999999996</v>
          </cell>
          <cell r="D30">
            <v>0.71599999999999997</v>
          </cell>
          <cell r="E30">
            <v>0.79300000000000004</v>
          </cell>
        </row>
        <row r="31">
          <cell r="A31">
            <v>-20</v>
          </cell>
          <cell r="B31">
            <v>0.46266666666666673</v>
          </cell>
          <cell r="C31">
            <v>0.57233333333333336</v>
          </cell>
          <cell r="D31">
            <v>0.70666666666666667</v>
          </cell>
          <cell r="E31">
            <v>0.79933333333333334</v>
          </cell>
        </row>
        <row r="32">
          <cell r="A32">
            <v>-19</v>
          </cell>
          <cell r="B32">
            <v>0.47777777777766672</v>
          </cell>
          <cell r="C32">
            <v>0.59544444444433331</v>
          </cell>
          <cell r="D32">
            <v>0.73655555555566676</v>
          </cell>
          <cell r="E32">
            <v>0.83199999999999996</v>
          </cell>
        </row>
        <row r="33">
          <cell r="A33">
            <v>-18</v>
          </cell>
          <cell r="B33">
            <v>0.45340000000000003</v>
          </cell>
          <cell r="C33">
            <v>0.57069999999999999</v>
          </cell>
          <cell r="D33">
            <v>0.69569999999999999</v>
          </cell>
          <cell r="E33">
            <v>0.78139999999999998</v>
          </cell>
        </row>
        <row r="34">
          <cell r="A34">
            <v>-17</v>
          </cell>
          <cell r="B34">
            <v>0.40225</v>
          </cell>
          <cell r="C34">
            <v>0.51349999999999996</v>
          </cell>
          <cell r="D34">
            <v>0.65249999999999997</v>
          </cell>
          <cell r="E34">
            <v>0.74275000000000002</v>
          </cell>
        </row>
        <row r="35">
          <cell r="A35">
            <v>-16</v>
          </cell>
          <cell r="B35">
            <v>0.46700000000000003</v>
          </cell>
          <cell r="C35">
            <v>0.58899999999999997</v>
          </cell>
          <cell r="D35">
            <v>0.71699999999999997</v>
          </cell>
          <cell r="E35">
            <v>0.81200000000000006</v>
          </cell>
        </row>
        <row r="36">
          <cell r="A36">
            <v>-15</v>
          </cell>
          <cell r="B36">
            <v>0.47599999999999998</v>
          </cell>
          <cell r="C36">
            <v>0.58650000000000002</v>
          </cell>
          <cell r="D36">
            <v>0.69499999999999995</v>
          </cell>
          <cell r="E36">
            <v>0.80200000000000005</v>
          </cell>
        </row>
        <row r="37">
          <cell r="A37">
            <v>-14</v>
          </cell>
          <cell r="B37">
            <v>0.41699999999999998</v>
          </cell>
          <cell r="C37">
            <v>0.53099999999999992</v>
          </cell>
          <cell r="D37">
            <v>0.66599999999999993</v>
          </cell>
          <cell r="E37">
            <v>0.74</v>
          </cell>
        </row>
        <row r="38">
          <cell r="A38">
            <v>-13</v>
          </cell>
          <cell r="B38">
            <v>0.45400000000000001</v>
          </cell>
          <cell r="C38">
            <v>0.56200000000000006</v>
          </cell>
          <cell r="D38">
            <v>0.67200000000000004</v>
          </cell>
          <cell r="E38">
            <v>0.77900000000000003</v>
          </cell>
        </row>
        <row r="39">
          <cell r="A39">
            <v>-12</v>
          </cell>
          <cell r="B39">
            <v>0.50266666666666671</v>
          </cell>
          <cell r="C39">
            <v>0.62283333333333335</v>
          </cell>
          <cell r="D39">
            <v>0.75383333333333324</v>
          </cell>
          <cell r="E39">
            <v>0.85150000000000003</v>
          </cell>
        </row>
        <row r="40">
          <cell r="A40">
            <v>-11</v>
          </cell>
          <cell r="B40">
            <v>0.47399999999999998</v>
          </cell>
          <cell r="C40">
            <v>0.58399999999999996</v>
          </cell>
          <cell r="D40">
            <v>0.69699999999999995</v>
          </cell>
          <cell r="E40">
            <v>0.80500000000000005</v>
          </cell>
        </row>
        <row r="41">
          <cell r="A41">
            <v>-9</v>
          </cell>
          <cell r="B41">
            <v>0.38479999999999998</v>
          </cell>
          <cell r="C41">
            <v>0.50219999999999998</v>
          </cell>
          <cell r="D41">
            <v>0.62779999999999991</v>
          </cell>
          <cell r="E41">
            <v>0.72960000000000003</v>
          </cell>
        </row>
        <row r="42">
          <cell r="A42">
            <v>-8</v>
          </cell>
          <cell r="B42">
            <v>0.45700000000000002</v>
          </cell>
          <cell r="C42">
            <v>0.58299999999999996</v>
          </cell>
          <cell r="D42">
            <v>0.72299999999999998</v>
          </cell>
          <cell r="E42">
            <v>0.80400000000000005</v>
          </cell>
        </row>
        <row r="43">
          <cell r="A43">
            <v>-7</v>
          </cell>
          <cell r="B43">
            <v>0.47199999999999998</v>
          </cell>
          <cell r="C43">
            <v>0.57999999999999996</v>
          </cell>
          <cell r="D43">
            <v>0.69</v>
          </cell>
          <cell r="E43">
            <v>0.8</v>
          </cell>
        </row>
        <row r="44">
          <cell r="A44">
            <v>-6</v>
          </cell>
          <cell r="B44">
            <v>0.42499999999999999</v>
          </cell>
          <cell r="C44">
            <v>0.53300000000000003</v>
          </cell>
          <cell r="D44">
            <v>0.67800000000000005</v>
          </cell>
          <cell r="E44">
            <v>0.752</v>
          </cell>
        </row>
        <row r="45">
          <cell r="A45">
            <v>-5</v>
          </cell>
          <cell r="B45">
            <v>0.47599999999999998</v>
          </cell>
          <cell r="C45">
            <v>0.61349999999999993</v>
          </cell>
          <cell r="D45">
            <v>0.76600000000000001</v>
          </cell>
          <cell r="E45">
            <v>0.85799999999999998</v>
          </cell>
        </row>
        <row r="46">
          <cell r="A46">
            <v>-4</v>
          </cell>
          <cell r="B46">
            <v>0.44900000000000001</v>
          </cell>
          <cell r="C46">
            <v>0.57499999999999996</v>
          </cell>
          <cell r="D46">
            <v>0.70550000000000002</v>
          </cell>
          <cell r="E46">
            <v>0.80349999999999999</v>
          </cell>
        </row>
        <row r="47">
          <cell r="A47">
            <v>-3</v>
          </cell>
          <cell r="B47">
            <v>0.43233333333333329</v>
          </cell>
          <cell r="C47">
            <v>0.55200000000000005</v>
          </cell>
          <cell r="D47">
            <v>0.68966666666666665</v>
          </cell>
          <cell r="E47">
            <v>0.78233333333333333</v>
          </cell>
        </row>
        <row r="48">
          <cell r="A48">
            <v>-2</v>
          </cell>
          <cell r="B48">
            <v>0.4306666666666667</v>
          </cell>
          <cell r="C48">
            <v>0.55599999999999994</v>
          </cell>
          <cell r="D48">
            <v>0.69166666666666676</v>
          </cell>
          <cell r="E48">
            <v>0.77899999999999991</v>
          </cell>
        </row>
        <row r="49">
          <cell r="A49">
            <v>-1</v>
          </cell>
          <cell r="B49">
            <v>0.44537500000000002</v>
          </cell>
          <cell r="C49">
            <v>0.56800000000000006</v>
          </cell>
          <cell r="D49">
            <v>0.69087500000000002</v>
          </cell>
          <cell r="E49">
            <v>0.78900000000000003</v>
          </cell>
        </row>
        <row r="50">
          <cell r="A50">
            <v>0</v>
          </cell>
          <cell r="B50">
            <v>0.46</v>
          </cell>
          <cell r="C50">
            <v>0.58099999999999996</v>
          </cell>
          <cell r="D50">
            <v>0.72950000000000004</v>
          </cell>
          <cell r="E50">
            <v>0.8145</v>
          </cell>
        </row>
        <row r="51">
          <cell r="A51">
            <v>1</v>
          </cell>
          <cell r="B51">
            <v>0.46</v>
          </cell>
          <cell r="C51">
            <v>0.59299999999999997</v>
          </cell>
          <cell r="D51">
            <v>0.73799999999999999</v>
          </cell>
          <cell r="E51">
            <v>0.83699999999999997</v>
          </cell>
        </row>
        <row r="52">
          <cell r="A52">
            <v>2</v>
          </cell>
          <cell r="B52">
            <v>0.46</v>
          </cell>
          <cell r="C52">
            <v>0.59299999999999997</v>
          </cell>
          <cell r="D52">
            <v>0.73699999999999999</v>
          </cell>
          <cell r="E52">
            <v>0.83599999999999997</v>
          </cell>
        </row>
        <row r="53">
          <cell r="A53">
            <v>4</v>
          </cell>
          <cell r="B53">
            <v>0.443</v>
          </cell>
          <cell r="C53">
            <v>0.55200000000000005</v>
          </cell>
          <cell r="D53">
            <v>0.66</v>
          </cell>
          <cell r="E53">
            <v>0.76400000000000001</v>
          </cell>
        </row>
        <row r="54">
          <cell r="A54">
            <v>5</v>
          </cell>
          <cell r="B54">
            <v>0.46725</v>
          </cell>
          <cell r="C54">
            <v>0.59749999999999992</v>
          </cell>
          <cell r="D54">
            <v>0.71924999999999994</v>
          </cell>
          <cell r="E54">
            <v>0.81374999999999997</v>
          </cell>
        </row>
        <row r="55">
          <cell r="A55">
            <v>6</v>
          </cell>
          <cell r="B55">
            <v>0.482875</v>
          </cell>
          <cell r="C55">
            <v>0.60575000000000001</v>
          </cell>
          <cell r="D55">
            <v>0.72950000000000004</v>
          </cell>
          <cell r="E55">
            <v>0.83062499999999995</v>
          </cell>
        </row>
        <row r="56">
          <cell r="A56">
            <v>7</v>
          </cell>
          <cell r="B56">
            <v>0.47599999999999998</v>
          </cell>
          <cell r="C56">
            <v>0.58099999999999996</v>
          </cell>
          <cell r="D56">
            <v>0.69650000000000001</v>
          </cell>
          <cell r="E56">
            <v>0.80075000000000007</v>
          </cell>
        </row>
        <row r="57">
          <cell r="A57">
            <v>8</v>
          </cell>
          <cell r="B57">
            <v>0.47099999999999997</v>
          </cell>
          <cell r="C57">
            <v>0.58174999999999999</v>
          </cell>
          <cell r="D57">
            <v>0.70474999999999999</v>
          </cell>
          <cell r="E57">
            <v>0.79200000000000004</v>
          </cell>
        </row>
        <row r="58">
          <cell r="A58">
            <v>9</v>
          </cell>
          <cell r="B58">
            <v>0.48388888888888881</v>
          </cell>
          <cell r="C58">
            <v>0.60222222222222221</v>
          </cell>
          <cell r="D58">
            <v>0.72755555555555551</v>
          </cell>
          <cell r="E58">
            <v>0.81588888888888889</v>
          </cell>
        </row>
        <row r="59">
          <cell r="A59">
            <v>10</v>
          </cell>
          <cell r="B59">
            <v>0.46899999999999997</v>
          </cell>
          <cell r="C59">
            <v>0.58886363636363637</v>
          </cell>
          <cell r="D59">
            <v>0.7070909090909091</v>
          </cell>
          <cell r="E59">
            <v>0.80031818181818182</v>
          </cell>
        </row>
        <row r="60">
          <cell r="A60">
            <v>11</v>
          </cell>
          <cell r="B60">
            <v>0.49099999999999999</v>
          </cell>
          <cell r="C60">
            <v>0.61335714285714282</v>
          </cell>
          <cell r="D60">
            <v>0.73457142857142865</v>
          </cell>
          <cell r="E60">
            <v>0.8244285714285714</v>
          </cell>
        </row>
        <row r="61">
          <cell r="A61">
            <v>12</v>
          </cell>
          <cell r="B61">
            <v>0.49512499999999998</v>
          </cell>
          <cell r="C61">
            <v>0.62340625000000005</v>
          </cell>
          <cell r="D61">
            <v>0.74331250000000004</v>
          </cell>
          <cell r="E61">
            <v>0.83546874999999998</v>
          </cell>
        </row>
        <row r="62">
          <cell r="A62">
            <v>13</v>
          </cell>
          <cell r="B62">
            <v>0.47649999999999998</v>
          </cell>
          <cell r="C62">
            <v>0.58824999999999994</v>
          </cell>
          <cell r="D62">
            <v>0.71375</v>
          </cell>
          <cell r="E62">
            <v>0.79637500000000006</v>
          </cell>
        </row>
        <row r="63">
          <cell r="A63">
            <v>14</v>
          </cell>
          <cell r="B63">
            <v>0.47131250000000002</v>
          </cell>
          <cell r="C63">
            <v>0.59199999999999997</v>
          </cell>
          <cell r="D63">
            <v>0.70874999999999999</v>
          </cell>
          <cell r="E63">
            <v>0.79575000000000007</v>
          </cell>
        </row>
        <row r="64">
          <cell r="A64">
            <v>15</v>
          </cell>
          <cell r="B64">
            <v>0.51293750000000005</v>
          </cell>
          <cell r="C64">
            <v>0.63024999999999998</v>
          </cell>
          <cell r="D64">
            <v>0.75137500000000002</v>
          </cell>
          <cell r="E64">
            <v>0.83674999999999999</v>
          </cell>
        </row>
        <row r="65">
          <cell r="A65">
            <v>16</v>
          </cell>
          <cell r="B65">
            <v>0.58102941176470591</v>
          </cell>
          <cell r="C65">
            <v>0.69785294117647056</v>
          </cell>
          <cell r="D65">
            <v>0.8165</v>
          </cell>
          <cell r="E65">
            <v>0.90355882352941175</v>
          </cell>
        </row>
        <row r="66">
          <cell r="A66">
            <v>17</v>
          </cell>
          <cell r="B66">
            <v>0.54066666666666663</v>
          </cell>
          <cell r="C66">
            <v>0.65666666666666673</v>
          </cell>
          <cell r="D66">
            <v>0.76566666666666672</v>
          </cell>
          <cell r="E66">
            <v>0.86266666666666669</v>
          </cell>
        </row>
        <row r="67">
          <cell r="A67">
            <v>18</v>
          </cell>
          <cell r="B67">
            <v>0.54999999999999993</v>
          </cell>
          <cell r="C67">
            <v>0.67154545454545456</v>
          </cell>
          <cell r="D67">
            <v>0.78454545454545443</v>
          </cell>
          <cell r="E67">
            <v>0.87454545454545451</v>
          </cell>
        </row>
        <row r="68">
          <cell r="A68">
            <v>19</v>
          </cell>
          <cell r="B68">
            <v>0.59004166666666669</v>
          </cell>
          <cell r="C68">
            <v>0.7034583333333333</v>
          </cell>
          <cell r="D68">
            <v>0.82454166666666673</v>
          </cell>
          <cell r="E68">
            <v>0.91145833333333337</v>
          </cell>
        </row>
        <row r="69">
          <cell r="A69">
            <v>20</v>
          </cell>
          <cell r="B69">
            <v>0.53066666666666662</v>
          </cell>
          <cell r="C69">
            <v>0.65046666666666664</v>
          </cell>
          <cell r="D69">
            <v>0.76346666666666663</v>
          </cell>
          <cell r="E69">
            <v>0.85399999999999998</v>
          </cell>
        </row>
        <row r="70">
          <cell r="A70">
            <v>21</v>
          </cell>
          <cell r="B70">
            <v>0.54780769230769233</v>
          </cell>
          <cell r="C70">
            <v>0.67349999999999999</v>
          </cell>
          <cell r="D70">
            <v>0.78826923076923083</v>
          </cell>
          <cell r="E70">
            <v>0.88453846153846161</v>
          </cell>
        </row>
        <row r="71">
          <cell r="A71">
            <v>22</v>
          </cell>
          <cell r="B71">
            <v>0.5263355263157895</v>
          </cell>
          <cell r="C71">
            <v>0.64384210526315788</v>
          </cell>
          <cell r="D71">
            <v>0.75511184210526316</v>
          </cell>
          <cell r="E71">
            <v>0.84798684210526321</v>
          </cell>
        </row>
        <row r="72">
          <cell r="A72">
            <v>23</v>
          </cell>
          <cell r="B72">
            <v>0.46987499999999999</v>
          </cell>
          <cell r="C72">
            <v>0.59187500000000004</v>
          </cell>
          <cell r="D72">
            <v>0.70681249999999995</v>
          </cell>
          <cell r="E72">
            <v>0.79656250000000006</v>
          </cell>
        </row>
        <row r="73">
          <cell r="A73">
            <v>24</v>
          </cell>
          <cell r="B73">
            <v>0.44900000000000001</v>
          </cell>
          <cell r="C73">
            <v>0.56771428571428573</v>
          </cell>
          <cell r="D73">
            <v>0.6925</v>
          </cell>
          <cell r="E73">
            <v>0.78899999999999992</v>
          </cell>
        </row>
        <row r="74">
          <cell r="A74">
            <v>25</v>
          </cell>
          <cell r="B74">
            <v>0.50409999999999999</v>
          </cell>
          <cell r="C74">
            <v>0.62509999999999999</v>
          </cell>
          <cell r="D74">
            <v>0.75029999999999997</v>
          </cell>
          <cell r="E74">
            <v>0.84770000000000001</v>
          </cell>
        </row>
        <row r="75">
          <cell r="A75">
            <v>26</v>
          </cell>
          <cell r="B75">
            <v>0.46670370370366671</v>
          </cell>
          <cell r="C75">
            <v>0.58737037037033335</v>
          </cell>
          <cell r="D75">
            <v>0.71059259259255558</v>
          </cell>
          <cell r="E75">
            <v>0.80492592592588885</v>
          </cell>
        </row>
        <row r="76">
          <cell r="A76">
            <v>27</v>
          </cell>
          <cell r="B76">
            <v>0.44974999999999998</v>
          </cell>
          <cell r="C76">
            <v>0.56374999999999997</v>
          </cell>
          <cell r="D76">
            <v>0.68612499999999998</v>
          </cell>
          <cell r="E76">
            <v>0.78412499999999996</v>
          </cell>
        </row>
        <row r="77">
          <cell r="A77">
            <v>28</v>
          </cell>
          <cell r="B77">
            <v>0.51600000000000001</v>
          </cell>
          <cell r="C77">
            <v>0.62</v>
          </cell>
          <cell r="D77">
            <v>0.73242857142857143</v>
          </cell>
          <cell r="E77">
            <v>0.81714285714285706</v>
          </cell>
        </row>
        <row r="78">
          <cell r="A78">
            <v>29</v>
          </cell>
          <cell r="B78">
            <v>0.50475000000000003</v>
          </cell>
          <cell r="C78">
            <v>0.61</v>
          </cell>
          <cell r="D78">
            <v>0.72</v>
          </cell>
          <cell r="E78">
            <v>0.80649999999999999</v>
          </cell>
        </row>
        <row r="79">
          <cell r="A79">
            <v>30</v>
          </cell>
          <cell r="B79">
            <v>0.4371666666666667</v>
          </cell>
          <cell r="C79">
            <v>0.56016666666666659</v>
          </cell>
          <cell r="D79">
            <v>0.68658333333333343</v>
          </cell>
          <cell r="E79">
            <v>0.79225000000000001</v>
          </cell>
        </row>
        <row r="80">
          <cell r="A80">
            <v>31</v>
          </cell>
          <cell r="B80">
            <v>0.47599999999999998</v>
          </cell>
          <cell r="C80">
            <v>0.58666666666666656</v>
          </cell>
          <cell r="D80">
            <v>0.70233333333333325</v>
          </cell>
          <cell r="E80">
            <v>0.79400000000000004</v>
          </cell>
        </row>
        <row r="81">
          <cell r="A81">
            <v>32</v>
          </cell>
          <cell r="B81">
            <v>0.46192857142857152</v>
          </cell>
          <cell r="C81">
            <v>0.5645</v>
          </cell>
          <cell r="D81">
            <v>0.67200000000000004</v>
          </cell>
          <cell r="E81">
            <v>0.75871428571428567</v>
          </cell>
        </row>
        <row r="82">
          <cell r="A82">
            <v>33</v>
          </cell>
          <cell r="B82">
            <v>0.46190476190466673</v>
          </cell>
          <cell r="C82">
            <v>0.58962698412688885</v>
          </cell>
          <cell r="D82">
            <v>0.72847619047633339</v>
          </cell>
          <cell r="E82">
            <v>0.83886507936522225</v>
          </cell>
        </row>
        <row r="83">
          <cell r="A83">
            <v>34</v>
          </cell>
          <cell r="B83">
            <v>0.43099999999999999</v>
          </cell>
          <cell r="C83">
            <v>0.54912500000000009</v>
          </cell>
          <cell r="D83">
            <v>0.65949999999999998</v>
          </cell>
          <cell r="E83">
            <v>0.75837500000000002</v>
          </cell>
        </row>
        <row r="84">
          <cell r="A84">
            <v>35</v>
          </cell>
          <cell r="B84">
            <v>0.44823888888886659</v>
          </cell>
          <cell r="C84">
            <v>0.57014444444446666</v>
          </cell>
          <cell r="D84">
            <v>0.69828888888886664</v>
          </cell>
          <cell r="E84">
            <v>0.80345</v>
          </cell>
        </row>
        <row r="85">
          <cell r="A85">
            <v>36</v>
          </cell>
          <cell r="B85">
            <v>0.45574999999999999</v>
          </cell>
          <cell r="C85">
            <v>0.57947916666662502</v>
          </cell>
          <cell r="D85">
            <v>0.705333333333375</v>
          </cell>
          <cell r="E85">
            <v>0.80933333333337498</v>
          </cell>
        </row>
        <row r="86">
          <cell r="A86">
            <v>37</v>
          </cell>
          <cell r="B86">
            <v>0.44635185185185189</v>
          </cell>
          <cell r="C86">
            <v>0.5642962962962963</v>
          </cell>
          <cell r="D86">
            <v>0.67544444444444451</v>
          </cell>
          <cell r="E86">
            <v>0.77262962962962967</v>
          </cell>
        </row>
        <row r="87">
          <cell r="A87">
            <v>38</v>
          </cell>
          <cell r="B87">
            <v>0.48655555555555552</v>
          </cell>
          <cell r="C87">
            <v>0.60566666666666669</v>
          </cell>
          <cell r="D87">
            <v>0.71977777777777774</v>
          </cell>
          <cell r="E87">
            <v>0.81829629629666667</v>
          </cell>
        </row>
        <row r="88">
          <cell r="A88">
            <v>39</v>
          </cell>
          <cell r="B88">
            <v>0.50366666666669235</v>
          </cell>
          <cell r="C88">
            <v>0.6255384615386923</v>
          </cell>
          <cell r="D88">
            <v>0.74635897435869225</v>
          </cell>
          <cell r="E88">
            <v>0.84917948717976921</v>
          </cell>
        </row>
        <row r="89">
          <cell r="A89">
            <v>40</v>
          </cell>
          <cell r="B89">
            <v>0.49562499999999998</v>
          </cell>
          <cell r="C89">
            <v>0.61712499999999992</v>
          </cell>
          <cell r="D89">
            <v>0.72562499999999996</v>
          </cell>
          <cell r="E89">
            <v>0.82493749999999999</v>
          </cell>
        </row>
        <row r="90">
          <cell r="A90">
            <v>41</v>
          </cell>
          <cell r="B90">
            <v>0.39761111111111108</v>
          </cell>
          <cell r="C90">
            <v>0.50249999999999995</v>
          </cell>
          <cell r="D90">
            <v>0.6079444444444444</v>
          </cell>
          <cell r="E90">
            <v>0.70250000000000001</v>
          </cell>
        </row>
        <row r="91">
          <cell r="A91">
            <v>42</v>
          </cell>
          <cell r="B91">
            <v>0.44474999999999998</v>
          </cell>
          <cell r="C91">
            <v>0.56254166666674998</v>
          </cell>
          <cell r="D91">
            <v>0.66220833333325002</v>
          </cell>
          <cell r="E91">
            <v>0.75829166666675007</v>
          </cell>
        </row>
        <row r="92">
          <cell r="A92">
            <v>43</v>
          </cell>
          <cell r="B92">
            <v>0.44790000000000002</v>
          </cell>
          <cell r="C92">
            <v>0.56410000000000005</v>
          </cell>
          <cell r="D92">
            <v>0.68369999999999997</v>
          </cell>
          <cell r="E92">
            <v>0.78300000000000003</v>
          </cell>
        </row>
        <row r="93">
          <cell r="A93">
            <v>44</v>
          </cell>
          <cell r="B93">
            <v>0.4294</v>
          </cell>
          <cell r="C93">
            <v>0.54271111111113335</v>
          </cell>
          <cell r="D93">
            <v>0.65008888888886662</v>
          </cell>
          <cell r="E93">
            <v>0.74376666666666658</v>
          </cell>
        </row>
        <row r="94">
          <cell r="A94">
            <v>45</v>
          </cell>
          <cell r="B94">
            <v>0.49496153846153851</v>
          </cell>
          <cell r="C94">
            <v>0.60615384615384615</v>
          </cell>
          <cell r="D94">
            <v>0.71646153846153848</v>
          </cell>
          <cell r="E94">
            <v>0.81396153846153851</v>
          </cell>
        </row>
        <row r="95">
          <cell r="A95">
            <v>46</v>
          </cell>
          <cell r="B95">
            <v>0.54276190476185715</v>
          </cell>
          <cell r="C95">
            <v>0.66552380952385715</v>
          </cell>
          <cell r="D95">
            <v>0.77028571428571435</v>
          </cell>
          <cell r="E95">
            <v>0.87823809523814289</v>
          </cell>
        </row>
        <row r="96">
          <cell r="A96">
            <v>47</v>
          </cell>
          <cell r="B96">
            <v>0.4123</v>
          </cell>
          <cell r="C96">
            <v>0.51270000000000004</v>
          </cell>
          <cell r="D96">
            <v>0.59530000000000005</v>
          </cell>
          <cell r="E96">
            <v>0.68140000000000001</v>
          </cell>
        </row>
        <row r="97">
          <cell r="A97">
            <v>48</v>
          </cell>
          <cell r="B97">
            <v>0.44323333333339998</v>
          </cell>
          <cell r="C97">
            <v>0.56446666666659995</v>
          </cell>
          <cell r="D97">
            <v>0.66446666666659993</v>
          </cell>
          <cell r="E97">
            <v>0.7717333333334</v>
          </cell>
        </row>
        <row r="98">
          <cell r="A98">
            <v>49</v>
          </cell>
          <cell r="B98">
            <v>0.40231481481466669</v>
          </cell>
          <cell r="C98">
            <v>0.5165185185186667</v>
          </cell>
          <cell r="D98">
            <v>0.61048148148133341</v>
          </cell>
          <cell r="E98">
            <v>0.70724691358022218</v>
          </cell>
        </row>
        <row r="99">
          <cell r="A99">
            <v>50</v>
          </cell>
          <cell r="B99">
            <v>0.43637500000000001</v>
          </cell>
          <cell r="C99">
            <v>0.56099999999999994</v>
          </cell>
          <cell r="D99">
            <v>0.65587499999999999</v>
          </cell>
          <cell r="E99">
            <v>0.76275000000000004</v>
          </cell>
        </row>
        <row r="100">
          <cell r="A100">
            <v>51</v>
          </cell>
          <cell r="B100">
            <v>0.41365151515145449</v>
          </cell>
          <cell r="C100">
            <v>0.53691666666672733</v>
          </cell>
          <cell r="D100">
            <v>0.62799242424236368</v>
          </cell>
          <cell r="E100">
            <v>0.73570833333336372</v>
          </cell>
        </row>
        <row r="101">
          <cell r="A101">
            <v>52</v>
          </cell>
          <cell r="B101">
            <v>0.47062777777766668</v>
          </cell>
          <cell r="C101">
            <v>0.59220555555566667</v>
          </cell>
          <cell r="D101">
            <v>0.68042222222233328</v>
          </cell>
          <cell r="E101">
            <v>0.79072222222233335</v>
          </cell>
        </row>
        <row r="102">
          <cell r="A102">
            <v>53</v>
          </cell>
          <cell r="B102">
            <v>0.44763043478260872</v>
          </cell>
          <cell r="C102">
            <v>0.56778260869569563</v>
          </cell>
          <cell r="D102">
            <v>0.65552173913047829</v>
          </cell>
          <cell r="E102">
            <v>0.76321739130430433</v>
          </cell>
        </row>
        <row r="103">
          <cell r="A103">
            <v>54</v>
          </cell>
          <cell r="B103">
            <v>0.42298000000000002</v>
          </cell>
          <cell r="C103">
            <v>0.54596</v>
          </cell>
          <cell r="D103">
            <v>0.63178000000000001</v>
          </cell>
          <cell r="E103">
            <v>0.73864000000000007</v>
          </cell>
        </row>
        <row r="104">
          <cell r="A104">
            <v>55</v>
          </cell>
          <cell r="B104">
            <v>0.35457333333331997</v>
          </cell>
          <cell r="C104">
            <v>0.48726333333332</v>
          </cell>
          <cell r="D104">
            <v>0.56566333333331997</v>
          </cell>
          <cell r="E104">
            <v>0.67686333333335991</v>
          </cell>
        </row>
        <row r="105">
          <cell r="A105">
            <v>56</v>
          </cell>
          <cell r="B105">
            <v>0.37272833333330002</v>
          </cell>
          <cell r="C105">
            <v>0.49717666666670002</v>
          </cell>
          <cell r="D105">
            <v>0.5808916666667</v>
          </cell>
          <cell r="E105">
            <v>0.69257833333329999</v>
          </cell>
        </row>
        <row r="106">
          <cell r="A106">
            <v>57</v>
          </cell>
          <cell r="B106">
            <v>0.3308518518518333</v>
          </cell>
          <cell r="C106">
            <v>0.45780555555550012</v>
          </cell>
          <cell r="D106">
            <v>0.54261111111105553</v>
          </cell>
          <cell r="E106">
            <v>0.65741666666666676</v>
          </cell>
        </row>
        <row r="107">
          <cell r="A107">
            <v>58</v>
          </cell>
          <cell r="B107">
            <v>0.32410714285714282</v>
          </cell>
          <cell r="C107">
            <v>0.44107142857142861</v>
          </cell>
          <cell r="D107">
            <v>0.51950000000000007</v>
          </cell>
          <cell r="E107">
            <v>0.62914285714285711</v>
          </cell>
        </row>
        <row r="108">
          <cell r="A108">
            <v>59</v>
          </cell>
          <cell r="B108">
            <v>0.20895</v>
          </cell>
          <cell r="C108">
            <v>0.3364166666667</v>
          </cell>
          <cell r="D108">
            <v>0.42348333333330002</v>
          </cell>
          <cell r="E108">
            <v>0.53903333333330006</v>
          </cell>
        </row>
        <row r="109">
          <cell r="A109">
            <v>60</v>
          </cell>
          <cell r="B109">
            <v>0.22866666666666671</v>
          </cell>
          <cell r="C109">
            <v>0.38666666666666671</v>
          </cell>
          <cell r="D109">
            <v>0.47466666666666663</v>
          </cell>
          <cell r="E109">
            <v>0.58741666666666659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8E9C-F8F9-4C12-9189-A4CD809A7776}">
  <dimension ref="B2:H13"/>
  <sheetViews>
    <sheetView tabSelected="1" workbookViewId="0">
      <selection activeCell="K12" sqref="K12"/>
    </sheetView>
  </sheetViews>
  <sheetFormatPr defaultRowHeight="14.25" x14ac:dyDescent="0.2"/>
  <sheetData>
    <row r="2" spans="2:8" ht="15.75" x14ac:dyDescent="0.2">
      <c r="B2" s="37" t="s">
        <v>1543</v>
      </c>
    </row>
    <row r="13" spans="2:8" x14ac:dyDescent="0.2">
      <c r="H13" s="3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72"/>
  <sheetViews>
    <sheetView zoomScale="70" zoomScaleNormal="70" workbookViewId="0">
      <pane ySplit="1" topLeftCell="A719" activePane="bottomLeft" state="frozen"/>
      <selection pane="bottomLeft" activeCell="W776" sqref="W776"/>
    </sheetView>
  </sheetViews>
  <sheetFormatPr defaultRowHeight="14.25" x14ac:dyDescent="0.2"/>
  <cols>
    <col min="2" max="2" width="13.125" customWidth="1"/>
    <col min="3" max="3" width="16.875" style="7" customWidth="1"/>
    <col min="4" max="4" width="15.625" style="1" customWidth="1"/>
    <col min="5" max="6" width="15.625" style="3" customWidth="1"/>
    <col min="7" max="7" width="15.625" style="6" customWidth="1"/>
    <col min="8" max="8" width="18.25" style="3" customWidth="1"/>
    <col min="9" max="16" width="15.625" style="3" customWidth="1"/>
    <col min="21" max="23" width="15.625" style="4" customWidth="1"/>
    <col min="24" max="24" width="14.875" style="4" customWidth="1"/>
    <col min="25" max="28" width="15.625" style="4" customWidth="1"/>
  </cols>
  <sheetData>
    <row r="1" spans="1:32" ht="16.5" x14ac:dyDescent="0.2">
      <c r="A1" s="69" t="s">
        <v>758</v>
      </c>
      <c r="B1" s="69" t="s">
        <v>759</v>
      </c>
      <c r="C1" s="69" t="s">
        <v>0</v>
      </c>
      <c r="D1" s="73" t="s">
        <v>1</v>
      </c>
      <c r="E1" s="71" t="s">
        <v>755</v>
      </c>
      <c r="F1" s="71" t="s">
        <v>756</v>
      </c>
      <c r="G1" s="69" t="s">
        <v>1524</v>
      </c>
      <c r="H1" s="22" t="s">
        <v>1523</v>
      </c>
      <c r="I1" s="66" t="s">
        <v>757</v>
      </c>
      <c r="J1" s="67"/>
      <c r="K1" s="67"/>
      <c r="L1" s="68"/>
      <c r="M1" s="66" t="s">
        <v>1532</v>
      </c>
      <c r="N1" s="67"/>
      <c r="O1" s="67"/>
      <c r="P1" s="68"/>
      <c r="Q1" s="65" t="s">
        <v>1542</v>
      </c>
      <c r="R1" s="65"/>
      <c r="S1" s="65"/>
      <c r="T1" s="65"/>
      <c r="U1" s="65" t="s">
        <v>1517</v>
      </c>
      <c r="V1" s="65"/>
      <c r="W1" s="65"/>
      <c r="X1" s="65"/>
      <c r="Y1" s="65" t="s">
        <v>754</v>
      </c>
      <c r="Z1" s="65"/>
      <c r="AA1" s="65"/>
      <c r="AB1" s="65"/>
      <c r="AC1" s="65" t="s">
        <v>1542</v>
      </c>
      <c r="AD1" s="65"/>
      <c r="AE1" s="65"/>
      <c r="AF1" s="65"/>
    </row>
    <row r="2" spans="1:32" s="23" customFormat="1" x14ac:dyDescent="0.2">
      <c r="A2" s="70"/>
      <c r="B2" s="70"/>
      <c r="C2" s="70"/>
      <c r="D2" s="74"/>
      <c r="E2" s="72"/>
      <c r="F2" s="72"/>
      <c r="G2" s="70"/>
      <c r="H2" s="31" t="s">
        <v>1522</v>
      </c>
      <c r="I2" s="20" t="s">
        <v>1518</v>
      </c>
      <c r="J2" s="20" t="s">
        <v>1519</v>
      </c>
      <c r="K2" s="20" t="s">
        <v>1520</v>
      </c>
      <c r="L2" s="20" t="s">
        <v>1521</v>
      </c>
      <c r="M2" s="20" t="s">
        <v>1518</v>
      </c>
      <c r="N2" s="20" t="s">
        <v>1519</v>
      </c>
      <c r="O2" s="20" t="s">
        <v>1520</v>
      </c>
      <c r="P2" s="20" t="s">
        <v>1521</v>
      </c>
      <c r="Q2" s="20" t="s">
        <v>1518</v>
      </c>
      <c r="R2" s="20" t="s">
        <v>1519</v>
      </c>
      <c r="S2" s="20" t="s">
        <v>1520</v>
      </c>
      <c r="T2" s="20" t="s">
        <v>1521</v>
      </c>
      <c r="U2" s="20" t="s">
        <v>1518</v>
      </c>
      <c r="V2" s="20" t="s">
        <v>1519</v>
      </c>
      <c r="W2" s="20" t="s">
        <v>1520</v>
      </c>
      <c r="X2" s="20" t="s">
        <v>1521</v>
      </c>
      <c r="Y2" s="20" t="s">
        <v>1518</v>
      </c>
      <c r="Z2" s="20" t="s">
        <v>1519</v>
      </c>
      <c r="AA2" s="20" t="s">
        <v>1520</v>
      </c>
      <c r="AB2" s="20" t="s">
        <v>1521</v>
      </c>
      <c r="AC2" s="20" t="s">
        <v>1518</v>
      </c>
      <c r="AD2" s="20" t="s">
        <v>1519</v>
      </c>
      <c r="AE2" s="20" t="s">
        <v>1520</v>
      </c>
      <c r="AF2" s="20" t="s">
        <v>1521</v>
      </c>
    </row>
    <row r="3" spans="1:32" x14ac:dyDescent="0.2">
      <c r="A3" s="30">
        <v>1</v>
      </c>
      <c r="B3" s="9" t="s">
        <v>760</v>
      </c>
      <c r="C3" s="12">
        <v>123</v>
      </c>
      <c r="D3" s="13" t="s">
        <v>2</v>
      </c>
      <c r="E3" s="17">
        <v>-71.598206824499997</v>
      </c>
      <c r="F3" s="17">
        <v>-30.692053040400001</v>
      </c>
      <c r="G3" s="14">
        <v>52</v>
      </c>
      <c r="H3" s="17">
        <v>16.07</v>
      </c>
      <c r="I3" s="17">
        <v>17.38</v>
      </c>
      <c r="J3" s="17">
        <v>18.5</v>
      </c>
      <c r="K3" s="17">
        <v>18.97</v>
      </c>
      <c r="L3" s="17">
        <v>19.690000000000001</v>
      </c>
      <c r="M3" s="17">
        <f>I3-H3</f>
        <v>1.3099999999999987</v>
      </c>
      <c r="N3" s="17">
        <f>J3-H3</f>
        <v>2.4299999999999997</v>
      </c>
      <c r="O3" s="17">
        <f>K3-H3</f>
        <v>2.8999999999999986</v>
      </c>
      <c r="P3" s="17">
        <f>L3-H3</f>
        <v>3.620000000000001</v>
      </c>
      <c r="Q3" s="17">
        <f>(M3-M$764)/M$767</f>
        <v>0.54689806511803207</v>
      </c>
      <c r="R3" s="17">
        <f t="shared" ref="R3:R66" si="0">(N3-N$764)/N$767</f>
        <v>0.45711874697279914</v>
      </c>
      <c r="S3" s="17">
        <f t="shared" ref="S3:S66" si="1">(O3-O$764)/O$767</f>
        <v>-0.6728319465564836</v>
      </c>
      <c r="T3" s="17">
        <f t="shared" ref="T3:T66" si="2">(P3-P$764)/P$767</f>
        <v>-1.1304696259716367</v>
      </c>
      <c r="U3" s="16">
        <v>0</v>
      </c>
      <c r="V3" s="16">
        <v>0</v>
      </c>
      <c r="W3" s="16">
        <v>0</v>
      </c>
      <c r="X3" s="16">
        <v>0</v>
      </c>
      <c r="Y3" s="15">
        <v>0.32200000000000001</v>
      </c>
      <c r="Z3" s="15">
        <v>0.43</v>
      </c>
      <c r="AA3" s="15">
        <v>0.55000000000000004</v>
      </c>
      <c r="AB3" s="15">
        <v>0.62</v>
      </c>
      <c r="AC3" s="3">
        <f>(Y3-Y$764)/Y$767</f>
        <v>-1.1745417590192713</v>
      </c>
      <c r="AD3" s="3">
        <f t="shared" ref="AD3:AF3" si="3">(Z3-Z$764)/Z$767</f>
        <v>-1.2466371345949849</v>
      </c>
      <c r="AE3" s="3">
        <f t="shared" si="3"/>
        <v>-1.0647680768923644</v>
      </c>
      <c r="AF3" s="3">
        <f t="shared" si="3"/>
        <v>-1.2870042701224425</v>
      </c>
    </row>
    <row r="4" spans="1:32" x14ac:dyDescent="0.2">
      <c r="A4" s="30">
        <v>2</v>
      </c>
      <c r="B4" s="9" t="s">
        <v>1401</v>
      </c>
      <c r="C4" s="12">
        <v>191</v>
      </c>
      <c r="D4" s="13" t="s">
        <v>3</v>
      </c>
      <c r="E4" s="17">
        <v>-90.7763400969</v>
      </c>
      <c r="F4" s="17">
        <v>-8.0758179292000007E-2</v>
      </c>
      <c r="G4" s="14">
        <v>34325</v>
      </c>
      <c r="H4" s="17">
        <v>24.64</v>
      </c>
      <c r="I4" s="17">
        <v>24.9</v>
      </c>
      <c r="J4" s="17">
        <v>26.66</v>
      </c>
      <c r="K4" s="17">
        <v>27.83</v>
      </c>
      <c r="L4" s="17">
        <v>28.65</v>
      </c>
      <c r="M4" s="17">
        <f t="shared" ref="M4:M67" si="4">I4-H4</f>
        <v>0.25999999999999801</v>
      </c>
      <c r="N4" s="17">
        <f t="shared" ref="N4:N67" si="5">J4-H4</f>
        <v>2.0199999999999996</v>
      </c>
      <c r="O4" s="17">
        <f t="shared" ref="O4:O67" si="6">K4-H4</f>
        <v>3.1899999999999977</v>
      </c>
      <c r="P4" s="17">
        <f t="shared" ref="P4:P67" si="7">L4-H4</f>
        <v>4.009999999999998</v>
      </c>
      <c r="Q4" s="17">
        <f t="shared" ref="Q4:Q67" si="8">(M4-M$764)/M$767</f>
        <v>-0.73238995073680957</v>
      </c>
      <c r="R4" s="17">
        <f t="shared" si="0"/>
        <v>-0.12010357385597319</v>
      </c>
      <c r="S4" s="17">
        <f t="shared" si="1"/>
        <v>-0.33606817530140543</v>
      </c>
      <c r="T4" s="17">
        <f t="shared" si="2"/>
        <v>-0.73572130375441125</v>
      </c>
      <c r="U4" s="16">
        <v>12</v>
      </c>
      <c r="V4" s="16">
        <v>15</v>
      </c>
      <c r="W4" s="16">
        <v>19</v>
      </c>
      <c r="X4" s="16">
        <v>21</v>
      </c>
      <c r="Y4" s="15">
        <v>0.46200000000000002</v>
      </c>
      <c r="Z4" s="15">
        <v>0.56999999999999995</v>
      </c>
      <c r="AA4" s="15">
        <v>0.72099999999999997</v>
      </c>
      <c r="AB4" s="15">
        <v>0.79100000000000004</v>
      </c>
      <c r="AC4" s="3">
        <f t="shared" ref="AC4:AC67" si="9">(Y4-Y$764)/Y$767</f>
        <v>0.11915289822332498</v>
      </c>
      <c r="AD4" s="3">
        <f t="shared" ref="AD4:AD67" si="10">(Z4-Z$764)/Z$767</f>
        <v>9.6409038637930381E-3</v>
      </c>
      <c r="AE4" s="3">
        <f t="shared" ref="AE4:AE67" si="11">(AA4-AA$764)/AA$767</f>
        <v>0.34311734147038786</v>
      </c>
      <c r="AF4" s="3">
        <f t="shared" ref="AF4:AF67" si="12">(AB4-AB$764)/AB$767</f>
        <v>0.11768446473250499</v>
      </c>
    </row>
    <row r="5" spans="1:32" x14ac:dyDescent="0.2">
      <c r="A5" s="30">
        <v>3</v>
      </c>
      <c r="B5" s="9" t="s">
        <v>1402</v>
      </c>
      <c r="C5" s="12">
        <v>201</v>
      </c>
      <c r="D5" s="13" t="s">
        <v>4</v>
      </c>
      <c r="E5" s="17">
        <v>-84.896221070500005</v>
      </c>
      <c r="F5" s="17">
        <v>15.4777674294</v>
      </c>
      <c r="G5" s="14">
        <v>724</v>
      </c>
      <c r="H5" s="17">
        <v>24.13</v>
      </c>
      <c r="I5" s="17">
        <v>24.66</v>
      </c>
      <c r="J5" s="17">
        <v>26.13</v>
      </c>
      <c r="K5" s="17">
        <v>27.2</v>
      </c>
      <c r="L5" s="17">
        <v>28.46</v>
      </c>
      <c r="M5" s="17">
        <f t="shared" si="4"/>
        <v>0.53000000000000114</v>
      </c>
      <c r="N5" s="17">
        <f t="shared" si="5"/>
        <v>2</v>
      </c>
      <c r="O5" s="17">
        <f t="shared" si="6"/>
        <v>3.0700000000000003</v>
      </c>
      <c r="P5" s="17">
        <f t="shared" si="7"/>
        <v>4.3300000000000018</v>
      </c>
      <c r="Q5" s="17">
        <f t="shared" si="8"/>
        <v>-0.40343017523127528</v>
      </c>
      <c r="R5" s="17">
        <f t="shared" si="0"/>
        <v>-0.14826076023786391</v>
      </c>
      <c r="S5" s="17">
        <f t="shared" si="1"/>
        <v>-0.47541870133798697</v>
      </c>
      <c r="T5" s="17">
        <f t="shared" si="2"/>
        <v>-0.41182524449924557</v>
      </c>
      <c r="U5" s="16">
        <v>11</v>
      </c>
      <c r="V5" s="16">
        <v>15</v>
      </c>
      <c r="W5" s="16">
        <v>19</v>
      </c>
      <c r="X5" s="16">
        <v>21</v>
      </c>
      <c r="Y5" s="15">
        <v>0.59199999999999997</v>
      </c>
      <c r="Z5" s="15">
        <v>0.72199999999999998</v>
      </c>
      <c r="AA5" s="15">
        <v>0.84099999999999997</v>
      </c>
      <c r="AB5" s="15">
        <v>0.93400000000000005</v>
      </c>
      <c r="AC5" s="3">
        <f t="shared" si="9"/>
        <v>1.3204407942343066</v>
      </c>
      <c r="AD5" s="3">
        <f t="shared" si="10"/>
        <v>1.3735999170476096</v>
      </c>
      <c r="AE5" s="3">
        <f t="shared" si="11"/>
        <v>1.331107108742495</v>
      </c>
      <c r="AF5" s="3">
        <f t="shared" si="12"/>
        <v>1.2923656874474607</v>
      </c>
    </row>
    <row r="6" spans="1:32" x14ac:dyDescent="0.2">
      <c r="A6" s="30">
        <v>4</v>
      </c>
      <c r="B6" s="9" t="s">
        <v>761</v>
      </c>
      <c r="C6" s="12">
        <v>2012</v>
      </c>
      <c r="D6" s="13" t="s">
        <v>5</v>
      </c>
      <c r="E6" s="17">
        <v>-80.903517265999994</v>
      </c>
      <c r="F6" s="17">
        <v>25.3525073261</v>
      </c>
      <c r="G6" s="14">
        <v>5597</v>
      </c>
      <c r="H6" s="17">
        <v>22.57</v>
      </c>
      <c r="I6" s="17">
        <v>23.22</v>
      </c>
      <c r="J6" s="17">
        <v>24.47</v>
      </c>
      <c r="K6" s="17">
        <v>26.14</v>
      </c>
      <c r="L6" s="17">
        <v>26.57</v>
      </c>
      <c r="M6" s="17">
        <f t="shared" si="4"/>
        <v>0.64999999999999858</v>
      </c>
      <c r="N6" s="17">
        <f t="shared" si="5"/>
        <v>1.8999999999999986</v>
      </c>
      <c r="O6" s="17">
        <f t="shared" si="6"/>
        <v>3.5700000000000003</v>
      </c>
      <c r="P6" s="17">
        <f t="shared" si="7"/>
        <v>4</v>
      </c>
      <c r="Q6" s="17">
        <f t="shared" si="8"/>
        <v>-0.25722583056215376</v>
      </c>
      <c r="R6" s="17">
        <f t="shared" si="0"/>
        <v>-0.28904669214732254</v>
      </c>
      <c r="S6" s="17">
        <f t="shared" si="1"/>
        <v>0.10520849048111508</v>
      </c>
      <c r="T6" s="17">
        <f t="shared" si="2"/>
        <v>-0.74584305560613307</v>
      </c>
      <c r="U6" s="16">
        <v>1347</v>
      </c>
      <c r="V6" s="16">
        <v>1497</v>
      </c>
      <c r="W6" s="16">
        <v>1584</v>
      </c>
      <c r="X6" s="16">
        <v>1638</v>
      </c>
      <c r="Y6" s="15">
        <v>0.59799999999999998</v>
      </c>
      <c r="Z6" s="15">
        <v>0.72499999999999998</v>
      </c>
      <c r="AA6" s="15">
        <v>0.84550000000000003</v>
      </c>
      <c r="AB6" s="15">
        <v>0.93500000000000005</v>
      </c>
      <c r="AC6" s="3">
        <f t="shared" si="9"/>
        <v>1.3758848509732751</v>
      </c>
      <c r="AD6" s="3">
        <f t="shared" si="10"/>
        <v>1.4005201607288693</v>
      </c>
      <c r="AE6" s="3">
        <f t="shared" si="11"/>
        <v>1.3681567250151996</v>
      </c>
      <c r="AF6" s="3">
        <f t="shared" si="12"/>
        <v>1.3005802414524605</v>
      </c>
    </row>
    <row r="7" spans="1:32" x14ac:dyDescent="0.2">
      <c r="A7" s="30">
        <v>5</v>
      </c>
      <c r="B7" s="9" t="s">
        <v>762</v>
      </c>
      <c r="C7" s="12">
        <v>2018</v>
      </c>
      <c r="D7" s="13" t="s">
        <v>6</v>
      </c>
      <c r="E7" s="17">
        <v>-140.574784816</v>
      </c>
      <c r="F7" s="17">
        <v>60.7084759408</v>
      </c>
      <c r="G7" s="14">
        <v>12162</v>
      </c>
      <c r="H7" s="17">
        <v>-2.5</v>
      </c>
      <c r="I7" s="17">
        <v>1.61</v>
      </c>
      <c r="J7" s="17">
        <v>1.62</v>
      </c>
      <c r="K7" s="17">
        <v>3.89</v>
      </c>
      <c r="L7" s="17">
        <v>5.93</v>
      </c>
      <c r="M7" s="17">
        <f t="shared" si="4"/>
        <v>4.1100000000000003</v>
      </c>
      <c r="N7" s="17">
        <f t="shared" si="5"/>
        <v>4.12</v>
      </c>
      <c r="O7" s="17">
        <f t="shared" si="6"/>
        <v>6.3900000000000006</v>
      </c>
      <c r="P7" s="17">
        <f t="shared" si="7"/>
        <v>8.43</v>
      </c>
      <c r="Q7" s="17">
        <f t="shared" si="8"/>
        <v>3.9583327740642762</v>
      </c>
      <c r="R7" s="17">
        <f t="shared" si="0"/>
        <v>2.8364009962426162</v>
      </c>
      <c r="S7" s="17">
        <f t="shared" si="1"/>
        <v>3.379945852340851</v>
      </c>
      <c r="T7" s="17">
        <f t="shared" si="2"/>
        <v>3.7380930147075131</v>
      </c>
      <c r="U7" s="16">
        <v>72</v>
      </c>
      <c r="V7" s="16">
        <v>67</v>
      </c>
      <c r="W7" s="16">
        <v>61</v>
      </c>
      <c r="X7" s="16">
        <v>52</v>
      </c>
      <c r="Y7" s="15">
        <v>1.2E-2</v>
      </c>
      <c r="Z7" s="15">
        <v>8.7999999999999995E-2</v>
      </c>
      <c r="AA7" s="15">
        <v>0.126</v>
      </c>
      <c r="AB7" s="15">
        <v>0.19400000000000001</v>
      </c>
      <c r="AC7" s="3">
        <f t="shared" si="9"/>
        <v>-4.0391513571993052</v>
      </c>
      <c r="AD7" s="3">
        <f t="shared" si="10"/>
        <v>-4.315544914258572</v>
      </c>
      <c r="AE7" s="3">
        <f t="shared" si="11"/>
        <v>-4.5556652545871437</v>
      </c>
      <c r="AF7" s="3">
        <f t="shared" si="12"/>
        <v>-4.78640427625231</v>
      </c>
    </row>
    <row r="8" spans="1:32" x14ac:dyDescent="0.2">
      <c r="A8" s="30">
        <v>6</v>
      </c>
      <c r="B8" s="9" t="s">
        <v>1267</v>
      </c>
      <c r="C8" s="12">
        <v>2026</v>
      </c>
      <c r="D8" s="13" t="s">
        <v>7</v>
      </c>
      <c r="E8" s="17">
        <v>119.532084625</v>
      </c>
      <c r="F8" s="17">
        <v>-33.898622902100001</v>
      </c>
      <c r="G8" s="14">
        <v>2707</v>
      </c>
      <c r="H8" s="17">
        <v>16.309999999999999</v>
      </c>
      <c r="I8" s="17">
        <v>18.52</v>
      </c>
      <c r="J8" s="17">
        <v>18.86</v>
      </c>
      <c r="K8" s="17">
        <v>20.05</v>
      </c>
      <c r="L8" s="17">
        <v>20.62</v>
      </c>
      <c r="M8" s="17">
        <f t="shared" si="4"/>
        <v>2.2100000000000009</v>
      </c>
      <c r="N8" s="17">
        <f t="shared" si="5"/>
        <v>2.5500000000000007</v>
      </c>
      <c r="O8" s="17">
        <f t="shared" si="6"/>
        <v>3.740000000000002</v>
      </c>
      <c r="P8" s="17">
        <f t="shared" si="7"/>
        <v>4.3100000000000023</v>
      </c>
      <c r="Q8" s="17">
        <f t="shared" si="8"/>
        <v>1.6434306501364695</v>
      </c>
      <c r="R8" s="17">
        <f t="shared" si="0"/>
        <v>0.62606186526414842</v>
      </c>
      <c r="S8" s="17">
        <f t="shared" si="1"/>
        <v>0.30262173569961176</v>
      </c>
      <c r="T8" s="17">
        <f t="shared" si="2"/>
        <v>-0.43206874820269275</v>
      </c>
      <c r="U8" s="16">
        <v>17</v>
      </c>
      <c r="V8" s="16">
        <v>21</v>
      </c>
      <c r="W8" s="16">
        <v>23</v>
      </c>
      <c r="X8" s="16">
        <v>24</v>
      </c>
      <c r="Y8" s="15">
        <v>0.442</v>
      </c>
      <c r="Z8" s="15">
        <v>0.54800000000000004</v>
      </c>
      <c r="AA8" s="15">
        <v>0.66800000000000004</v>
      </c>
      <c r="AB8" s="15">
        <v>0.73799999999999999</v>
      </c>
      <c r="AC8" s="3">
        <f t="shared" si="9"/>
        <v>-6.5660624239903195E-2</v>
      </c>
      <c r="AD8" s="3">
        <f t="shared" si="10"/>
        <v>-0.18777421646544273</v>
      </c>
      <c r="AE8" s="3">
        <f t="shared" si="11"/>
        <v>-9.3244805741459005E-2</v>
      </c>
      <c r="AF8" s="3">
        <f t="shared" si="12"/>
        <v>-0.31768689753247897</v>
      </c>
    </row>
    <row r="9" spans="1:32" x14ac:dyDescent="0.2">
      <c r="A9" s="30">
        <v>7</v>
      </c>
      <c r="B9" s="9" t="s">
        <v>919</v>
      </c>
      <c r="C9" s="12">
        <v>2077</v>
      </c>
      <c r="D9" s="13" t="s">
        <v>8</v>
      </c>
      <c r="E9" s="17">
        <v>55.613134019299999</v>
      </c>
      <c r="F9" s="17">
        <v>26.849442171300002</v>
      </c>
      <c r="G9" s="14">
        <v>585</v>
      </c>
      <c r="H9" s="17">
        <v>25.53</v>
      </c>
      <c r="I9" s="17">
        <v>27.35</v>
      </c>
      <c r="J9" s="17">
        <v>28.06</v>
      </c>
      <c r="K9" s="17">
        <v>29.66</v>
      </c>
      <c r="L9" s="17">
        <v>32.020000000000003</v>
      </c>
      <c r="M9" s="17">
        <f t="shared" si="4"/>
        <v>1.8200000000000003</v>
      </c>
      <c r="N9" s="17">
        <f t="shared" si="5"/>
        <v>2.5299999999999976</v>
      </c>
      <c r="O9" s="17">
        <f t="shared" si="6"/>
        <v>4.129999999999999</v>
      </c>
      <c r="P9" s="17">
        <f t="shared" si="7"/>
        <v>6.490000000000002</v>
      </c>
      <c r="Q9" s="17">
        <f t="shared" si="8"/>
        <v>1.1682665299618138</v>
      </c>
      <c r="R9" s="17">
        <f t="shared" si="0"/>
        <v>0.59790467888225274</v>
      </c>
      <c r="S9" s="17">
        <f t="shared" si="1"/>
        <v>0.75551094531850793</v>
      </c>
      <c r="T9" s="17">
        <f t="shared" si="2"/>
        <v>1.7744731554730968</v>
      </c>
      <c r="U9" s="16">
        <v>10</v>
      </c>
      <c r="V9" s="16">
        <v>13</v>
      </c>
      <c r="W9" s="16">
        <v>16</v>
      </c>
      <c r="X9" s="16">
        <v>19</v>
      </c>
      <c r="Y9" s="15">
        <v>0.35599999999999998</v>
      </c>
      <c r="Z9" s="15">
        <v>0.48</v>
      </c>
      <c r="AA9" s="15">
        <v>0.61399999999999999</v>
      </c>
      <c r="AB9" s="15">
        <v>0.72599999999999998</v>
      </c>
      <c r="AC9" s="3">
        <f t="shared" si="9"/>
        <v>-0.8603587708317838</v>
      </c>
      <c r="AD9" s="3">
        <f t="shared" si="10"/>
        <v>-0.79796640657399276</v>
      </c>
      <c r="AE9" s="3">
        <f t="shared" si="11"/>
        <v>-0.53784020101390762</v>
      </c>
      <c r="AF9" s="3">
        <f t="shared" si="12"/>
        <v>-0.41626154559247536</v>
      </c>
    </row>
    <row r="10" spans="1:32" x14ac:dyDescent="0.2">
      <c r="A10" s="30">
        <v>8</v>
      </c>
      <c r="B10" s="9" t="s">
        <v>920</v>
      </c>
      <c r="C10" s="12">
        <v>2093</v>
      </c>
      <c r="D10" s="13" t="s">
        <v>9</v>
      </c>
      <c r="E10" s="17">
        <v>17.3427595078</v>
      </c>
      <c r="F10" s="17">
        <v>54.703418415500003</v>
      </c>
      <c r="G10" s="14">
        <v>210</v>
      </c>
      <c r="H10" s="17">
        <v>8.89</v>
      </c>
      <c r="I10" s="17">
        <v>9.1</v>
      </c>
      <c r="J10" s="17">
        <v>11.22</v>
      </c>
      <c r="K10" s="17">
        <v>13.23</v>
      </c>
      <c r="L10" s="17">
        <v>13.89</v>
      </c>
      <c r="M10" s="17">
        <f t="shared" si="4"/>
        <v>0.20999999999999908</v>
      </c>
      <c r="N10" s="17">
        <f t="shared" si="5"/>
        <v>2.33</v>
      </c>
      <c r="O10" s="17">
        <f t="shared" si="6"/>
        <v>4.34</v>
      </c>
      <c r="P10" s="17">
        <f t="shared" si="7"/>
        <v>5</v>
      </c>
      <c r="Q10" s="17">
        <f t="shared" si="8"/>
        <v>-0.79330842768227694</v>
      </c>
      <c r="R10" s="17">
        <f t="shared" si="0"/>
        <v>0.31633281506334299</v>
      </c>
      <c r="S10" s="17">
        <f t="shared" si="1"/>
        <v>0.9993743658825317</v>
      </c>
      <c r="T10" s="17">
        <f t="shared" si="2"/>
        <v>0.26633212956624758</v>
      </c>
      <c r="U10" s="16">
        <v>16</v>
      </c>
      <c r="V10" s="16">
        <v>18</v>
      </c>
      <c r="W10" s="16">
        <v>20</v>
      </c>
      <c r="X10" s="16">
        <v>21</v>
      </c>
      <c r="Y10" s="15">
        <v>0.44600000000000001</v>
      </c>
      <c r="Z10" s="15">
        <v>0.58950000000000002</v>
      </c>
      <c r="AA10" s="15">
        <v>0.6835</v>
      </c>
      <c r="AB10" s="15">
        <v>0.80349999999999999</v>
      </c>
      <c r="AC10" s="3">
        <f t="shared" si="9"/>
        <v>-2.8697919747257564E-2</v>
      </c>
      <c r="AD10" s="3">
        <f t="shared" si="10"/>
        <v>0.18462248779198068</v>
      </c>
      <c r="AE10" s="3">
        <f t="shared" si="11"/>
        <v>3.4370539197854509E-2</v>
      </c>
      <c r="AF10" s="3">
        <f t="shared" si="12"/>
        <v>0.22036638979500076</v>
      </c>
    </row>
    <row r="11" spans="1:32" x14ac:dyDescent="0.2">
      <c r="A11" s="30">
        <v>9</v>
      </c>
      <c r="B11" s="9" t="s">
        <v>1268</v>
      </c>
      <c r="C11" s="12">
        <v>2102</v>
      </c>
      <c r="D11" s="13" t="s">
        <v>10</v>
      </c>
      <c r="E11" s="17">
        <v>119.54271024400001</v>
      </c>
      <c r="F11" s="17">
        <v>-8.63050661688</v>
      </c>
      <c r="G11" s="14">
        <v>1559</v>
      </c>
      <c r="H11" s="17">
        <v>26.2</v>
      </c>
      <c r="I11" s="17">
        <v>27.14</v>
      </c>
      <c r="J11" s="17">
        <v>28.73</v>
      </c>
      <c r="K11" s="17">
        <v>29.8</v>
      </c>
      <c r="L11" s="17">
        <v>31.18</v>
      </c>
      <c r="M11" s="17">
        <f t="shared" si="4"/>
        <v>0.94000000000000128</v>
      </c>
      <c r="N11" s="17">
        <f t="shared" si="5"/>
        <v>2.5300000000000011</v>
      </c>
      <c r="O11" s="17">
        <f t="shared" si="6"/>
        <v>3.6000000000000014</v>
      </c>
      <c r="P11" s="17">
        <f t="shared" si="7"/>
        <v>4.9800000000000004</v>
      </c>
      <c r="Q11" s="17">
        <f t="shared" si="8"/>
        <v>9.6101335721567455E-2</v>
      </c>
      <c r="R11" s="17">
        <f t="shared" si="0"/>
        <v>0.59790467888225773</v>
      </c>
      <c r="S11" s="17">
        <f t="shared" si="1"/>
        <v>0.14004612199026253</v>
      </c>
      <c r="T11" s="17">
        <f t="shared" si="2"/>
        <v>0.24608862586280042</v>
      </c>
      <c r="U11" s="16">
        <v>7</v>
      </c>
      <c r="V11" s="16">
        <v>7</v>
      </c>
      <c r="W11" s="16">
        <v>7</v>
      </c>
      <c r="X11" s="16">
        <v>8</v>
      </c>
      <c r="Y11" s="15">
        <v>0.47399999999999998</v>
      </c>
      <c r="Z11" s="15">
        <v>0.58599999999999997</v>
      </c>
      <c r="AA11" s="15">
        <v>0.70199999999999996</v>
      </c>
      <c r="AB11" s="15">
        <v>0.80600000000000005</v>
      </c>
      <c r="AC11" s="3">
        <f t="shared" si="9"/>
        <v>0.23004101170126137</v>
      </c>
      <c r="AD11" s="3">
        <f t="shared" si="10"/>
        <v>0.1532155368305107</v>
      </c>
      <c r="AE11" s="3">
        <f t="shared" si="11"/>
        <v>0.18668562831897073</v>
      </c>
      <c r="AF11" s="3">
        <f t="shared" si="12"/>
        <v>0.24090277480750044</v>
      </c>
    </row>
    <row r="12" spans="1:32" x14ac:dyDescent="0.2">
      <c r="A12" s="30">
        <v>10</v>
      </c>
      <c r="B12" s="9" t="s">
        <v>921</v>
      </c>
      <c r="C12" s="12">
        <v>2123</v>
      </c>
      <c r="D12" s="13" t="s">
        <v>11</v>
      </c>
      <c r="E12" s="17">
        <v>-4.0983245642700004</v>
      </c>
      <c r="F12" s="17">
        <v>52.490938423099998</v>
      </c>
      <c r="G12" s="14">
        <v>249</v>
      </c>
      <c r="H12" s="17">
        <v>11.19</v>
      </c>
      <c r="I12" s="17">
        <v>10.67</v>
      </c>
      <c r="J12" s="17">
        <v>12.04</v>
      </c>
      <c r="K12" s="17">
        <v>13.5</v>
      </c>
      <c r="L12" s="17">
        <v>14.81</v>
      </c>
      <c r="M12" s="17">
        <f t="shared" si="4"/>
        <v>-0.51999999999999957</v>
      </c>
      <c r="N12" s="17">
        <f t="shared" si="5"/>
        <v>0.84999999999999964</v>
      </c>
      <c r="O12" s="17">
        <f t="shared" si="6"/>
        <v>2.3100000000000005</v>
      </c>
      <c r="P12" s="17">
        <f t="shared" si="7"/>
        <v>3.620000000000001</v>
      </c>
      <c r="Q12" s="17">
        <f t="shared" si="8"/>
        <v>-1.6827181910861169</v>
      </c>
      <c r="R12" s="17">
        <f t="shared" si="0"/>
        <v>-1.7672989771966154</v>
      </c>
      <c r="S12" s="17">
        <f t="shared" si="1"/>
        <v>-1.3579720329030218</v>
      </c>
      <c r="T12" s="17">
        <f t="shared" si="2"/>
        <v>-1.1304696259716367</v>
      </c>
      <c r="U12" s="16">
        <v>0</v>
      </c>
      <c r="V12" s="16">
        <v>0</v>
      </c>
      <c r="W12" s="16">
        <v>0</v>
      </c>
      <c r="X12" s="16">
        <v>0</v>
      </c>
      <c r="Y12" s="15">
        <v>0.45</v>
      </c>
      <c r="Z12" s="15">
        <v>0.56299999999999994</v>
      </c>
      <c r="AA12" s="15">
        <v>0.65200000000000002</v>
      </c>
      <c r="AB12" s="15">
        <v>0.748</v>
      </c>
      <c r="AC12" s="3">
        <f t="shared" si="9"/>
        <v>8.2647847453880714E-3</v>
      </c>
      <c r="AD12" s="3">
        <f t="shared" si="10"/>
        <v>-5.3172998059145937E-2</v>
      </c>
      <c r="AE12" s="3">
        <f t="shared" si="11"/>
        <v>-0.22497677471107341</v>
      </c>
      <c r="AF12" s="3">
        <f t="shared" si="12"/>
        <v>-0.23554135748248201</v>
      </c>
    </row>
    <row r="13" spans="1:32" x14ac:dyDescent="0.2">
      <c r="A13" s="30">
        <v>11</v>
      </c>
      <c r="B13" s="9" t="s">
        <v>922</v>
      </c>
      <c r="C13" s="12">
        <v>2126</v>
      </c>
      <c r="D13" s="13" t="s">
        <v>12</v>
      </c>
      <c r="E13" s="17">
        <v>-4.2118420622299997</v>
      </c>
      <c r="F13" s="17">
        <v>51.092136599699998</v>
      </c>
      <c r="G13" s="14">
        <v>13</v>
      </c>
      <c r="H13" s="17">
        <v>11.91</v>
      </c>
      <c r="I13" s="17">
        <v>11.32</v>
      </c>
      <c r="J13" s="17">
        <v>12.66</v>
      </c>
      <c r="K13" s="17">
        <v>14.12</v>
      </c>
      <c r="L13" s="17">
        <v>15.44</v>
      </c>
      <c r="M13" s="17">
        <f t="shared" si="4"/>
        <v>-0.58999999999999986</v>
      </c>
      <c r="N13" s="17">
        <f t="shared" si="5"/>
        <v>0.75</v>
      </c>
      <c r="O13" s="17">
        <f t="shared" si="6"/>
        <v>2.2099999999999991</v>
      </c>
      <c r="P13" s="17">
        <f t="shared" si="7"/>
        <v>3.5299999999999994</v>
      </c>
      <c r="Q13" s="17">
        <f t="shared" si="8"/>
        <v>-1.7680040588097734</v>
      </c>
      <c r="R13" s="17">
        <f t="shared" si="0"/>
        <v>-1.9080849091060714</v>
      </c>
      <c r="S13" s="17">
        <f t="shared" si="1"/>
        <v>-1.474097471266844</v>
      </c>
      <c r="T13" s="17">
        <f t="shared" si="2"/>
        <v>-1.2215653926371526</v>
      </c>
      <c r="U13" s="16">
        <v>0</v>
      </c>
      <c r="V13" s="16">
        <v>0</v>
      </c>
      <c r="W13" s="16">
        <v>0</v>
      </c>
      <c r="X13" s="16">
        <v>0</v>
      </c>
      <c r="Y13" s="15">
        <v>0.44550000000000001</v>
      </c>
      <c r="Z13" s="15">
        <v>0.5605</v>
      </c>
      <c r="AA13" s="15">
        <v>0.65100000000000002</v>
      </c>
      <c r="AB13" s="15">
        <v>0.748</v>
      </c>
      <c r="AC13" s="3">
        <f t="shared" si="9"/>
        <v>-3.3318257808838264E-2</v>
      </c>
      <c r="AD13" s="3">
        <f t="shared" si="10"/>
        <v>-7.5606534460195066E-2</v>
      </c>
      <c r="AE13" s="3">
        <f t="shared" si="11"/>
        <v>-0.23321002277167432</v>
      </c>
      <c r="AF13" s="3">
        <f t="shared" si="12"/>
        <v>-0.23554135748248201</v>
      </c>
    </row>
    <row r="14" spans="1:32" x14ac:dyDescent="0.2">
      <c r="A14" s="30">
        <v>12</v>
      </c>
      <c r="B14" s="9" t="s">
        <v>763</v>
      </c>
      <c r="C14" s="12">
        <v>2135</v>
      </c>
      <c r="D14" s="13" t="s">
        <v>13</v>
      </c>
      <c r="E14" s="17">
        <v>-123.659753688</v>
      </c>
      <c r="F14" s="17">
        <v>47.794687089299998</v>
      </c>
      <c r="G14" s="14">
        <v>157</v>
      </c>
      <c r="H14" s="17">
        <v>10.52</v>
      </c>
      <c r="I14" s="17">
        <v>12.83</v>
      </c>
      <c r="J14" s="17">
        <v>12.99</v>
      </c>
      <c r="K14" s="17">
        <v>15.22</v>
      </c>
      <c r="L14" s="17">
        <v>15.79</v>
      </c>
      <c r="M14" s="17">
        <f t="shared" si="4"/>
        <v>2.3100000000000005</v>
      </c>
      <c r="N14" s="17">
        <f t="shared" si="5"/>
        <v>2.4700000000000006</v>
      </c>
      <c r="O14" s="17">
        <f t="shared" si="6"/>
        <v>4.7000000000000011</v>
      </c>
      <c r="P14" s="17">
        <f t="shared" si="7"/>
        <v>5.27</v>
      </c>
      <c r="Q14" s="17">
        <f t="shared" si="8"/>
        <v>1.7652676040274062</v>
      </c>
      <c r="R14" s="17">
        <f t="shared" si="0"/>
        <v>0.51343311973658312</v>
      </c>
      <c r="S14" s="17">
        <f t="shared" si="1"/>
        <v>1.4174259439922867</v>
      </c>
      <c r="T14" s="17">
        <f t="shared" si="2"/>
        <v>0.53961942956278997</v>
      </c>
      <c r="U14" s="16">
        <v>0</v>
      </c>
      <c r="V14" s="16">
        <v>0</v>
      </c>
      <c r="W14" s="16">
        <v>0</v>
      </c>
      <c r="X14" s="16">
        <v>0</v>
      </c>
      <c r="Y14" s="15">
        <v>0.29199999999999998</v>
      </c>
      <c r="Z14" s="15">
        <v>0.374</v>
      </c>
      <c r="AA14" s="15">
        <v>0.46100000000000002</v>
      </c>
      <c r="AB14" s="15">
        <v>0.53200000000000003</v>
      </c>
      <c r="AC14" s="3">
        <f t="shared" si="9"/>
        <v>-1.4517620427141134</v>
      </c>
      <c r="AD14" s="3">
        <f t="shared" si="10"/>
        <v>-1.7491483499784961</v>
      </c>
      <c r="AE14" s="3">
        <f t="shared" si="11"/>
        <v>-1.7975271542858442</v>
      </c>
      <c r="AF14" s="3">
        <f t="shared" si="12"/>
        <v>-2.0098850225624147</v>
      </c>
    </row>
    <row r="15" spans="1:32" x14ac:dyDescent="0.2">
      <c r="A15" s="30">
        <v>13</v>
      </c>
      <c r="B15" s="9" t="s">
        <v>1269</v>
      </c>
      <c r="C15" s="12">
        <v>2164</v>
      </c>
      <c r="D15" s="13" t="s">
        <v>14</v>
      </c>
      <c r="E15" s="17">
        <v>136.17864301099999</v>
      </c>
      <c r="F15" s="17">
        <v>45.384871573700003</v>
      </c>
      <c r="G15" s="14">
        <v>462</v>
      </c>
      <c r="H15" s="17">
        <v>3.14</v>
      </c>
      <c r="I15" s="17">
        <v>4.09</v>
      </c>
      <c r="J15" s="17">
        <v>5.79</v>
      </c>
      <c r="K15" s="17">
        <v>7.26</v>
      </c>
      <c r="L15" s="17">
        <v>9.48</v>
      </c>
      <c r="M15" s="17">
        <f t="shared" si="4"/>
        <v>0.94999999999999973</v>
      </c>
      <c r="N15" s="17">
        <f t="shared" si="5"/>
        <v>2.65</v>
      </c>
      <c r="O15" s="17">
        <f t="shared" si="6"/>
        <v>4.1199999999999992</v>
      </c>
      <c r="P15" s="17">
        <f t="shared" si="7"/>
        <v>6.34</v>
      </c>
      <c r="Q15" s="17">
        <f t="shared" si="8"/>
        <v>0.10828503111065929</v>
      </c>
      <c r="R15" s="17">
        <f t="shared" si="0"/>
        <v>0.76684779717360396</v>
      </c>
      <c r="S15" s="17">
        <f t="shared" si="1"/>
        <v>0.74389840148212616</v>
      </c>
      <c r="T15" s="17">
        <f t="shared" si="2"/>
        <v>1.6226468776972376</v>
      </c>
      <c r="U15" s="16">
        <v>3</v>
      </c>
      <c r="V15" s="16">
        <v>7</v>
      </c>
      <c r="W15" s="16">
        <v>10</v>
      </c>
      <c r="X15" s="16">
        <v>11</v>
      </c>
      <c r="Y15" s="15">
        <v>0.41799999999999998</v>
      </c>
      <c r="Z15" s="15">
        <v>0.53</v>
      </c>
      <c r="AA15" s="15">
        <v>0.66600000000000004</v>
      </c>
      <c r="AB15" s="15">
        <v>0.76400000000000001</v>
      </c>
      <c r="AC15" s="3">
        <f t="shared" si="9"/>
        <v>-0.287436851195777</v>
      </c>
      <c r="AD15" s="3">
        <f t="shared" si="10"/>
        <v>-0.34929567855300009</v>
      </c>
      <c r="AE15" s="3">
        <f t="shared" si="11"/>
        <v>-0.1097113018626608</v>
      </c>
      <c r="AF15" s="3">
        <f t="shared" si="12"/>
        <v>-0.10410849340248685</v>
      </c>
    </row>
    <row r="16" spans="1:32" x14ac:dyDescent="0.2">
      <c r="A16" s="30">
        <v>14</v>
      </c>
      <c r="B16" s="9" t="s">
        <v>764</v>
      </c>
      <c r="C16" s="12">
        <v>2548</v>
      </c>
      <c r="D16" s="13" t="s">
        <v>15</v>
      </c>
      <c r="E16" s="17">
        <v>-74.104048891600002</v>
      </c>
      <c r="F16" s="17">
        <v>-46.923061572899996</v>
      </c>
      <c r="G16" s="14">
        <v>24538</v>
      </c>
      <c r="H16" s="17">
        <v>8.33</v>
      </c>
      <c r="I16" s="17">
        <v>9.83</v>
      </c>
      <c r="J16" s="17">
        <v>11.15</v>
      </c>
      <c r="K16" s="17">
        <v>11.22</v>
      </c>
      <c r="L16" s="17">
        <v>12.36</v>
      </c>
      <c r="M16" s="17">
        <f t="shared" si="4"/>
        <v>1.5</v>
      </c>
      <c r="N16" s="17">
        <f t="shared" si="5"/>
        <v>2.8200000000000003</v>
      </c>
      <c r="O16" s="17">
        <f t="shared" si="6"/>
        <v>2.8900000000000006</v>
      </c>
      <c r="P16" s="17">
        <f t="shared" si="7"/>
        <v>4.0299999999999994</v>
      </c>
      <c r="Q16" s="17">
        <f t="shared" si="8"/>
        <v>0.7783882775108143</v>
      </c>
      <c r="R16" s="17">
        <f t="shared" si="0"/>
        <v>1.0061838814196806</v>
      </c>
      <c r="S16" s="17">
        <f t="shared" si="1"/>
        <v>-0.68444449039286337</v>
      </c>
      <c r="T16" s="17">
        <f t="shared" si="2"/>
        <v>-0.71547780005096229</v>
      </c>
      <c r="U16" s="16">
        <v>8</v>
      </c>
      <c r="V16" s="16">
        <v>9</v>
      </c>
      <c r="W16" s="16">
        <v>16</v>
      </c>
      <c r="X16" s="16">
        <v>16</v>
      </c>
      <c r="Y16" s="15">
        <v>7.1999999999999995E-2</v>
      </c>
      <c r="Z16" s="15">
        <v>0.11600000000000001</v>
      </c>
      <c r="AA16" s="15">
        <v>0.14199999999999999</v>
      </c>
      <c r="AB16" s="15">
        <v>0.16800000000000001</v>
      </c>
      <c r="AC16" s="3">
        <f t="shared" si="9"/>
        <v>-3.484710789809621</v>
      </c>
      <c r="AD16" s="3">
        <f t="shared" si="10"/>
        <v>-4.064289306566816</v>
      </c>
      <c r="AE16" s="3">
        <f t="shared" si="11"/>
        <v>-4.4239332856175295</v>
      </c>
      <c r="AF16" s="3">
        <f t="shared" si="12"/>
        <v>-4.9999826803823018</v>
      </c>
    </row>
    <row r="17" spans="1:32" x14ac:dyDescent="0.2">
      <c r="A17" s="30">
        <v>15</v>
      </c>
      <c r="B17" s="9" t="s">
        <v>765</v>
      </c>
      <c r="C17" s="12">
        <v>2554</v>
      </c>
      <c r="D17" s="13" t="s">
        <v>16</v>
      </c>
      <c r="E17" s="17">
        <v>-77.691850807700007</v>
      </c>
      <c r="F17" s="17">
        <v>7.8256175477600003</v>
      </c>
      <c r="G17" s="14">
        <v>21</v>
      </c>
      <c r="H17" s="17">
        <v>26.05</v>
      </c>
      <c r="I17" s="17">
        <v>26.5</v>
      </c>
      <c r="J17" s="17">
        <v>27.79</v>
      </c>
      <c r="K17" s="17">
        <v>29.14</v>
      </c>
      <c r="L17" s="17">
        <v>29.88</v>
      </c>
      <c r="M17" s="17">
        <f t="shared" si="4"/>
        <v>0.44999999999999929</v>
      </c>
      <c r="N17" s="17">
        <f t="shared" si="5"/>
        <v>1.7399999999999984</v>
      </c>
      <c r="O17" s="17">
        <f t="shared" si="6"/>
        <v>3.09</v>
      </c>
      <c r="P17" s="17">
        <f t="shared" si="7"/>
        <v>3.8299999999999983</v>
      </c>
      <c r="Q17" s="17">
        <f t="shared" si="8"/>
        <v>-0.50089973834402735</v>
      </c>
      <c r="R17" s="17">
        <f t="shared" si="0"/>
        <v>-0.5143041832024533</v>
      </c>
      <c r="S17" s="17">
        <f t="shared" si="1"/>
        <v>-0.45219361366522337</v>
      </c>
      <c r="T17" s="17">
        <f t="shared" si="2"/>
        <v>-0.91791283708543947</v>
      </c>
      <c r="U17" s="16">
        <v>0</v>
      </c>
      <c r="V17" s="16">
        <v>0</v>
      </c>
      <c r="W17" s="16">
        <v>0</v>
      </c>
      <c r="X17" s="16">
        <v>0</v>
      </c>
      <c r="Y17" s="15">
        <v>0.495</v>
      </c>
      <c r="Z17" s="15">
        <v>0.60399999999999998</v>
      </c>
      <c r="AA17" s="15">
        <v>0.73199999999999998</v>
      </c>
      <c r="AB17" s="15">
        <v>0.81399999999999995</v>
      </c>
      <c r="AC17" s="3">
        <f t="shared" si="9"/>
        <v>0.42409521028765096</v>
      </c>
      <c r="AD17" s="3">
        <f t="shared" si="10"/>
        <v>0.31473699891806806</v>
      </c>
      <c r="AE17" s="3">
        <f t="shared" si="11"/>
        <v>0.43368307013699775</v>
      </c>
      <c r="AF17" s="3">
        <f t="shared" si="12"/>
        <v>0.30661920684749711</v>
      </c>
    </row>
    <row r="18" spans="1:32" x14ac:dyDescent="0.2">
      <c r="A18" s="30">
        <v>16</v>
      </c>
      <c r="B18" s="9" t="s">
        <v>1270</v>
      </c>
      <c r="C18" s="12">
        <v>2571</v>
      </c>
      <c r="D18" s="13" t="s">
        <v>17</v>
      </c>
      <c r="E18" s="17">
        <v>148.521027027</v>
      </c>
      <c r="F18" s="17">
        <v>-18.570179850199999</v>
      </c>
      <c r="G18" s="14">
        <v>136758</v>
      </c>
      <c r="H18" s="17">
        <v>22.98</v>
      </c>
      <c r="I18" s="17">
        <v>23.75</v>
      </c>
      <c r="J18" s="17">
        <v>24.92</v>
      </c>
      <c r="K18" s="17">
        <v>26.21</v>
      </c>
      <c r="L18" s="17">
        <v>27.02</v>
      </c>
      <c r="M18" s="17">
        <f t="shared" si="4"/>
        <v>0.76999999999999957</v>
      </c>
      <c r="N18" s="17">
        <f t="shared" si="5"/>
        <v>1.9400000000000013</v>
      </c>
      <c r="O18" s="17">
        <f t="shared" si="6"/>
        <v>3.2300000000000004</v>
      </c>
      <c r="P18" s="17">
        <f t="shared" si="7"/>
        <v>4.0399999999999991</v>
      </c>
      <c r="Q18" s="17">
        <f t="shared" si="8"/>
        <v>-0.11102148589302789</v>
      </c>
      <c r="R18" s="17">
        <f t="shared" si="0"/>
        <v>-0.23273231938353606</v>
      </c>
      <c r="S18" s="17">
        <f t="shared" si="1"/>
        <v>-0.28961799995587417</v>
      </c>
      <c r="T18" s="17">
        <f t="shared" si="2"/>
        <v>-0.70535604819923869</v>
      </c>
      <c r="U18" s="16">
        <v>304</v>
      </c>
      <c r="V18" s="16">
        <v>389</v>
      </c>
      <c r="W18" s="16">
        <v>461</v>
      </c>
      <c r="X18" s="16">
        <v>538</v>
      </c>
      <c r="Y18" s="15">
        <v>0.49</v>
      </c>
      <c r="Z18" s="15">
        <v>0.60799999999999998</v>
      </c>
      <c r="AA18" s="15">
        <v>0.752</v>
      </c>
      <c r="AB18" s="15">
        <v>0.85599999999999998</v>
      </c>
      <c r="AC18" s="3">
        <f t="shared" si="9"/>
        <v>0.37789182967184387</v>
      </c>
      <c r="AD18" s="3">
        <f t="shared" si="10"/>
        <v>0.35063065715974745</v>
      </c>
      <c r="AE18" s="3">
        <f t="shared" si="11"/>
        <v>0.59834803134901582</v>
      </c>
      <c r="AF18" s="3">
        <f t="shared" si="12"/>
        <v>0.65163047505748439</v>
      </c>
    </row>
    <row r="19" spans="1:32" x14ac:dyDescent="0.2">
      <c r="A19" s="30">
        <v>17</v>
      </c>
      <c r="B19" s="9" t="s">
        <v>1271</v>
      </c>
      <c r="C19" s="12">
        <v>2572</v>
      </c>
      <c r="D19" s="13" t="s">
        <v>18</v>
      </c>
      <c r="E19" s="17">
        <v>132.519742374</v>
      </c>
      <c r="F19" s="17">
        <v>-13.0053655216</v>
      </c>
      <c r="G19" s="14">
        <v>849</v>
      </c>
      <c r="H19" s="17">
        <v>27.26</v>
      </c>
      <c r="I19" s="17">
        <v>27.92</v>
      </c>
      <c r="J19" s="17">
        <v>29.61</v>
      </c>
      <c r="K19" s="17">
        <v>30.75</v>
      </c>
      <c r="L19" s="17">
        <v>32.19</v>
      </c>
      <c r="M19" s="17">
        <f t="shared" si="4"/>
        <v>0.66000000000000014</v>
      </c>
      <c r="N19" s="17">
        <f t="shared" si="5"/>
        <v>2.3499999999999979</v>
      </c>
      <c r="O19" s="17">
        <f t="shared" si="6"/>
        <v>3.4899999999999984</v>
      </c>
      <c r="P19" s="17">
        <f t="shared" si="7"/>
        <v>4.9299999999999962</v>
      </c>
      <c r="Q19" s="17">
        <f t="shared" si="8"/>
        <v>-0.24504213517305812</v>
      </c>
      <c r="R19" s="17">
        <f t="shared" si="0"/>
        <v>0.34449000144523123</v>
      </c>
      <c r="S19" s="17">
        <f t="shared" si="1"/>
        <v>1.230813979005661E-2</v>
      </c>
      <c r="T19" s="17">
        <f t="shared" si="2"/>
        <v>0.19547986660417707</v>
      </c>
      <c r="U19" s="16">
        <v>9</v>
      </c>
      <c r="V19" s="16">
        <v>11</v>
      </c>
      <c r="W19" s="16">
        <v>14</v>
      </c>
      <c r="X19" s="16">
        <v>19</v>
      </c>
      <c r="Y19" s="15">
        <v>0.45400000000000001</v>
      </c>
      <c r="Z19" s="15">
        <v>0.56200000000000006</v>
      </c>
      <c r="AA19" s="15">
        <v>0.67200000000000004</v>
      </c>
      <c r="AB19" s="15">
        <v>0.77900000000000003</v>
      </c>
      <c r="AC19" s="3">
        <f t="shared" si="9"/>
        <v>4.5227489238033707E-2</v>
      </c>
      <c r="AD19" s="3">
        <f t="shared" si="10"/>
        <v>-6.2146412619564793E-2</v>
      </c>
      <c r="AE19" s="3">
        <f t="shared" si="11"/>
        <v>-6.0311813499055393E-2</v>
      </c>
      <c r="AF19" s="3">
        <f t="shared" si="12"/>
        <v>1.9109816672508613E-2</v>
      </c>
    </row>
    <row r="20" spans="1:32" x14ac:dyDescent="0.2">
      <c r="A20" s="30">
        <v>18</v>
      </c>
      <c r="B20" s="9" t="s">
        <v>923</v>
      </c>
      <c r="C20" s="12">
        <v>2578</v>
      </c>
      <c r="D20" s="13" t="s">
        <v>19</v>
      </c>
      <c r="E20" s="17">
        <v>-16.233510869500002</v>
      </c>
      <c r="F20" s="17">
        <v>16.409160425900001</v>
      </c>
      <c r="G20" s="14">
        <v>142</v>
      </c>
      <c r="H20" s="17">
        <v>23.36</v>
      </c>
      <c r="I20" s="17">
        <v>24.31</v>
      </c>
      <c r="J20" s="17">
        <v>25.22</v>
      </c>
      <c r="K20" s="17">
        <v>25.27</v>
      </c>
      <c r="L20" s="17">
        <v>26.43</v>
      </c>
      <c r="M20" s="17">
        <f t="shared" si="4"/>
        <v>0.94999999999999929</v>
      </c>
      <c r="N20" s="17">
        <f t="shared" si="5"/>
        <v>1.8599999999999994</v>
      </c>
      <c r="O20" s="17">
        <f t="shared" si="6"/>
        <v>1.9100000000000001</v>
      </c>
      <c r="P20" s="17">
        <f t="shared" si="7"/>
        <v>3.0700000000000003</v>
      </c>
      <c r="Q20" s="17">
        <f t="shared" si="8"/>
        <v>0.10828503111065875</v>
      </c>
      <c r="R20" s="17">
        <f t="shared" si="0"/>
        <v>-0.34536106491110397</v>
      </c>
      <c r="S20" s="17">
        <f t="shared" si="1"/>
        <v>-1.8224737863583038</v>
      </c>
      <c r="T20" s="17">
        <f t="shared" si="2"/>
        <v>-1.6871659778164467</v>
      </c>
      <c r="U20" s="16">
        <v>3</v>
      </c>
      <c r="V20" s="16">
        <v>21</v>
      </c>
      <c r="W20" s="16">
        <v>33</v>
      </c>
      <c r="X20" s="16">
        <v>46</v>
      </c>
      <c r="Y20" s="15">
        <v>0.45</v>
      </c>
      <c r="Z20" s="15">
        <v>0.57199999999999995</v>
      </c>
      <c r="AA20" s="15">
        <v>0.68400000000000005</v>
      </c>
      <c r="AB20" s="15">
        <v>0.77600000000000002</v>
      </c>
      <c r="AC20" s="3">
        <f t="shared" si="9"/>
        <v>8.2647847453880714E-3</v>
      </c>
      <c r="AD20" s="3">
        <f t="shared" si="10"/>
        <v>2.7587732984632744E-2</v>
      </c>
      <c r="AE20" s="3">
        <f t="shared" si="11"/>
        <v>3.8487163228155416E-2</v>
      </c>
      <c r="AF20" s="3">
        <f t="shared" si="12"/>
        <v>-5.5338453424904786E-3</v>
      </c>
    </row>
    <row r="21" spans="1:32" x14ac:dyDescent="0.2">
      <c r="A21" s="30">
        <v>19</v>
      </c>
      <c r="B21" s="9" t="s">
        <v>1272</v>
      </c>
      <c r="C21" s="12">
        <v>3030</v>
      </c>
      <c r="D21" s="13" t="s">
        <v>20</v>
      </c>
      <c r="E21" s="17">
        <v>97.637695878399995</v>
      </c>
      <c r="F21" s="17">
        <v>3.5776482002100001</v>
      </c>
      <c r="G21" s="14">
        <v>11</v>
      </c>
      <c r="H21" s="17">
        <v>20.350000000000001</v>
      </c>
      <c r="I21" s="17">
        <v>21.56</v>
      </c>
      <c r="J21" s="17">
        <v>22.84</v>
      </c>
      <c r="K21" s="17">
        <v>24.06</v>
      </c>
      <c r="L21" s="17">
        <v>25.27</v>
      </c>
      <c r="M21" s="17">
        <f t="shared" si="4"/>
        <v>1.2099999999999973</v>
      </c>
      <c r="N21" s="17">
        <f t="shared" si="5"/>
        <v>2.4899999999999984</v>
      </c>
      <c r="O21" s="17">
        <f t="shared" si="6"/>
        <v>3.7099999999999973</v>
      </c>
      <c r="P21" s="17">
        <f t="shared" si="7"/>
        <v>4.9199999999999982</v>
      </c>
      <c r="Q21" s="17">
        <f t="shared" si="8"/>
        <v>0.42506111122709311</v>
      </c>
      <c r="R21" s="17">
        <f t="shared" si="0"/>
        <v>0.54159030611847125</v>
      </c>
      <c r="S21" s="17">
        <f t="shared" si="1"/>
        <v>0.26778410419046017</v>
      </c>
      <c r="T21" s="17">
        <f t="shared" si="2"/>
        <v>0.18535811475245526</v>
      </c>
      <c r="U21" s="16">
        <v>0</v>
      </c>
      <c r="V21" s="16">
        <v>0</v>
      </c>
      <c r="W21" s="16">
        <v>0</v>
      </c>
      <c r="X21" s="16">
        <v>0</v>
      </c>
      <c r="Y21" s="15">
        <v>0.443</v>
      </c>
      <c r="Z21" s="15">
        <v>0.55200000000000005</v>
      </c>
      <c r="AA21" s="15">
        <v>0.66</v>
      </c>
      <c r="AB21" s="15">
        <v>0.76400000000000001</v>
      </c>
      <c r="AC21" s="3">
        <f t="shared" si="9"/>
        <v>-5.6419948116741787E-2</v>
      </c>
      <c r="AD21" s="3">
        <f t="shared" si="10"/>
        <v>-0.15188055822376331</v>
      </c>
      <c r="AE21" s="3">
        <f t="shared" si="11"/>
        <v>-0.1591107902262662</v>
      </c>
      <c r="AF21" s="3">
        <f t="shared" si="12"/>
        <v>-0.10410849340248685</v>
      </c>
    </row>
    <row r="22" spans="1:32" x14ac:dyDescent="0.2">
      <c r="A22" s="30">
        <v>20</v>
      </c>
      <c r="B22" s="9" t="s">
        <v>1273</v>
      </c>
      <c r="C22" s="12">
        <v>3034</v>
      </c>
      <c r="D22" s="13" t="s">
        <v>21</v>
      </c>
      <c r="E22" s="17">
        <v>130.45262453500001</v>
      </c>
      <c r="F22" s="17">
        <v>30.352472499800001</v>
      </c>
      <c r="G22" s="14">
        <v>146</v>
      </c>
      <c r="H22" s="17">
        <v>19.329999999999998</v>
      </c>
      <c r="I22" s="17">
        <v>20.52</v>
      </c>
      <c r="J22" s="17">
        <v>21.49</v>
      </c>
      <c r="K22" s="17">
        <v>22.63</v>
      </c>
      <c r="L22" s="17">
        <v>23.6</v>
      </c>
      <c r="M22" s="17">
        <f t="shared" si="4"/>
        <v>1.1900000000000013</v>
      </c>
      <c r="N22" s="17">
        <f t="shared" si="5"/>
        <v>2.16</v>
      </c>
      <c r="O22" s="17">
        <f t="shared" si="6"/>
        <v>3.3000000000000007</v>
      </c>
      <c r="P22" s="17">
        <f t="shared" si="7"/>
        <v>4.2700000000000031</v>
      </c>
      <c r="Q22" s="17">
        <f t="shared" si="8"/>
        <v>0.4006937204489105</v>
      </c>
      <c r="R22" s="17">
        <f t="shared" si="0"/>
        <v>7.6996730817266879E-2</v>
      </c>
      <c r="S22" s="17">
        <f t="shared" si="1"/>
        <v>-0.20833019310119952</v>
      </c>
      <c r="T22" s="17">
        <f t="shared" si="2"/>
        <v>-0.47255575560958712</v>
      </c>
      <c r="U22" s="16">
        <v>2</v>
      </c>
      <c r="V22" s="16">
        <v>2</v>
      </c>
      <c r="W22" s="16">
        <v>2</v>
      </c>
      <c r="X22" s="16">
        <v>2</v>
      </c>
      <c r="Y22" s="15">
        <v>0.53800000000000003</v>
      </c>
      <c r="Z22" s="15">
        <v>0.68899999999999995</v>
      </c>
      <c r="AA22" s="15">
        <v>0.83150000000000002</v>
      </c>
      <c r="AB22" s="15">
        <v>0.95250000000000001</v>
      </c>
      <c r="AC22" s="3">
        <f t="shared" si="9"/>
        <v>0.82144428358359145</v>
      </c>
      <c r="AD22" s="3">
        <f t="shared" si="10"/>
        <v>1.0774772365537546</v>
      </c>
      <c r="AE22" s="3">
        <f t="shared" si="11"/>
        <v>1.252891252166787</v>
      </c>
      <c r="AF22" s="3">
        <f t="shared" si="12"/>
        <v>1.4443349365399547</v>
      </c>
    </row>
    <row r="23" spans="1:32" x14ac:dyDescent="0.2">
      <c r="A23" s="30">
        <v>21</v>
      </c>
      <c r="B23" s="9" t="s">
        <v>924</v>
      </c>
      <c r="C23" s="12">
        <v>3044</v>
      </c>
      <c r="D23" s="13" t="s">
        <v>22</v>
      </c>
      <c r="E23" s="17">
        <v>-16.607246227400001</v>
      </c>
      <c r="F23" s="17">
        <v>13.9210940792</v>
      </c>
      <c r="G23" s="14">
        <v>1725</v>
      </c>
      <c r="H23" s="17">
        <v>24.3</v>
      </c>
      <c r="I23" s="17">
        <v>25.36</v>
      </c>
      <c r="J23" s="17">
        <v>26.31</v>
      </c>
      <c r="K23" s="17">
        <v>26.36</v>
      </c>
      <c r="L23" s="17">
        <v>27.38</v>
      </c>
      <c r="M23" s="17">
        <f t="shared" si="4"/>
        <v>1.0599999999999987</v>
      </c>
      <c r="N23" s="17">
        <f t="shared" si="5"/>
        <v>2.009999999999998</v>
      </c>
      <c r="O23" s="17">
        <f t="shared" si="6"/>
        <v>2.0599999999999987</v>
      </c>
      <c r="P23" s="17">
        <f t="shared" si="7"/>
        <v>3.0799999999999983</v>
      </c>
      <c r="Q23" s="17">
        <f t="shared" si="8"/>
        <v>0.242305680390689</v>
      </c>
      <c r="R23" s="17">
        <f t="shared" si="0"/>
        <v>-0.13418216704692104</v>
      </c>
      <c r="S23" s="17">
        <f t="shared" si="1"/>
        <v>-1.6482856288125749</v>
      </c>
      <c r="T23" s="17">
        <f t="shared" si="2"/>
        <v>-1.6770442259647249</v>
      </c>
      <c r="U23" s="16">
        <v>153</v>
      </c>
      <c r="V23" s="16">
        <v>200</v>
      </c>
      <c r="W23" s="16">
        <v>229</v>
      </c>
      <c r="X23" s="16">
        <v>247</v>
      </c>
      <c r="Y23" s="15">
        <v>0.46200000000000002</v>
      </c>
      <c r="Z23" s="15">
        <v>0.58799999999999997</v>
      </c>
      <c r="AA23" s="15">
        <v>0.69799999999999995</v>
      </c>
      <c r="AB23" s="15">
        <v>0.79200000000000004</v>
      </c>
      <c r="AC23" s="3">
        <f t="shared" si="9"/>
        <v>0.11915289822332498</v>
      </c>
      <c r="AD23" s="3">
        <f t="shared" si="10"/>
        <v>0.1711623659513504</v>
      </c>
      <c r="AE23" s="3">
        <f t="shared" si="11"/>
        <v>0.15375263607656711</v>
      </c>
      <c r="AF23" s="3">
        <f t="shared" si="12"/>
        <v>0.12589901873750467</v>
      </c>
    </row>
    <row r="24" spans="1:32" x14ac:dyDescent="0.2">
      <c r="A24" s="30">
        <v>22</v>
      </c>
      <c r="B24" s="9" t="s">
        <v>766</v>
      </c>
      <c r="C24" s="12">
        <v>4325</v>
      </c>
      <c r="D24" s="13" t="s">
        <v>23</v>
      </c>
      <c r="E24" s="17">
        <v>-124.02760958899999</v>
      </c>
      <c r="F24" s="17">
        <v>41.421693005199998</v>
      </c>
      <c r="G24" s="14">
        <v>34</v>
      </c>
      <c r="H24" s="17">
        <v>13.3</v>
      </c>
      <c r="I24" s="17">
        <v>15.42</v>
      </c>
      <c r="J24" s="17">
        <v>15.62</v>
      </c>
      <c r="K24" s="17">
        <v>17.36</v>
      </c>
      <c r="L24" s="17">
        <v>18.2</v>
      </c>
      <c r="M24" s="17">
        <f t="shared" si="4"/>
        <v>2.1199999999999992</v>
      </c>
      <c r="N24" s="17">
        <f t="shared" si="5"/>
        <v>2.3199999999999985</v>
      </c>
      <c r="O24" s="17">
        <f t="shared" si="6"/>
        <v>4.0599999999999987</v>
      </c>
      <c r="P24" s="17">
        <f t="shared" si="7"/>
        <v>4.8999999999999986</v>
      </c>
      <c r="Q24" s="17">
        <f t="shared" si="8"/>
        <v>1.533777391634624</v>
      </c>
      <c r="R24" s="17">
        <f t="shared" si="0"/>
        <v>0.30225422187239515</v>
      </c>
      <c r="S24" s="17">
        <f t="shared" si="1"/>
        <v>0.6742231384638333</v>
      </c>
      <c r="T24" s="17">
        <f t="shared" si="2"/>
        <v>0.1651146110490081</v>
      </c>
      <c r="U24" s="16">
        <v>1</v>
      </c>
      <c r="V24" s="16">
        <v>1</v>
      </c>
      <c r="W24" s="16">
        <v>1</v>
      </c>
      <c r="X24" s="16">
        <v>1</v>
      </c>
      <c r="Y24" s="15">
        <v>0.53849999999999998</v>
      </c>
      <c r="Z24" s="15">
        <v>0.63300000000000001</v>
      </c>
      <c r="AA24" s="15">
        <v>0.73050000000000004</v>
      </c>
      <c r="AB24" s="15">
        <v>0.81100000000000005</v>
      </c>
      <c r="AC24" s="3">
        <f t="shared" si="9"/>
        <v>0.82606462164517169</v>
      </c>
      <c r="AD24" s="3">
        <f t="shared" si="10"/>
        <v>0.57496602117024376</v>
      </c>
      <c r="AE24" s="3">
        <f t="shared" si="11"/>
        <v>0.42133319804609687</v>
      </c>
      <c r="AF24" s="3">
        <f t="shared" si="12"/>
        <v>0.28197554483249893</v>
      </c>
    </row>
    <row r="25" spans="1:32" x14ac:dyDescent="0.2">
      <c r="A25" s="30">
        <v>23</v>
      </c>
      <c r="B25" s="9" t="s">
        <v>1274</v>
      </c>
      <c r="C25" s="12">
        <v>5000</v>
      </c>
      <c r="D25" s="13" t="s">
        <v>24</v>
      </c>
      <c r="E25" s="17">
        <v>146.184063874</v>
      </c>
      <c r="F25" s="17">
        <v>-42.6212504979</v>
      </c>
      <c r="G25" s="14">
        <v>1438</v>
      </c>
      <c r="H25" s="17">
        <v>9.36</v>
      </c>
      <c r="I25" s="17">
        <v>11.06</v>
      </c>
      <c r="J25" s="17">
        <v>12.42</v>
      </c>
      <c r="K25" s="17">
        <v>12.33</v>
      </c>
      <c r="L25" s="17">
        <v>13.44</v>
      </c>
      <c r="M25" s="17">
        <f t="shared" si="4"/>
        <v>1.7000000000000011</v>
      </c>
      <c r="N25" s="17">
        <f t="shared" si="5"/>
        <v>3.0600000000000005</v>
      </c>
      <c r="O25" s="17">
        <f t="shared" si="6"/>
        <v>2.9700000000000006</v>
      </c>
      <c r="P25" s="17">
        <f t="shared" si="7"/>
        <v>4.08</v>
      </c>
      <c r="Q25" s="17">
        <f t="shared" si="8"/>
        <v>1.0220621852926901</v>
      </c>
      <c r="R25" s="17">
        <f t="shared" si="0"/>
        <v>1.3440701180023769</v>
      </c>
      <c r="S25" s="17">
        <f t="shared" si="1"/>
        <v>-0.59154413970180697</v>
      </c>
      <c r="T25" s="17">
        <f t="shared" si="2"/>
        <v>-0.66486904079234255</v>
      </c>
      <c r="U25" s="16">
        <v>4</v>
      </c>
      <c r="V25" s="16">
        <v>6</v>
      </c>
      <c r="W25" s="16">
        <v>6</v>
      </c>
      <c r="X25" s="16">
        <v>6</v>
      </c>
      <c r="Y25" s="15">
        <v>0.39700000000000002</v>
      </c>
      <c r="Z25" s="15">
        <v>0.52100000000000002</v>
      </c>
      <c r="AA25" s="15">
        <v>0.65400000000000003</v>
      </c>
      <c r="AB25" s="15">
        <v>0.74099999999999999</v>
      </c>
      <c r="AC25" s="3">
        <f t="shared" si="9"/>
        <v>-0.48149104978216606</v>
      </c>
      <c r="AD25" s="3">
        <f t="shared" si="10"/>
        <v>-0.43005640959677877</v>
      </c>
      <c r="AE25" s="3">
        <f t="shared" si="11"/>
        <v>-0.20851027858987162</v>
      </c>
      <c r="AF25" s="3">
        <f t="shared" si="12"/>
        <v>-0.29304323551747991</v>
      </c>
    </row>
    <row r="26" spans="1:32" x14ac:dyDescent="0.2">
      <c r="A26" s="30">
        <v>24</v>
      </c>
      <c r="B26" s="9" t="s">
        <v>1403</v>
      </c>
      <c r="C26" s="12">
        <v>5002</v>
      </c>
      <c r="D26" s="13" t="s">
        <v>25</v>
      </c>
      <c r="E26" s="17">
        <v>-85.050883685100004</v>
      </c>
      <c r="F26" s="17">
        <v>15.4861803595</v>
      </c>
      <c r="G26" s="14">
        <v>319</v>
      </c>
      <c r="H26" s="17">
        <v>24.28</v>
      </c>
      <c r="I26" s="17">
        <v>24.78</v>
      </c>
      <c r="J26" s="17">
        <v>26.21</v>
      </c>
      <c r="K26" s="17">
        <v>27.28</v>
      </c>
      <c r="L26" s="17">
        <v>28.53</v>
      </c>
      <c r="M26" s="17">
        <f t="shared" si="4"/>
        <v>0.5</v>
      </c>
      <c r="N26" s="17">
        <f t="shared" si="5"/>
        <v>1.9299999999999997</v>
      </c>
      <c r="O26" s="17">
        <f t="shared" si="6"/>
        <v>3</v>
      </c>
      <c r="P26" s="17">
        <f t="shared" si="7"/>
        <v>4.25</v>
      </c>
      <c r="Q26" s="17">
        <f t="shared" si="8"/>
        <v>-0.43998126139855787</v>
      </c>
      <c r="R26" s="17">
        <f t="shared" si="0"/>
        <v>-0.24681091257448393</v>
      </c>
      <c r="S26" s="17">
        <f t="shared" si="1"/>
        <v>-0.55670650819266154</v>
      </c>
      <c r="T26" s="17">
        <f t="shared" si="2"/>
        <v>-0.49279925931303786</v>
      </c>
      <c r="U26" s="16">
        <v>5</v>
      </c>
      <c r="V26" s="16">
        <v>7</v>
      </c>
      <c r="W26" s="16">
        <v>8</v>
      </c>
      <c r="X26" s="16">
        <v>9</v>
      </c>
      <c r="Y26" s="15">
        <v>0.59199999999999997</v>
      </c>
      <c r="Z26" s="15">
        <v>0.72199999999999998</v>
      </c>
      <c r="AA26" s="15">
        <v>0.84099999999999997</v>
      </c>
      <c r="AB26" s="15">
        <v>0.93400000000000005</v>
      </c>
      <c r="AC26" s="3">
        <f t="shared" si="9"/>
        <v>1.3204407942343066</v>
      </c>
      <c r="AD26" s="3">
        <f t="shared" si="10"/>
        <v>1.3735999170476096</v>
      </c>
      <c r="AE26" s="3">
        <f t="shared" si="11"/>
        <v>1.331107108742495</v>
      </c>
      <c r="AF26" s="3">
        <f t="shared" si="12"/>
        <v>1.2923656874474607</v>
      </c>
    </row>
    <row r="27" spans="1:32" x14ac:dyDescent="0.2">
      <c r="A27" s="30">
        <v>25</v>
      </c>
      <c r="B27" s="9" t="s">
        <v>925</v>
      </c>
      <c r="C27" s="12">
        <v>5004</v>
      </c>
      <c r="D27" s="13" t="s">
        <v>26</v>
      </c>
      <c r="E27" s="17">
        <v>46.370322109200004</v>
      </c>
      <c r="F27" s="17">
        <v>-9.4255826469800006</v>
      </c>
      <c r="G27" s="14">
        <v>65</v>
      </c>
      <c r="H27" s="17">
        <v>25.48</v>
      </c>
      <c r="I27" s="17">
        <v>26.36</v>
      </c>
      <c r="J27" s="17">
        <v>27.39</v>
      </c>
      <c r="K27" s="17">
        <v>28.55</v>
      </c>
      <c r="L27" s="17">
        <v>29.73</v>
      </c>
      <c r="M27" s="17">
        <f t="shared" si="4"/>
        <v>0.87999999999999901</v>
      </c>
      <c r="N27" s="17">
        <f t="shared" si="5"/>
        <v>1.9100000000000001</v>
      </c>
      <c r="O27" s="17">
        <f t="shared" si="6"/>
        <v>3.0700000000000003</v>
      </c>
      <c r="P27" s="17">
        <f t="shared" si="7"/>
        <v>4.25</v>
      </c>
      <c r="Q27" s="17">
        <f t="shared" si="8"/>
        <v>2.299916338700236E-2</v>
      </c>
      <c r="R27" s="17">
        <f t="shared" si="0"/>
        <v>-0.27496809895637464</v>
      </c>
      <c r="S27" s="17">
        <f t="shared" si="1"/>
        <v>-0.47541870133798697</v>
      </c>
      <c r="T27" s="17">
        <f t="shared" si="2"/>
        <v>-0.49279925931303786</v>
      </c>
      <c r="U27" s="16">
        <v>0</v>
      </c>
      <c r="V27" s="16">
        <v>0</v>
      </c>
      <c r="W27" s="16">
        <v>0</v>
      </c>
      <c r="X27" s="16">
        <v>0</v>
      </c>
      <c r="Y27" s="15">
        <v>0.499</v>
      </c>
      <c r="Z27" s="15">
        <v>0.63900000000000001</v>
      </c>
      <c r="AA27" s="15">
        <v>0.79</v>
      </c>
      <c r="AB27" s="15">
        <v>0.86899999999999999</v>
      </c>
      <c r="AC27" s="3">
        <f t="shared" si="9"/>
        <v>0.46105791478029656</v>
      </c>
      <c r="AD27" s="3">
        <f t="shared" si="10"/>
        <v>0.62880650853276288</v>
      </c>
      <c r="AE27" s="3">
        <f t="shared" si="11"/>
        <v>0.91121145765185008</v>
      </c>
      <c r="AF27" s="3">
        <f t="shared" si="12"/>
        <v>0.75841967712248048</v>
      </c>
    </row>
    <row r="28" spans="1:32" x14ac:dyDescent="0.2">
      <c r="A28" s="30">
        <v>26</v>
      </c>
      <c r="B28" s="9" t="s">
        <v>767</v>
      </c>
      <c r="C28" s="12">
        <v>5083</v>
      </c>
      <c r="D28" s="13" t="s">
        <v>27</v>
      </c>
      <c r="E28" s="17">
        <v>-83.277045780500004</v>
      </c>
      <c r="F28" s="17">
        <v>9.4368674729300004</v>
      </c>
      <c r="G28" s="14">
        <v>28</v>
      </c>
      <c r="H28" s="17">
        <v>20.29</v>
      </c>
      <c r="I28" s="17">
        <v>21.24</v>
      </c>
      <c r="J28" s="17">
        <v>22.58</v>
      </c>
      <c r="K28" s="17">
        <v>23.96</v>
      </c>
      <c r="L28" s="17">
        <v>25.11</v>
      </c>
      <c r="M28" s="17">
        <f t="shared" si="4"/>
        <v>0.94999999999999929</v>
      </c>
      <c r="N28" s="17">
        <f t="shared" si="5"/>
        <v>2.2899999999999991</v>
      </c>
      <c r="O28" s="17">
        <f t="shared" si="6"/>
        <v>3.6700000000000017</v>
      </c>
      <c r="P28" s="17">
        <f t="shared" si="7"/>
        <v>4.82</v>
      </c>
      <c r="Q28" s="17">
        <f t="shared" si="8"/>
        <v>0.10828503111065875</v>
      </c>
      <c r="R28" s="17">
        <f t="shared" si="0"/>
        <v>0.26001844229955906</v>
      </c>
      <c r="S28" s="17">
        <f t="shared" si="1"/>
        <v>0.22133392884493713</v>
      </c>
      <c r="T28" s="17">
        <f t="shared" si="2"/>
        <v>8.4140596235219356E-2</v>
      </c>
      <c r="U28" s="16">
        <v>0</v>
      </c>
      <c r="V28" s="16">
        <v>0</v>
      </c>
      <c r="W28" s="16">
        <v>0</v>
      </c>
      <c r="X28" s="16">
        <v>0</v>
      </c>
      <c r="Y28" s="15">
        <v>0.49199999999999999</v>
      </c>
      <c r="Z28" s="15">
        <v>0.60799999999999998</v>
      </c>
      <c r="AA28" s="15">
        <v>0.74</v>
      </c>
      <c r="AB28" s="15">
        <v>0.82</v>
      </c>
      <c r="AC28" s="3">
        <f t="shared" si="9"/>
        <v>0.39637318191816673</v>
      </c>
      <c r="AD28" s="3">
        <f t="shared" si="10"/>
        <v>0.35063065715974745</v>
      </c>
      <c r="AE28" s="3">
        <f t="shared" si="11"/>
        <v>0.49954905462180499</v>
      </c>
      <c r="AF28" s="3">
        <f t="shared" si="12"/>
        <v>0.3559065308774953</v>
      </c>
    </row>
    <row r="29" spans="1:32" x14ac:dyDescent="0.2">
      <c r="A29" s="30">
        <v>27</v>
      </c>
      <c r="B29" s="9" t="s">
        <v>926</v>
      </c>
      <c r="C29" s="12">
        <v>5121</v>
      </c>
      <c r="D29" s="13" t="s">
        <v>28</v>
      </c>
      <c r="E29" s="17">
        <v>-6.1408796400699996</v>
      </c>
      <c r="F29" s="17">
        <v>53.351841951799997</v>
      </c>
      <c r="G29" s="14">
        <v>164</v>
      </c>
      <c r="H29" s="17">
        <v>9.17</v>
      </c>
      <c r="I29" s="17">
        <v>8.93</v>
      </c>
      <c r="J29" s="17">
        <v>10.34</v>
      </c>
      <c r="K29" s="17">
        <v>11.81</v>
      </c>
      <c r="L29" s="17">
        <v>12.88</v>
      </c>
      <c r="M29" s="17">
        <f t="shared" si="4"/>
        <v>-0.24000000000000021</v>
      </c>
      <c r="N29" s="17">
        <f t="shared" si="5"/>
        <v>1.17</v>
      </c>
      <c r="O29" s="17">
        <f t="shared" si="6"/>
        <v>2.6400000000000006</v>
      </c>
      <c r="P29" s="17">
        <f t="shared" si="7"/>
        <v>3.7100000000000009</v>
      </c>
      <c r="Q29" s="17">
        <f t="shared" si="8"/>
        <v>-1.3415747201914936</v>
      </c>
      <c r="R29" s="17">
        <f t="shared" si="0"/>
        <v>-1.3167839950863538</v>
      </c>
      <c r="S29" s="17">
        <f t="shared" si="1"/>
        <v>-0.97475808630241445</v>
      </c>
      <c r="T29" s="17">
        <f t="shared" si="2"/>
        <v>-1.0393738593061226</v>
      </c>
      <c r="U29" s="16">
        <v>2</v>
      </c>
      <c r="V29" s="16">
        <v>4</v>
      </c>
      <c r="W29" s="16">
        <v>4</v>
      </c>
      <c r="X29" s="16">
        <v>4</v>
      </c>
      <c r="Y29" s="15">
        <v>0.41499999999999998</v>
      </c>
      <c r="Z29" s="15">
        <v>0.52849999999999997</v>
      </c>
      <c r="AA29" s="15">
        <v>0.61099999999999999</v>
      </c>
      <c r="AB29" s="15">
        <v>0.70550000000000002</v>
      </c>
      <c r="AC29" s="3">
        <f t="shared" si="9"/>
        <v>-0.31515887956526123</v>
      </c>
      <c r="AD29" s="3">
        <f t="shared" si="10"/>
        <v>-0.36275580039363037</v>
      </c>
      <c r="AE29" s="3">
        <f t="shared" si="11"/>
        <v>-0.56253994519571038</v>
      </c>
      <c r="AF29" s="3">
        <f t="shared" si="12"/>
        <v>-0.5846599026949687</v>
      </c>
    </row>
    <row r="30" spans="1:32" x14ac:dyDescent="0.2">
      <c r="A30" s="30">
        <v>28</v>
      </c>
      <c r="B30" s="9" t="s">
        <v>1404</v>
      </c>
      <c r="C30" s="12">
        <v>5191</v>
      </c>
      <c r="D30" s="13" t="s">
        <v>29</v>
      </c>
      <c r="E30" s="17">
        <v>-77.704144043200003</v>
      </c>
      <c r="F30" s="17">
        <v>7.8133549449500004</v>
      </c>
      <c r="G30" s="14">
        <v>55</v>
      </c>
      <c r="H30" s="17">
        <v>26.13</v>
      </c>
      <c r="I30" s="17">
        <v>26.5</v>
      </c>
      <c r="J30" s="17">
        <v>27.78</v>
      </c>
      <c r="K30" s="17">
        <v>29.12</v>
      </c>
      <c r="L30" s="17">
        <v>29.93</v>
      </c>
      <c r="M30" s="17">
        <f t="shared" si="4"/>
        <v>0.37000000000000099</v>
      </c>
      <c r="N30" s="17">
        <f t="shared" si="5"/>
        <v>1.6500000000000021</v>
      </c>
      <c r="O30" s="17">
        <f t="shared" si="6"/>
        <v>2.990000000000002</v>
      </c>
      <c r="P30" s="17">
        <f t="shared" si="7"/>
        <v>3.8000000000000007</v>
      </c>
      <c r="Q30" s="17">
        <f t="shared" si="8"/>
        <v>-0.59836930145677503</v>
      </c>
      <c r="R30" s="17">
        <f t="shared" si="0"/>
        <v>-0.641011521920959</v>
      </c>
      <c r="S30" s="17">
        <f t="shared" si="1"/>
        <v>-0.56831905202904132</v>
      </c>
      <c r="T30" s="17">
        <f t="shared" si="2"/>
        <v>-0.94827809264060847</v>
      </c>
      <c r="U30" s="16">
        <v>0</v>
      </c>
      <c r="V30" s="16">
        <v>0</v>
      </c>
      <c r="W30" s="16">
        <v>0</v>
      </c>
      <c r="X30" s="16">
        <v>0</v>
      </c>
      <c r="Y30" s="15">
        <v>0.495</v>
      </c>
      <c r="Z30" s="15">
        <v>0.60399999999999998</v>
      </c>
      <c r="AA30" s="15">
        <v>0.73199999999999998</v>
      </c>
      <c r="AB30" s="15">
        <v>0.81399999999999995</v>
      </c>
      <c r="AC30" s="3">
        <f t="shared" si="9"/>
        <v>0.42409521028765096</v>
      </c>
      <c r="AD30" s="3">
        <f t="shared" si="10"/>
        <v>0.31473699891806806</v>
      </c>
      <c r="AE30" s="3">
        <f t="shared" si="11"/>
        <v>0.43368307013699775</v>
      </c>
      <c r="AF30" s="3">
        <f t="shared" si="12"/>
        <v>0.30661920684749711</v>
      </c>
    </row>
    <row r="31" spans="1:32" x14ac:dyDescent="0.2">
      <c r="A31" s="30">
        <v>29</v>
      </c>
      <c r="B31" s="9" t="s">
        <v>927</v>
      </c>
      <c r="C31" s="12">
        <v>7165</v>
      </c>
      <c r="D31" s="13" t="s">
        <v>30</v>
      </c>
      <c r="E31" s="17">
        <v>4.5648948251199997</v>
      </c>
      <c r="F31" s="17">
        <v>43.504569535400002</v>
      </c>
      <c r="G31" s="14">
        <v>204</v>
      </c>
      <c r="H31" s="17">
        <v>15.44</v>
      </c>
      <c r="I31" s="17">
        <v>15.65</v>
      </c>
      <c r="J31" s="17">
        <v>17.53</v>
      </c>
      <c r="K31" s="17">
        <v>19.28</v>
      </c>
      <c r="L31" s="17">
        <v>20.91</v>
      </c>
      <c r="M31" s="17">
        <f t="shared" si="4"/>
        <v>0.21000000000000085</v>
      </c>
      <c r="N31" s="17">
        <f t="shared" si="5"/>
        <v>2.0900000000000016</v>
      </c>
      <c r="O31" s="17">
        <f t="shared" si="6"/>
        <v>3.8400000000000016</v>
      </c>
      <c r="P31" s="17">
        <f t="shared" si="7"/>
        <v>5.4700000000000006</v>
      </c>
      <c r="Q31" s="17">
        <f t="shared" si="8"/>
        <v>-0.79330842768227472</v>
      </c>
      <c r="R31" s="17">
        <f t="shared" si="0"/>
        <v>-2.1553421519350652E-2</v>
      </c>
      <c r="S31" s="17">
        <f t="shared" si="1"/>
        <v>0.41874717406343176</v>
      </c>
      <c r="T31" s="17">
        <f t="shared" si="2"/>
        <v>0.74205446659726715</v>
      </c>
      <c r="U31" s="16">
        <v>57</v>
      </c>
      <c r="V31" s="16">
        <v>63</v>
      </c>
      <c r="W31" s="16">
        <v>64</v>
      </c>
      <c r="X31" s="16">
        <v>64</v>
      </c>
      <c r="Y31" s="15">
        <v>0.41599999999999998</v>
      </c>
      <c r="Z31" s="15">
        <v>0.53200000000000003</v>
      </c>
      <c r="AA31" s="15">
        <v>0.63</v>
      </c>
      <c r="AB31" s="15">
        <v>0.71899999999999997</v>
      </c>
      <c r="AC31" s="3">
        <f t="shared" si="9"/>
        <v>-0.3059182034420998</v>
      </c>
      <c r="AD31" s="3">
        <f t="shared" si="10"/>
        <v>-0.33134884943216036</v>
      </c>
      <c r="AE31" s="3">
        <f t="shared" si="11"/>
        <v>-0.40610823204429325</v>
      </c>
      <c r="AF31" s="3">
        <f t="shared" si="12"/>
        <v>-0.47376342362747326</v>
      </c>
    </row>
    <row r="32" spans="1:32" x14ac:dyDescent="0.2">
      <c r="A32" s="30">
        <v>30</v>
      </c>
      <c r="B32" s="9" t="s">
        <v>1275</v>
      </c>
      <c r="C32" s="12">
        <v>10715</v>
      </c>
      <c r="D32" s="13" t="s">
        <v>31</v>
      </c>
      <c r="E32" s="17">
        <v>160.86436813399999</v>
      </c>
      <c r="F32" s="17">
        <v>54.740036733300002</v>
      </c>
      <c r="G32" s="14">
        <v>4069</v>
      </c>
      <c r="H32" s="17">
        <v>0.75</v>
      </c>
      <c r="I32" s="17">
        <v>2.19</v>
      </c>
      <c r="J32" s="17">
        <v>3.15</v>
      </c>
      <c r="K32" s="17">
        <v>4.79</v>
      </c>
      <c r="L32" s="17">
        <v>6.84</v>
      </c>
      <c r="M32" s="17">
        <f t="shared" si="4"/>
        <v>1.44</v>
      </c>
      <c r="N32" s="17">
        <f t="shared" si="5"/>
        <v>2.4</v>
      </c>
      <c r="O32" s="17">
        <f t="shared" si="6"/>
        <v>4.04</v>
      </c>
      <c r="P32" s="17">
        <f t="shared" si="7"/>
        <v>6.09</v>
      </c>
      <c r="Q32" s="17">
        <f t="shared" si="8"/>
        <v>0.7052861051762519</v>
      </c>
      <c r="R32" s="17">
        <f t="shared" si="0"/>
        <v>0.41488296739996239</v>
      </c>
      <c r="S32" s="17">
        <f t="shared" si="1"/>
        <v>0.65099805079107076</v>
      </c>
      <c r="T32" s="17">
        <f t="shared" si="2"/>
        <v>1.3696030814041424</v>
      </c>
      <c r="U32" s="16">
        <v>15</v>
      </c>
      <c r="V32" s="16">
        <v>17</v>
      </c>
      <c r="W32" s="16">
        <v>20</v>
      </c>
      <c r="X32" s="16">
        <v>20</v>
      </c>
      <c r="Y32" s="15">
        <v>0.37</v>
      </c>
      <c r="Z32" s="15">
        <v>0.48199999999999998</v>
      </c>
      <c r="AA32" s="15">
        <v>0.59</v>
      </c>
      <c r="AB32" s="15">
        <v>0.69599999999999995</v>
      </c>
      <c r="AC32" s="3">
        <f t="shared" si="9"/>
        <v>-0.73098930510752413</v>
      </c>
      <c r="AD32" s="3">
        <f t="shared" si="10"/>
        <v>-0.78001957745315309</v>
      </c>
      <c r="AE32" s="3">
        <f t="shared" si="11"/>
        <v>-0.73543815446832927</v>
      </c>
      <c r="AF32" s="3">
        <f t="shared" si="12"/>
        <v>-0.66269816574246632</v>
      </c>
    </row>
    <row r="33" spans="1:32" x14ac:dyDescent="0.2">
      <c r="A33" s="30">
        <v>31</v>
      </c>
      <c r="B33" s="9" t="s">
        <v>768</v>
      </c>
      <c r="C33" s="12">
        <v>10722</v>
      </c>
      <c r="D33" s="13" t="s">
        <v>32</v>
      </c>
      <c r="E33" s="17">
        <v>-57.2639836667</v>
      </c>
      <c r="F33" s="17">
        <v>-35.339710572599998</v>
      </c>
      <c r="G33" s="14">
        <v>80</v>
      </c>
      <c r="H33" s="17">
        <v>15.91</v>
      </c>
      <c r="I33" s="17">
        <v>18.170000000000002</v>
      </c>
      <c r="J33" s="17">
        <v>18.48</v>
      </c>
      <c r="K33" s="17">
        <v>19.170000000000002</v>
      </c>
      <c r="L33" s="17">
        <v>20.86</v>
      </c>
      <c r="M33" s="17">
        <f t="shared" si="4"/>
        <v>2.2600000000000016</v>
      </c>
      <c r="N33" s="17">
        <f t="shared" si="5"/>
        <v>2.5700000000000003</v>
      </c>
      <c r="O33" s="17">
        <f t="shared" si="6"/>
        <v>3.2600000000000016</v>
      </c>
      <c r="P33" s="17">
        <f t="shared" si="7"/>
        <v>4.9499999999999993</v>
      </c>
      <c r="Q33" s="17">
        <f t="shared" si="8"/>
        <v>1.7043491270819391</v>
      </c>
      <c r="R33" s="17">
        <f t="shared" si="0"/>
        <v>0.65421905164603922</v>
      </c>
      <c r="S33" s="17">
        <f t="shared" si="1"/>
        <v>-0.25478036844672669</v>
      </c>
      <c r="T33" s="17">
        <f t="shared" si="2"/>
        <v>0.21572337030762784</v>
      </c>
      <c r="U33" s="16">
        <v>2</v>
      </c>
      <c r="V33" s="16">
        <v>2</v>
      </c>
      <c r="W33" s="16">
        <v>5</v>
      </c>
      <c r="X33" s="16">
        <v>7</v>
      </c>
      <c r="Y33" s="15">
        <v>0.37</v>
      </c>
      <c r="Z33" s="15">
        <v>0.49399999999999999</v>
      </c>
      <c r="AA33" s="15">
        <v>0.625</v>
      </c>
      <c r="AB33" s="15">
        <v>0.70699999999999996</v>
      </c>
      <c r="AC33" s="3">
        <f t="shared" si="9"/>
        <v>-0.73098930510752413</v>
      </c>
      <c r="AD33" s="3">
        <f t="shared" si="10"/>
        <v>-0.67233860272811485</v>
      </c>
      <c r="AE33" s="3">
        <f t="shared" si="11"/>
        <v>-0.44727447234729772</v>
      </c>
      <c r="AF33" s="3">
        <f t="shared" si="12"/>
        <v>-0.57233807168746964</v>
      </c>
    </row>
    <row r="34" spans="1:32" x14ac:dyDescent="0.2">
      <c r="A34" s="30">
        <v>32</v>
      </c>
      <c r="B34" s="9" t="s">
        <v>769</v>
      </c>
      <c r="C34" s="12">
        <v>12464</v>
      </c>
      <c r="D34" s="13" t="s">
        <v>33</v>
      </c>
      <c r="E34" s="17">
        <v>-84.619941605099996</v>
      </c>
      <c r="F34" s="17">
        <v>21.915045723199999</v>
      </c>
      <c r="G34" s="14">
        <v>840</v>
      </c>
      <c r="H34" s="17">
        <v>25.21</v>
      </c>
      <c r="I34" s="17">
        <v>25.95</v>
      </c>
      <c r="J34" s="17">
        <v>27.04</v>
      </c>
      <c r="K34" s="17">
        <v>28.25</v>
      </c>
      <c r="L34" s="17">
        <v>29.08</v>
      </c>
      <c r="M34" s="17">
        <f t="shared" si="4"/>
        <v>0.73999999999999844</v>
      </c>
      <c r="N34" s="17">
        <f t="shared" si="5"/>
        <v>1.8299999999999983</v>
      </c>
      <c r="O34" s="17">
        <f t="shared" si="6"/>
        <v>3.0399999999999991</v>
      </c>
      <c r="P34" s="17">
        <f t="shared" si="7"/>
        <v>3.8699999999999974</v>
      </c>
      <c r="Q34" s="17">
        <f t="shared" si="8"/>
        <v>-0.14757257206031044</v>
      </c>
      <c r="R34" s="17">
        <f t="shared" si="0"/>
        <v>-0.38759684448394255</v>
      </c>
      <c r="S34" s="17">
        <f t="shared" si="1"/>
        <v>-0.51025633284713445</v>
      </c>
      <c r="T34" s="17">
        <f t="shared" si="2"/>
        <v>-0.8774258296785451</v>
      </c>
      <c r="U34" s="16">
        <v>16</v>
      </c>
      <c r="V34" s="16">
        <v>20</v>
      </c>
      <c r="W34" s="16">
        <v>23</v>
      </c>
      <c r="X34" s="16">
        <v>24</v>
      </c>
      <c r="Y34" s="15">
        <v>0.67</v>
      </c>
      <c r="Z34" s="15">
        <v>0.8</v>
      </c>
      <c r="AA34" s="15">
        <v>0.90800000000000003</v>
      </c>
      <c r="AB34" s="15">
        <v>0.99550000000000005</v>
      </c>
      <c r="AC34" s="3">
        <f t="shared" si="9"/>
        <v>2.0412135318408966</v>
      </c>
      <c r="AD34" s="3">
        <f t="shared" si="10"/>
        <v>2.0735262527603582</v>
      </c>
      <c r="AE34" s="3">
        <f t="shared" si="11"/>
        <v>1.8827347288027554</v>
      </c>
      <c r="AF34" s="3">
        <f t="shared" si="12"/>
        <v>1.7975607587549418</v>
      </c>
    </row>
    <row r="35" spans="1:32" x14ac:dyDescent="0.2">
      <c r="A35" s="30">
        <v>33</v>
      </c>
      <c r="B35" s="9" t="s">
        <v>770</v>
      </c>
      <c r="C35" s="12">
        <v>12465</v>
      </c>
      <c r="D35" s="13" t="s">
        <v>34</v>
      </c>
      <c r="E35" s="17">
        <v>-74.780602197099995</v>
      </c>
      <c r="F35" s="17">
        <v>20.3854103137</v>
      </c>
      <c r="G35" s="14">
        <v>115</v>
      </c>
      <c r="H35" s="17">
        <v>23.21</v>
      </c>
      <c r="I35" s="17">
        <v>24.15</v>
      </c>
      <c r="J35" s="17">
        <v>25.26</v>
      </c>
      <c r="K35" s="17">
        <v>26.87</v>
      </c>
      <c r="L35" s="17">
        <v>27.86</v>
      </c>
      <c r="M35" s="17">
        <f t="shared" si="4"/>
        <v>0.93999999999999773</v>
      </c>
      <c r="N35" s="17">
        <f t="shared" si="5"/>
        <v>2.0500000000000007</v>
      </c>
      <c r="O35" s="17">
        <f t="shared" si="6"/>
        <v>3.66</v>
      </c>
      <c r="P35" s="17">
        <f t="shared" si="7"/>
        <v>4.6499999999999986</v>
      </c>
      <c r="Q35" s="17">
        <f t="shared" si="8"/>
        <v>9.6101335721563125E-2</v>
      </c>
      <c r="R35" s="17">
        <f t="shared" si="0"/>
        <v>-7.7867794283134603E-2</v>
      </c>
      <c r="S35" s="17">
        <f t="shared" si="1"/>
        <v>0.20972138500855328</v>
      </c>
      <c r="T35" s="17">
        <f t="shared" si="2"/>
        <v>-8.7929185244087077E-2</v>
      </c>
      <c r="U35" s="16">
        <v>0</v>
      </c>
      <c r="V35" s="16">
        <v>1</v>
      </c>
      <c r="W35" s="16">
        <v>1</v>
      </c>
      <c r="X35" s="16">
        <v>1</v>
      </c>
      <c r="Y35" s="15">
        <v>0.52049999999999996</v>
      </c>
      <c r="Z35" s="15">
        <v>0.64949999999999997</v>
      </c>
      <c r="AA35" s="15">
        <v>0.747</v>
      </c>
      <c r="AB35" s="15">
        <v>0.84099999999999997</v>
      </c>
      <c r="AC35" s="3">
        <f t="shared" si="9"/>
        <v>0.65973245142826631</v>
      </c>
      <c r="AD35" s="3">
        <f t="shared" si="10"/>
        <v>0.72302736141717083</v>
      </c>
      <c r="AE35" s="3">
        <f t="shared" si="11"/>
        <v>0.55718179104601129</v>
      </c>
      <c r="AF35" s="3">
        <f t="shared" si="12"/>
        <v>0.528412164982489</v>
      </c>
    </row>
    <row r="36" spans="1:32" x14ac:dyDescent="0.2">
      <c r="A36" s="30">
        <v>34</v>
      </c>
      <c r="B36" s="9" t="s">
        <v>928</v>
      </c>
      <c r="C36" s="12">
        <v>12754</v>
      </c>
      <c r="D36" s="13" t="s">
        <v>35</v>
      </c>
      <c r="E36" s="17">
        <v>5.5116971906999996</v>
      </c>
      <c r="F36" s="17">
        <v>53.261163441900003</v>
      </c>
      <c r="G36" s="14">
        <v>5046</v>
      </c>
      <c r="H36" s="17">
        <v>10.81</v>
      </c>
      <c r="I36" s="17">
        <v>10.63</v>
      </c>
      <c r="J36" s="17">
        <v>12</v>
      </c>
      <c r="K36" s="17">
        <v>13.97</v>
      </c>
      <c r="L36" s="17">
        <v>15.19</v>
      </c>
      <c r="M36" s="17">
        <f t="shared" si="4"/>
        <v>-0.17999999999999972</v>
      </c>
      <c r="N36" s="17">
        <f t="shared" si="5"/>
        <v>1.1899999999999995</v>
      </c>
      <c r="O36" s="17">
        <f t="shared" si="6"/>
        <v>3.16</v>
      </c>
      <c r="P36" s="17">
        <f t="shared" si="7"/>
        <v>4.379999999999999</v>
      </c>
      <c r="Q36" s="17">
        <f t="shared" si="8"/>
        <v>-1.2684725478569305</v>
      </c>
      <c r="R36" s="17">
        <f t="shared" si="0"/>
        <v>-1.2886268087044632</v>
      </c>
      <c r="S36" s="17">
        <f t="shared" si="1"/>
        <v>-0.37090580681054874</v>
      </c>
      <c r="T36" s="17">
        <f t="shared" si="2"/>
        <v>-0.36121648524062944</v>
      </c>
      <c r="U36" s="16">
        <v>281</v>
      </c>
      <c r="V36" s="16">
        <v>598</v>
      </c>
      <c r="W36" s="16">
        <v>617</v>
      </c>
      <c r="X36" s="16">
        <v>870</v>
      </c>
      <c r="Y36" s="15">
        <v>0.46800000000000003</v>
      </c>
      <c r="Z36" s="15">
        <v>0.59199999999999997</v>
      </c>
      <c r="AA36" s="15">
        <v>0.68400000000000005</v>
      </c>
      <c r="AB36" s="15">
        <v>0.8</v>
      </c>
      <c r="AC36" s="3">
        <f t="shared" si="9"/>
        <v>0.17459695496229341</v>
      </c>
      <c r="AD36" s="3">
        <f t="shared" si="10"/>
        <v>0.20705602419302982</v>
      </c>
      <c r="AE36" s="3">
        <f t="shared" si="11"/>
        <v>3.8487163228155416E-2</v>
      </c>
      <c r="AF36" s="3">
        <f t="shared" si="12"/>
        <v>0.19161545077750225</v>
      </c>
    </row>
    <row r="37" spans="1:32" x14ac:dyDescent="0.2">
      <c r="A37" s="30">
        <v>35</v>
      </c>
      <c r="B37" s="9" t="s">
        <v>771</v>
      </c>
      <c r="C37" s="12">
        <v>14067</v>
      </c>
      <c r="D37" s="13" t="s">
        <v>36</v>
      </c>
      <c r="E37" s="17">
        <v>-69.975010221299996</v>
      </c>
      <c r="F37" s="17">
        <v>12.4733185287</v>
      </c>
      <c r="G37" s="14">
        <v>1</v>
      </c>
      <c r="H37" s="17">
        <v>25.61</v>
      </c>
      <c r="I37" s="17">
        <v>26.47</v>
      </c>
      <c r="J37" s="17">
        <v>27.32</v>
      </c>
      <c r="K37" s="17">
        <v>28.21</v>
      </c>
      <c r="L37" s="17">
        <v>29.77</v>
      </c>
      <c r="M37" s="17">
        <f t="shared" si="4"/>
        <v>0.85999999999999943</v>
      </c>
      <c r="N37" s="17">
        <f t="shared" si="5"/>
        <v>1.7100000000000009</v>
      </c>
      <c r="O37" s="17">
        <f t="shared" si="6"/>
        <v>2.6000000000000014</v>
      </c>
      <c r="P37" s="17">
        <f t="shared" si="7"/>
        <v>4.16</v>
      </c>
      <c r="Q37" s="17">
        <f t="shared" si="8"/>
        <v>-1.3682273911845646E-3</v>
      </c>
      <c r="R37" s="17">
        <f t="shared" si="0"/>
        <v>-0.55653996277528683</v>
      </c>
      <c r="S37" s="17">
        <f t="shared" si="1"/>
        <v>-1.0212082616479417</v>
      </c>
      <c r="T37" s="17">
        <f t="shared" si="2"/>
        <v>-0.58389502597855203</v>
      </c>
      <c r="U37" s="16">
        <v>0</v>
      </c>
      <c r="V37" s="16">
        <v>1</v>
      </c>
      <c r="W37" s="16">
        <v>1</v>
      </c>
      <c r="X37" s="16">
        <v>1</v>
      </c>
      <c r="Y37" s="15">
        <v>0.52100000000000002</v>
      </c>
      <c r="Z37" s="15">
        <v>0.64800000000000002</v>
      </c>
      <c r="AA37" s="15">
        <v>0.76800000000000002</v>
      </c>
      <c r="AB37" s="15">
        <v>0.86</v>
      </c>
      <c r="AC37" s="3">
        <f t="shared" si="9"/>
        <v>0.66435278948984755</v>
      </c>
      <c r="AD37" s="3">
        <f t="shared" si="10"/>
        <v>0.70956723957654155</v>
      </c>
      <c r="AE37" s="3">
        <f t="shared" si="11"/>
        <v>0.73008000031863018</v>
      </c>
      <c r="AF37" s="3">
        <f t="shared" si="12"/>
        <v>0.68448869107748322</v>
      </c>
    </row>
    <row r="38" spans="1:32" x14ac:dyDescent="0.2">
      <c r="A38" s="30">
        <v>36</v>
      </c>
      <c r="B38" s="9" t="s">
        <v>1276</v>
      </c>
      <c r="C38" s="12">
        <v>14177</v>
      </c>
      <c r="D38" s="13" t="s">
        <v>37</v>
      </c>
      <c r="E38" s="17">
        <v>88.892620232900001</v>
      </c>
      <c r="F38" s="17">
        <v>21.939378624100002</v>
      </c>
      <c r="G38" s="14">
        <v>370</v>
      </c>
      <c r="H38" s="17">
        <v>24.19</v>
      </c>
      <c r="I38" s="17">
        <v>25.79</v>
      </c>
      <c r="J38" s="17">
        <v>27.22</v>
      </c>
      <c r="K38" s="17">
        <v>28.27</v>
      </c>
      <c r="L38" s="17">
        <v>30.33</v>
      </c>
      <c r="M38" s="17">
        <f t="shared" si="4"/>
        <v>1.5999999999999979</v>
      </c>
      <c r="N38" s="17">
        <f t="shared" si="5"/>
        <v>3.0299999999999976</v>
      </c>
      <c r="O38" s="17">
        <f t="shared" si="6"/>
        <v>4.0799999999999983</v>
      </c>
      <c r="P38" s="17">
        <f t="shared" si="7"/>
        <v>6.139999999999997</v>
      </c>
      <c r="Q38" s="17">
        <f t="shared" si="8"/>
        <v>0.90022523140174893</v>
      </c>
      <c r="R38" s="17">
        <f t="shared" si="0"/>
        <v>1.3018343384295359</v>
      </c>
      <c r="S38" s="17">
        <f t="shared" si="1"/>
        <v>0.69744822613659685</v>
      </c>
      <c r="T38" s="17">
        <f t="shared" si="2"/>
        <v>1.4202118406627584</v>
      </c>
      <c r="U38" s="16">
        <v>3</v>
      </c>
      <c r="V38" s="16">
        <v>9</v>
      </c>
      <c r="W38" s="16">
        <v>9</v>
      </c>
      <c r="X38" s="16">
        <v>11</v>
      </c>
      <c r="Y38" s="15">
        <v>0.47049999999999997</v>
      </c>
      <c r="Z38" s="15">
        <v>0.5665</v>
      </c>
      <c r="AA38" s="15">
        <v>0.68149999999999999</v>
      </c>
      <c r="AB38" s="15">
        <v>0.79049999999999998</v>
      </c>
      <c r="AC38" s="3">
        <f t="shared" si="9"/>
        <v>0.19769864527019643</v>
      </c>
      <c r="AD38" s="3">
        <f t="shared" si="10"/>
        <v>-2.1766047097675951E-2</v>
      </c>
      <c r="AE38" s="3">
        <f t="shared" si="11"/>
        <v>1.7904043076652706E-2</v>
      </c>
      <c r="AF38" s="3">
        <f t="shared" si="12"/>
        <v>0.11357718773000468</v>
      </c>
    </row>
    <row r="39" spans="1:32" x14ac:dyDescent="0.2">
      <c r="A39" s="30">
        <v>37</v>
      </c>
      <c r="B39" s="9" t="s">
        <v>929</v>
      </c>
      <c r="C39" s="12">
        <v>17157</v>
      </c>
      <c r="D39" s="13" t="s">
        <v>38</v>
      </c>
      <c r="E39" s="17">
        <v>48.664402413099999</v>
      </c>
      <c r="F39" s="17">
        <v>30.3781514579</v>
      </c>
      <c r="G39" s="14">
        <v>2543</v>
      </c>
      <c r="H39" s="17">
        <v>21.57</v>
      </c>
      <c r="I39" s="17">
        <v>25.11</v>
      </c>
      <c r="J39" s="17">
        <v>25.9</v>
      </c>
      <c r="K39" s="17">
        <v>27.25</v>
      </c>
      <c r="L39" s="17">
        <v>30.19</v>
      </c>
      <c r="M39" s="17">
        <f t="shared" si="4"/>
        <v>3.5399999999999991</v>
      </c>
      <c r="N39" s="17">
        <f t="shared" si="5"/>
        <v>4.3299999999999983</v>
      </c>
      <c r="O39" s="17">
        <f t="shared" si="6"/>
        <v>5.68</v>
      </c>
      <c r="P39" s="17">
        <f t="shared" si="7"/>
        <v>8.620000000000001</v>
      </c>
      <c r="Q39" s="17">
        <f t="shared" si="8"/>
        <v>3.2638621368859329</v>
      </c>
      <c r="R39" s="17">
        <f t="shared" si="0"/>
        <v>3.1320514532524726</v>
      </c>
      <c r="S39" s="17">
        <f t="shared" si="1"/>
        <v>2.5554552399577251</v>
      </c>
      <c r="T39" s="17">
        <f t="shared" si="2"/>
        <v>3.9304062998902665</v>
      </c>
      <c r="U39" s="16">
        <v>28</v>
      </c>
      <c r="V39" s="16">
        <v>49</v>
      </c>
      <c r="W39" s="16">
        <v>58</v>
      </c>
      <c r="X39" s="16">
        <v>65</v>
      </c>
      <c r="Y39" s="15">
        <v>0.34</v>
      </c>
      <c r="Z39" s="15">
        <v>0.46200000000000002</v>
      </c>
      <c r="AA39" s="15">
        <v>0.59499999999999997</v>
      </c>
      <c r="AB39" s="15">
        <v>0.71399999999999997</v>
      </c>
      <c r="AC39" s="3">
        <f t="shared" si="9"/>
        <v>-1.0082095888023659</v>
      </c>
      <c r="AD39" s="3">
        <f t="shared" si="10"/>
        <v>-0.95948786866154956</v>
      </c>
      <c r="AE39" s="3">
        <f t="shared" si="11"/>
        <v>-0.69427191416532474</v>
      </c>
      <c r="AF39" s="3">
        <f t="shared" si="12"/>
        <v>-0.51483619365247169</v>
      </c>
    </row>
    <row r="40" spans="1:32" x14ac:dyDescent="0.2">
      <c r="A40" s="30">
        <v>38</v>
      </c>
      <c r="B40" s="9" t="s">
        <v>930</v>
      </c>
      <c r="C40" s="12">
        <v>17166</v>
      </c>
      <c r="D40" s="13" t="s">
        <v>39</v>
      </c>
      <c r="E40" s="17">
        <v>55.676168808200003</v>
      </c>
      <c r="F40" s="17">
        <v>26.881615244599999</v>
      </c>
      <c r="G40" s="14">
        <v>655</v>
      </c>
      <c r="H40" s="17">
        <v>25.5</v>
      </c>
      <c r="I40" s="17">
        <v>27.34</v>
      </c>
      <c r="J40" s="17">
        <v>28.05</v>
      </c>
      <c r="K40" s="17">
        <v>29.65</v>
      </c>
      <c r="L40" s="17">
        <v>32.020000000000003</v>
      </c>
      <c r="M40" s="17">
        <f t="shared" si="4"/>
        <v>1.8399999999999999</v>
      </c>
      <c r="N40" s="17">
        <f t="shared" si="5"/>
        <v>2.5500000000000007</v>
      </c>
      <c r="O40" s="17">
        <f t="shared" si="6"/>
        <v>4.1499999999999986</v>
      </c>
      <c r="P40" s="17">
        <f t="shared" si="7"/>
        <v>6.5200000000000031</v>
      </c>
      <c r="Q40" s="17">
        <f t="shared" si="8"/>
        <v>1.1926339207400007</v>
      </c>
      <c r="R40" s="17">
        <f t="shared" si="0"/>
        <v>0.62606186526414842</v>
      </c>
      <c r="S40" s="17">
        <f t="shared" si="1"/>
        <v>0.77873603299127148</v>
      </c>
      <c r="T40" s="17">
        <f t="shared" si="2"/>
        <v>1.8048384110282694</v>
      </c>
      <c r="U40" s="16">
        <v>14</v>
      </c>
      <c r="V40" s="16">
        <v>20</v>
      </c>
      <c r="W40" s="16">
        <v>25</v>
      </c>
      <c r="X40" s="16">
        <v>29</v>
      </c>
      <c r="Y40" s="15">
        <v>0.35599999999999998</v>
      </c>
      <c r="Z40" s="15">
        <v>0.48</v>
      </c>
      <c r="AA40" s="15">
        <v>0.61399999999999999</v>
      </c>
      <c r="AB40" s="15">
        <v>0.72599999999999998</v>
      </c>
      <c r="AC40" s="3">
        <f t="shared" si="9"/>
        <v>-0.8603587708317838</v>
      </c>
      <c r="AD40" s="3">
        <f t="shared" si="10"/>
        <v>-0.79796640657399276</v>
      </c>
      <c r="AE40" s="3">
        <f t="shared" si="11"/>
        <v>-0.53784020101390762</v>
      </c>
      <c r="AF40" s="3">
        <f t="shared" si="12"/>
        <v>-0.41626154559247536</v>
      </c>
    </row>
    <row r="41" spans="1:32" x14ac:dyDescent="0.2">
      <c r="A41" s="30">
        <v>39</v>
      </c>
      <c r="B41" s="9" t="s">
        <v>931</v>
      </c>
      <c r="C41" s="12">
        <v>17167</v>
      </c>
      <c r="D41" s="13" t="s">
        <v>40</v>
      </c>
      <c r="E41" s="17">
        <v>56.7546569131</v>
      </c>
      <c r="F41" s="17">
        <v>27.091552334500001</v>
      </c>
      <c r="G41" s="14">
        <v>467</v>
      </c>
      <c r="H41" s="17">
        <v>25.79</v>
      </c>
      <c r="I41" s="17">
        <v>27.63</v>
      </c>
      <c r="J41" s="17">
        <v>28.24</v>
      </c>
      <c r="K41" s="17">
        <v>29.79</v>
      </c>
      <c r="L41" s="17">
        <v>32.29</v>
      </c>
      <c r="M41" s="17">
        <f t="shared" si="4"/>
        <v>1.8399999999999999</v>
      </c>
      <c r="N41" s="17">
        <f t="shared" si="5"/>
        <v>2.4499999999999993</v>
      </c>
      <c r="O41" s="17">
        <f t="shared" si="6"/>
        <v>4</v>
      </c>
      <c r="P41" s="17">
        <f t="shared" si="7"/>
        <v>6.5</v>
      </c>
      <c r="Q41" s="17">
        <f t="shared" si="8"/>
        <v>1.1926339207400007</v>
      </c>
      <c r="R41" s="17">
        <f t="shared" si="0"/>
        <v>0.48527593335468983</v>
      </c>
      <c r="S41" s="17">
        <f t="shared" si="1"/>
        <v>0.60454787544554256</v>
      </c>
      <c r="T41" s="17">
        <f t="shared" si="2"/>
        <v>1.7845949073248186</v>
      </c>
      <c r="U41" s="16">
        <v>7</v>
      </c>
      <c r="V41" s="16">
        <v>14</v>
      </c>
      <c r="W41" s="16">
        <v>19</v>
      </c>
      <c r="X41" s="16">
        <v>29</v>
      </c>
      <c r="Y41" s="15">
        <v>0.35199999999999998</v>
      </c>
      <c r="Z41" s="15">
        <v>0.47599999999999998</v>
      </c>
      <c r="AA41" s="15">
        <v>0.60499999999999998</v>
      </c>
      <c r="AB41" s="15">
        <v>0.71599999999999997</v>
      </c>
      <c r="AC41" s="3">
        <f t="shared" si="9"/>
        <v>-0.89732147532442941</v>
      </c>
      <c r="AD41" s="3">
        <f t="shared" si="10"/>
        <v>-0.83386006481567221</v>
      </c>
      <c r="AE41" s="3">
        <f t="shared" si="11"/>
        <v>-0.61193943355931579</v>
      </c>
      <c r="AF41" s="3">
        <f t="shared" si="12"/>
        <v>-0.49840708564247233</v>
      </c>
    </row>
    <row r="42" spans="1:32" x14ac:dyDescent="0.2">
      <c r="A42" s="30">
        <v>40</v>
      </c>
      <c r="B42" s="9" t="s">
        <v>1405</v>
      </c>
      <c r="C42" s="12">
        <v>17706</v>
      </c>
      <c r="D42" s="13" t="s">
        <v>41</v>
      </c>
      <c r="E42" s="17">
        <v>8.3893648170200006</v>
      </c>
      <c r="F42" s="17">
        <v>36.845292042700002</v>
      </c>
      <c r="G42" s="14">
        <v>43</v>
      </c>
      <c r="H42" s="17">
        <v>16.579999999999998</v>
      </c>
      <c r="I42" s="17">
        <v>18.34</v>
      </c>
      <c r="J42" s="17">
        <v>19.95</v>
      </c>
      <c r="K42" s="17">
        <v>21.82</v>
      </c>
      <c r="L42" s="17">
        <v>23.53</v>
      </c>
      <c r="M42" s="17">
        <f t="shared" si="4"/>
        <v>1.7600000000000016</v>
      </c>
      <c r="N42" s="17">
        <f t="shared" si="5"/>
        <v>3.370000000000001</v>
      </c>
      <c r="O42" s="17">
        <f t="shared" si="6"/>
        <v>5.240000000000002</v>
      </c>
      <c r="P42" s="17">
        <f t="shared" si="7"/>
        <v>6.9500000000000028</v>
      </c>
      <c r="Q42" s="17">
        <f t="shared" si="8"/>
        <v>1.0951643576272529</v>
      </c>
      <c r="R42" s="17">
        <f t="shared" si="0"/>
        <v>1.780506506921693</v>
      </c>
      <c r="S42" s="17">
        <f t="shared" si="1"/>
        <v>2.0445033111569177</v>
      </c>
      <c r="T42" s="17">
        <f t="shared" si="2"/>
        <v>2.2400737406523925</v>
      </c>
      <c r="U42" s="16">
        <v>0</v>
      </c>
      <c r="V42" s="16">
        <v>0</v>
      </c>
      <c r="W42" s="16">
        <v>0</v>
      </c>
      <c r="X42" s="16">
        <v>0</v>
      </c>
      <c r="Y42" s="15">
        <v>0.441</v>
      </c>
      <c r="Z42" s="15">
        <v>0.56000000000000005</v>
      </c>
      <c r="AA42" s="15">
        <v>0.67</v>
      </c>
      <c r="AB42" s="15">
        <v>0.76800000000000002</v>
      </c>
      <c r="AC42" s="3">
        <f t="shared" si="9"/>
        <v>-7.490130036306461E-2</v>
      </c>
      <c r="AD42" s="3">
        <f t="shared" si="10"/>
        <v>-8.0093241740404497E-2</v>
      </c>
      <c r="AE42" s="3">
        <f t="shared" si="11"/>
        <v>-7.6778309620257196E-2</v>
      </c>
      <c r="AF42" s="3">
        <f t="shared" si="12"/>
        <v>-7.1250277382488056E-2</v>
      </c>
    </row>
    <row r="43" spans="1:32" x14ac:dyDescent="0.2">
      <c r="A43" s="30">
        <v>41</v>
      </c>
      <c r="B43" s="9" t="s">
        <v>932</v>
      </c>
      <c r="C43" s="12">
        <v>17711</v>
      </c>
      <c r="D43" s="13" t="s">
        <v>42</v>
      </c>
      <c r="E43" s="17">
        <v>-6.6777767455700001</v>
      </c>
      <c r="F43" s="17">
        <v>34.235954099399997</v>
      </c>
      <c r="G43" s="14">
        <v>2</v>
      </c>
      <c r="H43" s="17">
        <v>18.41</v>
      </c>
      <c r="I43" s="17">
        <v>19.02</v>
      </c>
      <c r="J43" s="17">
        <v>19.91</v>
      </c>
      <c r="K43" s="17">
        <v>20.55</v>
      </c>
      <c r="L43" s="17">
        <v>21.93</v>
      </c>
      <c r="M43" s="17">
        <f t="shared" si="4"/>
        <v>0.60999999999999943</v>
      </c>
      <c r="N43" s="17">
        <f t="shared" si="5"/>
        <v>1.5</v>
      </c>
      <c r="O43" s="17">
        <f t="shared" si="6"/>
        <v>2.1400000000000006</v>
      </c>
      <c r="P43" s="17">
        <f t="shared" si="7"/>
        <v>3.5199999999999996</v>
      </c>
      <c r="Q43" s="17">
        <f t="shared" si="8"/>
        <v>-0.3059606121185276</v>
      </c>
      <c r="R43" s="17">
        <f t="shared" si="0"/>
        <v>-0.85219041978514698</v>
      </c>
      <c r="S43" s="17">
        <f t="shared" si="1"/>
        <v>-1.5553852781215165</v>
      </c>
      <c r="T43" s="17">
        <f t="shared" si="2"/>
        <v>-1.2316871444888762</v>
      </c>
      <c r="U43" s="16">
        <v>0</v>
      </c>
      <c r="V43" s="16">
        <v>0</v>
      </c>
      <c r="W43" s="16">
        <v>0</v>
      </c>
      <c r="X43" s="16">
        <v>0</v>
      </c>
      <c r="Y43" s="15">
        <v>0.45400000000000001</v>
      </c>
      <c r="Z43" s="15">
        <v>0.57299999999999995</v>
      </c>
      <c r="AA43" s="15">
        <v>0.68600000000000005</v>
      </c>
      <c r="AB43" s="15">
        <v>0.78</v>
      </c>
      <c r="AC43" s="3">
        <f t="shared" si="9"/>
        <v>4.5227489238033707E-2</v>
      </c>
      <c r="AD43" s="3">
        <f t="shared" si="10"/>
        <v>3.6561147545052596E-2</v>
      </c>
      <c r="AE43" s="3">
        <f t="shared" si="11"/>
        <v>5.4953659349357219E-2</v>
      </c>
      <c r="AF43" s="3">
        <f t="shared" si="12"/>
        <v>2.732437067750831E-2</v>
      </c>
    </row>
    <row r="44" spans="1:32" x14ac:dyDescent="0.2">
      <c r="A44" s="30">
        <v>42</v>
      </c>
      <c r="B44" s="9" t="s">
        <v>933</v>
      </c>
      <c r="C44" s="12">
        <v>17713</v>
      </c>
      <c r="D44" s="13" t="s">
        <v>43</v>
      </c>
      <c r="E44" s="17">
        <v>-12.3014007651</v>
      </c>
      <c r="F44" s="17">
        <v>27.988276637599999</v>
      </c>
      <c r="G44" s="14">
        <v>82</v>
      </c>
      <c r="H44" s="17">
        <v>19.38</v>
      </c>
      <c r="I44" s="17">
        <v>19.82</v>
      </c>
      <c r="J44" s="17">
        <v>20.45</v>
      </c>
      <c r="K44" s="17">
        <v>20.65</v>
      </c>
      <c r="L44" s="17">
        <v>22.36</v>
      </c>
      <c r="M44" s="17">
        <f t="shared" si="4"/>
        <v>0.44000000000000128</v>
      </c>
      <c r="N44" s="17">
        <f t="shared" si="5"/>
        <v>1.0700000000000003</v>
      </c>
      <c r="O44" s="17">
        <f t="shared" si="6"/>
        <v>1.2699999999999996</v>
      </c>
      <c r="P44" s="17">
        <f t="shared" si="7"/>
        <v>2.9800000000000004</v>
      </c>
      <c r="Q44" s="17">
        <f t="shared" si="8"/>
        <v>-0.5130834337331186</v>
      </c>
      <c r="R44" s="17">
        <f t="shared" si="0"/>
        <v>-1.45756992699581</v>
      </c>
      <c r="S44" s="17">
        <f t="shared" si="1"/>
        <v>-2.565676591886755</v>
      </c>
      <c r="T44" s="17">
        <f t="shared" si="2"/>
        <v>-1.7782617444819608</v>
      </c>
      <c r="U44" s="16">
        <v>5</v>
      </c>
      <c r="V44" s="16">
        <v>8</v>
      </c>
      <c r="W44" s="16">
        <v>10</v>
      </c>
      <c r="X44" s="16">
        <v>14</v>
      </c>
      <c r="Y44" s="15">
        <v>0.46500000000000002</v>
      </c>
      <c r="Z44" s="15">
        <v>0.58799999999999997</v>
      </c>
      <c r="AA44" s="15">
        <v>0.70799999999999996</v>
      </c>
      <c r="AB44" s="15">
        <v>0.80400000000000005</v>
      </c>
      <c r="AC44" s="3">
        <f t="shared" si="9"/>
        <v>0.14687492659280921</v>
      </c>
      <c r="AD44" s="3">
        <f t="shared" si="10"/>
        <v>0.1711623659513504</v>
      </c>
      <c r="AE44" s="3">
        <f t="shared" si="11"/>
        <v>0.23608511668257612</v>
      </c>
      <c r="AF44" s="3">
        <f t="shared" si="12"/>
        <v>0.22447366679750105</v>
      </c>
    </row>
    <row r="45" spans="1:32" x14ac:dyDescent="0.2">
      <c r="A45" s="30">
        <v>43</v>
      </c>
      <c r="B45" s="9" t="s">
        <v>1406</v>
      </c>
      <c r="C45" s="12">
        <v>17726</v>
      </c>
      <c r="D45" s="13" t="s">
        <v>44</v>
      </c>
      <c r="E45" s="17">
        <v>-16.408592003199999</v>
      </c>
      <c r="F45" s="17">
        <v>20.074814872699999</v>
      </c>
      <c r="G45" s="14">
        <v>6020</v>
      </c>
      <c r="H45" s="17">
        <v>21.5</v>
      </c>
      <c r="I45" s="17">
        <v>22.05</v>
      </c>
      <c r="J45" s="17">
        <v>22.62</v>
      </c>
      <c r="K45" s="17">
        <v>22.03</v>
      </c>
      <c r="L45" s="17">
        <v>23.4</v>
      </c>
      <c r="M45" s="17">
        <f t="shared" si="4"/>
        <v>0.55000000000000071</v>
      </c>
      <c r="N45" s="17">
        <f t="shared" si="5"/>
        <v>1.120000000000001</v>
      </c>
      <c r="O45" s="17">
        <f t="shared" si="6"/>
        <v>0.53000000000000114</v>
      </c>
      <c r="P45" s="17">
        <f t="shared" si="7"/>
        <v>1.8999999999999986</v>
      </c>
      <c r="Q45" s="17">
        <f t="shared" si="8"/>
        <v>-0.37906278445308839</v>
      </c>
      <c r="R45" s="17">
        <f t="shared" si="0"/>
        <v>-1.3871769610410807</v>
      </c>
      <c r="S45" s="17">
        <f t="shared" si="1"/>
        <v>-3.4250048357790246</v>
      </c>
      <c r="T45" s="17">
        <f t="shared" si="2"/>
        <v>-2.8714109444681339</v>
      </c>
      <c r="U45" s="16">
        <v>100</v>
      </c>
      <c r="V45" s="16">
        <v>118</v>
      </c>
      <c r="W45" s="16">
        <v>129</v>
      </c>
      <c r="X45" s="16">
        <v>146</v>
      </c>
      <c r="Y45" s="15">
        <v>0.44500000000000001</v>
      </c>
      <c r="Z45" s="15">
        <v>0.56599999999999995</v>
      </c>
      <c r="AA45" s="15">
        <v>0.67600000000000005</v>
      </c>
      <c r="AB45" s="15">
        <v>0.76800000000000002</v>
      </c>
      <c r="AC45" s="3">
        <f t="shared" si="9"/>
        <v>-3.7938595870418972E-2</v>
      </c>
      <c r="AD45" s="3">
        <f t="shared" si="10"/>
        <v>-2.6252754377886375E-2</v>
      </c>
      <c r="AE45" s="3">
        <f t="shared" si="11"/>
        <v>-2.7378821256651791E-2</v>
      </c>
      <c r="AF45" s="3">
        <f t="shared" si="12"/>
        <v>-7.1250277382488056E-2</v>
      </c>
    </row>
    <row r="46" spans="1:32" x14ac:dyDescent="0.2">
      <c r="A46" s="30">
        <v>44</v>
      </c>
      <c r="B46" s="9" t="s">
        <v>1277</v>
      </c>
      <c r="C46" s="12">
        <v>17757</v>
      </c>
      <c r="D46" s="13" t="s">
        <v>45</v>
      </c>
      <c r="E46" s="17">
        <v>145.64998717399999</v>
      </c>
      <c r="F46" s="17">
        <v>-17.3537589825</v>
      </c>
      <c r="G46" s="14">
        <v>280</v>
      </c>
      <c r="H46" s="17">
        <v>20.58</v>
      </c>
      <c r="I46" s="17">
        <v>21.25</v>
      </c>
      <c r="J46" s="17">
        <v>22.69</v>
      </c>
      <c r="K46" s="17">
        <v>23.94</v>
      </c>
      <c r="L46" s="17">
        <v>24.94</v>
      </c>
      <c r="M46" s="17">
        <f t="shared" si="4"/>
        <v>0.67000000000000171</v>
      </c>
      <c r="N46" s="17">
        <f t="shared" si="5"/>
        <v>2.110000000000003</v>
      </c>
      <c r="O46" s="17">
        <f t="shared" si="6"/>
        <v>3.360000000000003</v>
      </c>
      <c r="P46" s="17">
        <f t="shared" si="7"/>
        <v>4.360000000000003</v>
      </c>
      <c r="Q46" s="17">
        <f t="shared" si="8"/>
        <v>-0.23285843978396251</v>
      </c>
      <c r="R46" s="17">
        <f t="shared" si="0"/>
        <v>6.6037648625425702E-3</v>
      </c>
      <c r="S46" s="17">
        <f t="shared" si="1"/>
        <v>-0.13865493008290464</v>
      </c>
      <c r="T46" s="17">
        <f t="shared" si="2"/>
        <v>-0.38145998894407301</v>
      </c>
      <c r="U46" s="16">
        <v>8</v>
      </c>
      <c r="V46" s="16">
        <v>10</v>
      </c>
      <c r="W46" s="16">
        <v>12</v>
      </c>
      <c r="X46" s="16">
        <v>14</v>
      </c>
      <c r="Y46" s="15">
        <v>0.46949999999999997</v>
      </c>
      <c r="Z46" s="15">
        <v>0.58199999999999996</v>
      </c>
      <c r="AA46" s="15">
        <v>0.72599999999999998</v>
      </c>
      <c r="AB46" s="15">
        <v>0.83750000000000002</v>
      </c>
      <c r="AC46" s="3">
        <f t="shared" si="9"/>
        <v>0.18845796914703503</v>
      </c>
      <c r="AD46" s="3">
        <f t="shared" si="10"/>
        <v>0.11732187858883128</v>
      </c>
      <c r="AE46" s="3">
        <f t="shared" si="11"/>
        <v>0.38428358177339234</v>
      </c>
      <c r="AF46" s="3">
        <f t="shared" si="12"/>
        <v>0.49966122596499046</v>
      </c>
    </row>
    <row r="47" spans="1:32" x14ac:dyDescent="0.2">
      <c r="A47" s="30">
        <v>45</v>
      </c>
      <c r="B47" s="9" t="s">
        <v>772</v>
      </c>
      <c r="C47" s="12">
        <v>17759</v>
      </c>
      <c r="D47" s="13" t="s">
        <v>46</v>
      </c>
      <c r="E47" s="17">
        <v>-57.733805214100002</v>
      </c>
      <c r="F47" s="17">
        <v>49.631327846799998</v>
      </c>
      <c r="G47" s="14">
        <v>352</v>
      </c>
      <c r="H47" s="17">
        <v>4.8099999999999996</v>
      </c>
      <c r="I47" s="17">
        <v>6.61</v>
      </c>
      <c r="J47" s="17">
        <v>7.52</v>
      </c>
      <c r="K47" s="17">
        <v>8.8699999999999992</v>
      </c>
      <c r="L47" s="17">
        <v>10.45</v>
      </c>
      <c r="M47" s="17">
        <f t="shared" si="4"/>
        <v>1.8000000000000007</v>
      </c>
      <c r="N47" s="17">
        <f t="shared" si="5"/>
        <v>2.71</v>
      </c>
      <c r="O47" s="17">
        <f t="shared" si="6"/>
        <v>4.0599999999999996</v>
      </c>
      <c r="P47" s="17">
        <f t="shared" si="7"/>
        <v>5.64</v>
      </c>
      <c r="Q47" s="17">
        <f t="shared" si="8"/>
        <v>1.1438991391836268</v>
      </c>
      <c r="R47" s="17">
        <f t="shared" si="0"/>
        <v>0.85131935631927802</v>
      </c>
      <c r="S47" s="17">
        <f t="shared" si="1"/>
        <v>0.6742231384638343</v>
      </c>
      <c r="T47" s="17">
        <f t="shared" si="2"/>
        <v>0.91412424807657089</v>
      </c>
      <c r="U47" s="16">
        <v>0</v>
      </c>
      <c r="V47" s="16">
        <v>0</v>
      </c>
      <c r="W47" s="16">
        <v>0</v>
      </c>
      <c r="X47" s="16">
        <v>0</v>
      </c>
      <c r="Y47" s="15">
        <v>0.376</v>
      </c>
      <c r="Z47" s="15">
        <v>0.51</v>
      </c>
      <c r="AA47" s="15">
        <v>0.61</v>
      </c>
      <c r="AB47" s="15">
        <v>0.73199999999999998</v>
      </c>
      <c r="AC47" s="3">
        <f t="shared" si="9"/>
        <v>-0.67554524836855567</v>
      </c>
      <c r="AD47" s="3">
        <f t="shared" si="10"/>
        <v>-0.52876396976139717</v>
      </c>
      <c r="AE47" s="3">
        <f t="shared" si="11"/>
        <v>-0.57077319325631126</v>
      </c>
      <c r="AF47" s="3">
        <f t="shared" si="12"/>
        <v>-0.36697422156247717</v>
      </c>
    </row>
    <row r="48" spans="1:32" x14ac:dyDescent="0.2">
      <c r="A48" s="30">
        <v>46</v>
      </c>
      <c r="B48" s="9" t="s">
        <v>773</v>
      </c>
      <c r="C48" s="12">
        <v>20062</v>
      </c>
      <c r="D48" s="13" t="s">
        <v>47</v>
      </c>
      <c r="E48" s="17">
        <v>-87.657727820199995</v>
      </c>
      <c r="F48" s="17">
        <v>19.526374859000001</v>
      </c>
      <c r="G48" s="14">
        <v>3244</v>
      </c>
      <c r="H48" s="17">
        <v>24.29</v>
      </c>
      <c r="I48" s="17">
        <v>25.24</v>
      </c>
      <c r="J48" s="17">
        <v>26.32</v>
      </c>
      <c r="K48" s="17">
        <v>27.98</v>
      </c>
      <c r="L48" s="17">
        <v>28.91</v>
      </c>
      <c r="M48" s="17">
        <f t="shared" si="4"/>
        <v>0.94999999999999929</v>
      </c>
      <c r="N48" s="17">
        <f t="shared" si="5"/>
        <v>2.0300000000000011</v>
      </c>
      <c r="O48" s="17">
        <f t="shared" si="6"/>
        <v>3.6900000000000013</v>
      </c>
      <c r="P48" s="17">
        <f t="shared" si="7"/>
        <v>4.620000000000001</v>
      </c>
      <c r="Q48" s="17">
        <f t="shared" si="8"/>
        <v>0.10828503111065875</v>
      </c>
      <c r="R48" s="17">
        <f t="shared" si="0"/>
        <v>-0.10602498066502532</v>
      </c>
      <c r="S48" s="17">
        <f t="shared" si="1"/>
        <v>0.24455901651770073</v>
      </c>
      <c r="T48" s="17">
        <f t="shared" si="2"/>
        <v>-0.11829444079925605</v>
      </c>
      <c r="U48" s="16">
        <v>476</v>
      </c>
      <c r="V48" s="16">
        <v>665</v>
      </c>
      <c r="W48" s="16">
        <v>782</v>
      </c>
      <c r="X48" s="16">
        <v>833</v>
      </c>
      <c r="Y48" s="15">
        <v>0.66200000000000003</v>
      </c>
      <c r="Z48" s="15">
        <v>0.79</v>
      </c>
      <c r="AA48" s="15">
        <v>0.90600000000000003</v>
      </c>
      <c r="AB48" s="15">
        <v>0.998</v>
      </c>
      <c r="AC48" s="3">
        <f t="shared" si="9"/>
        <v>1.9672881228556052</v>
      </c>
      <c r="AD48" s="3">
        <f t="shared" si="10"/>
        <v>1.9837921071561597</v>
      </c>
      <c r="AE48" s="3">
        <f t="shared" si="11"/>
        <v>1.8662682326815536</v>
      </c>
      <c r="AF48" s="3">
        <f t="shared" si="12"/>
        <v>1.8180971437674405</v>
      </c>
    </row>
    <row r="49" spans="1:32" x14ac:dyDescent="0.2">
      <c r="A49" s="30">
        <v>47</v>
      </c>
      <c r="B49" s="9" t="s">
        <v>934</v>
      </c>
      <c r="C49" s="12">
        <v>20388</v>
      </c>
      <c r="D49" s="13" t="s">
        <v>48</v>
      </c>
      <c r="E49" s="17">
        <v>-16.4036007138</v>
      </c>
      <c r="F49" s="17">
        <v>20.0784470406</v>
      </c>
      <c r="G49" s="14">
        <v>5894</v>
      </c>
      <c r="H49" s="17">
        <v>21.51</v>
      </c>
      <c r="I49" s="17">
        <v>22.06</v>
      </c>
      <c r="J49" s="17">
        <v>22.63</v>
      </c>
      <c r="K49" s="17">
        <v>22.03</v>
      </c>
      <c r="L49" s="17">
        <v>23.41</v>
      </c>
      <c r="M49" s="17">
        <f t="shared" si="4"/>
        <v>0.54999999999999716</v>
      </c>
      <c r="N49" s="17">
        <f t="shared" si="5"/>
        <v>1.1199999999999974</v>
      </c>
      <c r="O49" s="17">
        <f t="shared" si="6"/>
        <v>0.51999999999999957</v>
      </c>
      <c r="P49" s="17">
        <f t="shared" si="7"/>
        <v>1.8999999999999986</v>
      </c>
      <c r="Q49" s="17">
        <f t="shared" si="8"/>
        <v>-0.37906278445309272</v>
      </c>
      <c r="R49" s="17">
        <f t="shared" si="0"/>
        <v>-1.3871769610410856</v>
      </c>
      <c r="S49" s="17">
        <f t="shared" si="1"/>
        <v>-3.4366173796154085</v>
      </c>
      <c r="T49" s="17">
        <f t="shared" si="2"/>
        <v>-2.8714109444681339</v>
      </c>
      <c r="U49" s="16">
        <v>100</v>
      </c>
      <c r="V49" s="16">
        <v>118</v>
      </c>
      <c r="W49" s="16">
        <v>129</v>
      </c>
      <c r="X49" s="16">
        <v>146</v>
      </c>
      <c r="Y49" s="15">
        <v>0.44500000000000001</v>
      </c>
      <c r="Z49" s="15">
        <v>0.56599999999999995</v>
      </c>
      <c r="AA49" s="15">
        <v>0.67600000000000005</v>
      </c>
      <c r="AB49" s="15">
        <v>0.76800000000000002</v>
      </c>
      <c r="AC49" s="3">
        <f t="shared" si="9"/>
        <v>-3.7938595870418972E-2</v>
      </c>
      <c r="AD49" s="3">
        <f t="shared" si="10"/>
        <v>-2.6252754377886375E-2</v>
      </c>
      <c r="AE49" s="3">
        <f t="shared" si="11"/>
        <v>-2.7378821256651791E-2</v>
      </c>
      <c r="AF49" s="3">
        <f t="shared" si="12"/>
        <v>-7.1250277382488056E-2</v>
      </c>
    </row>
    <row r="50" spans="1:32" x14ac:dyDescent="0.2">
      <c r="A50" s="30">
        <v>48</v>
      </c>
      <c r="B50" s="9" t="s">
        <v>935</v>
      </c>
      <c r="C50" s="12">
        <v>26620</v>
      </c>
      <c r="D50" s="13" t="s">
        <v>49</v>
      </c>
      <c r="E50" s="17">
        <v>8.4261620546000007</v>
      </c>
      <c r="F50" s="17">
        <v>36.806001453699999</v>
      </c>
      <c r="G50" s="14">
        <v>128</v>
      </c>
      <c r="H50" s="17">
        <v>16.61</v>
      </c>
      <c r="I50" s="17">
        <v>18.350000000000001</v>
      </c>
      <c r="J50" s="17">
        <v>19.95</v>
      </c>
      <c r="K50" s="17">
        <v>21.81</v>
      </c>
      <c r="L50" s="17">
        <v>23.52</v>
      </c>
      <c r="M50" s="17">
        <f t="shared" si="4"/>
        <v>1.740000000000002</v>
      </c>
      <c r="N50" s="17">
        <f t="shared" si="5"/>
        <v>3.34</v>
      </c>
      <c r="O50" s="17">
        <f t="shared" si="6"/>
        <v>5.1999999999999993</v>
      </c>
      <c r="P50" s="17">
        <f t="shared" si="7"/>
        <v>6.91</v>
      </c>
      <c r="Q50" s="17">
        <f t="shared" si="8"/>
        <v>1.070796966849066</v>
      </c>
      <c r="R50" s="17">
        <f t="shared" si="0"/>
        <v>1.7382707273488545</v>
      </c>
      <c r="S50" s="17">
        <f t="shared" si="1"/>
        <v>1.9980531358113867</v>
      </c>
      <c r="T50" s="17">
        <f t="shared" si="2"/>
        <v>2.1995867332454946</v>
      </c>
      <c r="U50" s="16">
        <v>0</v>
      </c>
      <c r="V50" s="16">
        <v>0</v>
      </c>
      <c r="W50" s="16">
        <v>0</v>
      </c>
      <c r="X50" s="16">
        <v>0</v>
      </c>
      <c r="Y50" s="15">
        <v>0.441</v>
      </c>
      <c r="Z50" s="15">
        <v>0.56000000000000005</v>
      </c>
      <c r="AA50" s="15">
        <v>0.67</v>
      </c>
      <c r="AB50" s="15">
        <v>0.76800000000000002</v>
      </c>
      <c r="AC50" s="3">
        <f t="shared" si="9"/>
        <v>-7.490130036306461E-2</v>
      </c>
      <c r="AD50" s="3">
        <f t="shared" si="10"/>
        <v>-8.0093241740404497E-2</v>
      </c>
      <c r="AE50" s="3">
        <f t="shared" si="11"/>
        <v>-7.6778309620257196E-2</v>
      </c>
      <c r="AF50" s="3">
        <f t="shared" si="12"/>
        <v>-7.1250277382488056E-2</v>
      </c>
    </row>
    <row r="51" spans="1:32" x14ac:dyDescent="0.2">
      <c r="A51" s="30">
        <v>49</v>
      </c>
      <c r="B51" s="9" t="s">
        <v>1407</v>
      </c>
      <c r="C51" s="12">
        <v>26652</v>
      </c>
      <c r="D51" s="13" t="s">
        <v>50</v>
      </c>
      <c r="E51" s="17">
        <v>168.153367987</v>
      </c>
      <c r="F51" s="17">
        <v>-44.803718244899997</v>
      </c>
      <c r="G51" s="14">
        <v>3055</v>
      </c>
      <c r="H51" s="17">
        <v>7.68</v>
      </c>
      <c r="I51" s="17">
        <v>8.83</v>
      </c>
      <c r="J51" s="17">
        <v>9.81</v>
      </c>
      <c r="K51" s="17">
        <v>10.07</v>
      </c>
      <c r="L51" s="17">
        <v>11.09</v>
      </c>
      <c r="M51" s="17">
        <f t="shared" si="4"/>
        <v>1.1500000000000004</v>
      </c>
      <c r="N51" s="17">
        <f t="shared" si="5"/>
        <v>2.1300000000000008</v>
      </c>
      <c r="O51" s="17">
        <f t="shared" si="6"/>
        <v>2.3900000000000006</v>
      </c>
      <c r="P51" s="17">
        <f t="shared" si="7"/>
        <v>3.41</v>
      </c>
      <c r="Q51" s="17">
        <f t="shared" si="8"/>
        <v>0.35195893889253449</v>
      </c>
      <c r="R51" s="17">
        <f t="shared" si="0"/>
        <v>3.4760951244430793E-2</v>
      </c>
      <c r="S51" s="17">
        <f t="shared" si="1"/>
        <v>-1.2650716822119654</v>
      </c>
      <c r="T51" s="17">
        <f t="shared" si="2"/>
        <v>-1.3430264148578375</v>
      </c>
      <c r="U51" s="16">
        <v>4</v>
      </c>
      <c r="V51" s="16">
        <v>8</v>
      </c>
      <c r="W51" s="16">
        <v>11</v>
      </c>
      <c r="X51" s="16">
        <v>12</v>
      </c>
      <c r="Y51" s="15">
        <v>0.432</v>
      </c>
      <c r="Z51" s="15">
        <v>0.56799999999999995</v>
      </c>
      <c r="AA51" s="15">
        <v>0.72399999999999998</v>
      </c>
      <c r="AB51" s="15">
        <v>0.81799999999999995</v>
      </c>
      <c r="AC51" s="3">
        <f t="shared" si="9"/>
        <v>-0.15806738547151727</v>
      </c>
      <c r="AD51" s="3">
        <f t="shared" si="10"/>
        <v>-8.3059252570466691E-3</v>
      </c>
      <c r="AE51" s="3">
        <f t="shared" si="11"/>
        <v>0.36781708565219057</v>
      </c>
      <c r="AF51" s="3">
        <f t="shared" si="12"/>
        <v>0.33947742286749588</v>
      </c>
    </row>
    <row r="52" spans="1:32" x14ac:dyDescent="0.2">
      <c r="A52" s="30">
        <v>50</v>
      </c>
      <c r="B52" s="9" t="s">
        <v>936</v>
      </c>
      <c r="C52" s="12">
        <v>29771</v>
      </c>
      <c r="D52" s="13" t="s">
        <v>51</v>
      </c>
      <c r="E52" s="17">
        <v>8.6344327959400005</v>
      </c>
      <c r="F52" s="17">
        <v>54.442311568800001</v>
      </c>
      <c r="G52" s="14">
        <v>5871</v>
      </c>
      <c r="H52" s="17">
        <v>9.8800000000000008</v>
      </c>
      <c r="I52" s="17">
        <v>9.93</v>
      </c>
      <c r="J52" s="17">
        <v>11.44</v>
      </c>
      <c r="K52" s="17">
        <v>13.36</v>
      </c>
      <c r="L52" s="17">
        <v>14.48</v>
      </c>
      <c r="M52" s="17">
        <f t="shared" si="4"/>
        <v>4.9999999999998934E-2</v>
      </c>
      <c r="N52" s="17">
        <f t="shared" si="5"/>
        <v>1.5599999999999987</v>
      </c>
      <c r="O52" s="17">
        <f t="shared" si="6"/>
        <v>3.4799999999999986</v>
      </c>
      <c r="P52" s="17">
        <f t="shared" si="7"/>
        <v>4.5999999999999996</v>
      </c>
      <c r="Q52" s="17">
        <f t="shared" si="8"/>
        <v>-0.98824755390777663</v>
      </c>
      <c r="R52" s="17">
        <f t="shared" si="0"/>
        <v>-0.76771886063947481</v>
      </c>
      <c r="S52" s="17">
        <f t="shared" si="1"/>
        <v>6.9559595367481633E-4</v>
      </c>
      <c r="T52" s="17">
        <f t="shared" si="2"/>
        <v>-0.13853794450270501</v>
      </c>
      <c r="U52" s="16">
        <v>204</v>
      </c>
      <c r="V52" s="16">
        <v>424</v>
      </c>
      <c r="W52" s="16">
        <v>431</v>
      </c>
      <c r="X52" s="16">
        <v>622</v>
      </c>
      <c r="Y52" s="15">
        <v>0.48949999999999999</v>
      </c>
      <c r="Z52" s="15">
        <v>0.61899999999999999</v>
      </c>
      <c r="AA52" s="15">
        <v>0.71099999999999997</v>
      </c>
      <c r="AB52" s="15">
        <v>0.82750000000000001</v>
      </c>
      <c r="AC52" s="3">
        <f t="shared" si="9"/>
        <v>0.37327149161026318</v>
      </c>
      <c r="AD52" s="3">
        <f t="shared" si="10"/>
        <v>0.44933821732436585</v>
      </c>
      <c r="AE52" s="3">
        <f t="shared" si="11"/>
        <v>0.26078486086437885</v>
      </c>
      <c r="AF52" s="3">
        <f t="shared" si="12"/>
        <v>0.4175156859149935</v>
      </c>
    </row>
    <row r="53" spans="1:32" x14ac:dyDescent="0.2">
      <c r="A53" s="30">
        <v>51</v>
      </c>
      <c r="B53" s="9" t="s">
        <v>937</v>
      </c>
      <c r="C53" s="12">
        <v>29806</v>
      </c>
      <c r="D53" s="13" t="s">
        <v>52</v>
      </c>
      <c r="E53" s="17">
        <v>-15.043272577</v>
      </c>
      <c r="F53" s="17">
        <v>11.695698562900001</v>
      </c>
      <c r="G53" s="14">
        <v>92</v>
      </c>
      <c r="H53" s="17">
        <v>26.5</v>
      </c>
      <c r="I53" s="17">
        <v>27.81</v>
      </c>
      <c r="J53" s="17">
        <v>29.02</v>
      </c>
      <c r="K53" s="17">
        <v>29.8</v>
      </c>
      <c r="L53" s="17">
        <v>30.64</v>
      </c>
      <c r="M53" s="17">
        <f t="shared" si="4"/>
        <v>1.3099999999999987</v>
      </c>
      <c r="N53" s="17">
        <f t="shared" si="5"/>
        <v>2.5199999999999996</v>
      </c>
      <c r="O53" s="17">
        <f t="shared" si="6"/>
        <v>3.3000000000000007</v>
      </c>
      <c r="P53" s="17">
        <f t="shared" si="7"/>
        <v>4.1400000000000006</v>
      </c>
      <c r="Q53" s="17">
        <f t="shared" si="8"/>
        <v>0.54689806511803207</v>
      </c>
      <c r="R53" s="17">
        <f t="shared" si="0"/>
        <v>0.58382608569130989</v>
      </c>
      <c r="S53" s="17">
        <f t="shared" si="1"/>
        <v>-0.20833019310119952</v>
      </c>
      <c r="T53" s="17">
        <f t="shared" si="2"/>
        <v>-0.60413852968199921</v>
      </c>
      <c r="U53" s="16">
        <v>0</v>
      </c>
      <c r="V53" s="16">
        <v>0</v>
      </c>
      <c r="W53" s="16">
        <v>0</v>
      </c>
      <c r="X53" s="16">
        <v>0</v>
      </c>
      <c r="Y53" s="15">
        <v>0.442</v>
      </c>
      <c r="Z53" s="15">
        <v>0.56599999999999995</v>
      </c>
      <c r="AA53" s="15">
        <v>0.67700000000000005</v>
      </c>
      <c r="AB53" s="15">
        <v>0.76800000000000002</v>
      </c>
      <c r="AC53" s="3">
        <f t="shared" si="9"/>
        <v>-6.5660624239903195E-2</v>
      </c>
      <c r="AD53" s="3">
        <f t="shared" si="10"/>
        <v>-2.6252754377886375E-2</v>
      </c>
      <c r="AE53" s="3">
        <f t="shared" si="11"/>
        <v>-1.914557319605089E-2</v>
      </c>
      <c r="AF53" s="3">
        <f t="shared" si="12"/>
        <v>-7.1250277382488056E-2</v>
      </c>
    </row>
    <row r="54" spans="1:32" x14ac:dyDescent="0.2">
      <c r="A54" s="30">
        <v>52</v>
      </c>
      <c r="B54" s="9" t="s">
        <v>774</v>
      </c>
      <c r="C54" s="12">
        <v>29808</v>
      </c>
      <c r="D54" s="13" t="s">
        <v>53</v>
      </c>
      <c r="E54" s="17">
        <v>-79.717917225500003</v>
      </c>
      <c r="F54" s="17">
        <v>-2.4600358905499999</v>
      </c>
      <c r="G54" s="14">
        <v>169</v>
      </c>
      <c r="H54" s="17">
        <v>24.11</v>
      </c>
      <c r="I54" s="17">
        <v>24.99</v>
      </c>
      <c r="J54" s="17">
        <v>26.13</v>
      </c>
      <c r="K54" s="17">
        <v>27.39</v>
      </c>
      <c r="L54" s="17">
        <v>28.44</v>
      </c>
      <c r="M54" s="17">
        <f t="shared" si="4"/>
        <v>0.87999999999999901</v>
      </c>
      <c r="N54" s="17">
        <f t="shared" si="5"/>
        <v>2.0199999999999996</v>
      </c>
      <c r="O54" s="17">
        <f t="shared" si="6"/>
        <v>3.2800000000000011</v>
      </c>
      <c r="P54" s="17">
        <f t="shared" si="7"/>
        <v>4.3300000000000018</v>
      </c>
      <c r="Q54" s="17">
        <f t="shared" si="8"/>
        <v>2.299916338700236E-2</v>
      </c>
      <c r="R54" s="17">
        <f t="shared" si="0"/>
        <v>-0.12010357385597319</v>
      </c>
      <c r="S54" s="17">
        <f t="shared" si="1"/>
        <v>-0.23155528077396312</v>
      </c>
      <c r="T54" s="17">
        <f t="shared" si="2"/>
        <v>-0.41182524449924557</v>
      </c>
      <c r="U54" s="16">
        <v>1</v>
      </c>
      <c r="V54" s="16">
        <v>1</v>
      </c>
      <c r="W54" s="16">
        <v>2</v>
      </c>
      <c r="X54" s="16">
        <v>5</v>
      </c>
      <c r="Y54" s="15">
        <v>0.376</v>
      </c>
      <c r="Z54" s="15">
        <v>0.48199999999999998</v>
      </c>
      <c r="AA54" s="15">
        <v>0.622</v>
      </c>
      <c r="AB54" s="15">
        <v>0.69499999999999995</v>
      </c>
      <c r="AC54" s="3">
        <f t="shared" si="9"/>
        <v>-0.67554524836855567</v>
      </c>
      <c r="AD54" s="3">
        <f t="shared" si="10"/>
        <v>-0.78001957745315309</v>
      </c>
      <c r="AE54" s="3">
        <f t="shared" si="11"/>
        <v>-0.47197421652910043</v>
      </c>
      <c r="AF54" s="3">
        <f t="shared" si="12"/>
        <v>-0.67091271974746602</v>
      </c>
    </row>
    <row r="55" spans="1:32" x14ac:dyDescent="0.2">
      <c r="A55" s="30">
        <v>53</v>
      </c>
      <c r="B55" s="9" t="s">
        <v>775</v>
      </c>
      <c r="C55" s="12">
        <v>29809</v>
      </c>
      <c r="D55" s="13" t="s">
        <v>54</v>
      </c>
      <c r="E55" s="17">
        <v>-81.131016556999995</v>
      </c>
      <c r="F55" s="17">
        <v>7.7721262771499999</v>
      </c>
      <c r="G55" s="14">
        <v>300</v>
      </c>
      <c r="H55" s="17">
        <v>25.75</v>
      </c>
      <c r="I55" s="17">
        <v>26.48</v>
      </c>
      <c r="J55" s="17">
        <v>27.96</v>
      </c>
      <c r="K55" s="17">
        <v>29.47</v>
      </c>
      <c r="L55" s="17">
        <v>30.56</v>
      </c>
      <c r="M55" s="17">
        <f t="shared" si="4"/>
        <v>0.73000000000000043</v>
      </c>
      <c r="N55" s="17">
        <f t="shared" si="5"/>
        <v>2.2100000000000009</v>
      </c>
      <c r="O55" s="17">
        <f t="shared" si="6"/>
        <v>3.7199999999999989</v>
      </c>
      <c r="P55" s="17">
        <f t="shared" si="7"/>
        <v>4.8099999999999987</v>
      </c>
      <c r="Q55" s="17">
        <f t="shared" si="8"/>
        <v>-0.15975626744940172</v>
      </c>
      <c r="R55" s="17">
        <f t="shared" si="0"/>
        <v>0.14738969677199618</v>
      </c>
      <c r="S55" s="17">
        <f t="shared" si="1"/>
        <v>0.27939664802684405</v>
      </c>
      <c r="T55" s="17">
        <f t="shared" si="2"/>
        <v>7.4018844383493973E-2</v>
      </c>
      <c r="U55" s="16">
        <v>1</v>
      </c>
      <c r="V55" s="16">
        <v>3</v>
      </c>
      <c r="W55" s="16">
        <v>3</v>
      </c>
      <c r="X55" s="16">
        <v>3</v>
      </c>
      <c r="Y55" s="15">
        <v>0.45600000000000002</v>
      </c>
      <c r="Z55" s="15">
        <v>0.56200000000000006</v>
      </c>
      <c r="AA55" s="15">
        <v>0.69199999999999995</v>
      </c>
      <c r="AB55" s="15">
        <v>0.77</v>
      </c>
      <c r="AC55" s="3">
        <f t="shared" si="9"/>
        <v>6.3708841484356515E-2</v>
      </c>
      <c r="AD55" s="3">
        <f t="shared" si="10"/>
        <v>-6.2146412619564793E-2</v>
      </c>
      <c r="AE55" s="3">
        <f t="shared" si="11"/>
        <v>0.10435314771296171</v>
      </c>
      <c r="AF55" s="3">
        <f t="shared" si="12"/>
        <v>-5.4821169372488661E-2</v>
      </c>
    </row>
    <row r="56" spans="1:32" x14ac:dyDescent="0.2">
      <c r="A56" s="30">
        <v>54</v>
      </c>
      <c r="B56" s="9" t="s">
        <v>1408</v>
      </c>
      <c r="C56" s="12">
        <v>61409</v>
      </c>
      <c r="D56" s="13" t="s">
        <v>55</v>
      </c>
      <c r="E56" s="17">
        <v>-113.617197965</v>
      </c>
      <c r="F56" s="17">
        <v>27.443697147999998</v>
      </c>
      <c r="G56" s="14">
        <v>7522</v>
      </c>
      <c r="H56" s="17">
        <v>20.72</v>
      </c>
      <c r="I56" s="17">
        <v>22.75</v>
      </c>
      <c r="J56" s="17">
        <v>23.53</v>
      </c>
      <c r="K56" s="17">
        <v>24.89</v>
      </c>
      <c r="L56" s="17">
        <v>25.48</v>
      </c>
      <c r="M56" s="17">
        <f t="shared" si="4"/>
        <v>2.0300000000000011</v>
      </c>
      <c r="N56" s="17">
        <f t="shared" si="5"/>
        <v>2.8100000000000023</v>
      </c>
      <c r="O56" s="17">
        <f t="shared" si="6"/>
        <v>4.1700000000000017</v>
      </c>
      <c r="P56" s="17">
        <f t="shared" si="7"/>
        <v>4.7600000000000016</v>
      </c>
      <c r="Q56" s="17">
        <f t="shared" si="8"/>
        <v>1.424124133132783</v>
      </c>
      <c r="R56" s="17">
        <f t="shared" si="0"/>
        <v>0.99210528822873789</v>
      </c>
      <c r="S56" s="17">
        <f t="shared" si="1"/>
        <v>0.80196112066403924</v>
      </c>
      <c r="T56" s="17">
        <f t="shared" si="2"/>
        <v>2.3410085124877817E-2</v>
      </c>
      <c r="U56" s="16">
        <v>350</v>
      </c>
      <c r="V56" s="16">
        <v>415</v>
      </c>
      <c r="W56" s="16">
        <v>473</v>
      </c>
      <c r="X56" s="16">
        <v>533</v>
      </c>
      <c r="Y56" s="15">
        <v>0.52700000000000002</v>
      </c>
      <c r="Z56" s="15">
        <v>0.63200000000000001</v>
      </c>
      <c r="AA56" s="15">
        <v>0.74399999999999999</v>
      </c>
      <c r="AB56" s="15">
        <v>0.83</v>
      </c>
      <c r="AC56" s="3">
        <f t="shared" si="9"/>
        <v>0.71979684622881601</v>
      </c>
      <c r="AD56" s="3">
        <f t="shared" si="10"/>
        <v>0.56599260660982398</v>
      </c>
      <c r="AE56" s="3">
        <f t="shared" si="11"/>
        <v>0.53248204686420852</v>
      </c>
      <c r="AF56" s="3">
        <f t="shared" si="12"/>
        <v>0.43805207092749227</v>
      </c>
    </row>
    <row r="57" spans="1:32" x14ac:dyDescent="0.2">
      <c r="A57" s="30">
        <v>55</v>
      </c>
      <c r="B57" s="9" t="s">
        <v>1409</v>
      </c>
      <c r="C57" s="12">
        <v>61611</v>
      </c>
      <c r="D57" s="13" t="s">
        <v>56</v>
      </c>
      <c r="E57" s="17">
        <v>-6.4046125946199997</v>
      </c>
      <c r="F57" s="17">
        <v>36.989426075600001</v>
      </c>
      <c r="G57" s="14">
        <v>362</v>
      </c>
      <c r="H57" s="17">
        <v>18.170000000000002</v>
      </c>
      <c r="I57" s="17">
        <v>18.36</v>
      </c>
      <c r="J57" s="17">
        <v>19.75</v>
      </c>
      <c r="K57" s="17">
        <v>20.9</v>
      </c>
      <c r="L57" s="17">
        <v>22.03</v>
      </c>
      <c r="M57" s="17">
        <f t="shared" si="4"/>
        <v>0.18999999999999773</v>
      </c>
      <c r="N57" s="17">
        <f t="shared" si="5"/>
        <v>1.5799999999999983</v>
      </c>
      <c r="O57" s="17">
        <f t="shared" si="6"/>
        <v>2.7299999999999969</v>
      </c>
      <c r="P57" s="17">
        <f t="shared" si="7"/>
        <v>3.8599999999999994</v>
      </c>
      <c r="Q57" s="17">
        <f t="shared" si="8"/>
        <v>-0.817675818460466</v>
      </c>
      <c r="R57" s="17">
        <f t="shared" si="0"/>
        <v>-0.73956167425758401</v>
      </c>
      <c r="S57" s="17">
        <f t="shared" si="1"/>
        <v>-0.87024519177498028</v>
      </c>
      <c r="T57" s="17">
        <f t="shared" si="2"/>
        <v>-0.88754758153026692</v>
      </c>
      <c r="U57" s="16">
        <v>29</v>
      </c>
      <c r="V57" s="16">
        <v>40</v>
      </c>
      <c r="W57" s="16">
        <v>85</v>
      </c>
      <c r="X57" s="16">
        <v>169</v>
      </c>
      <c r="Y57" s="15">
        <v>0.51124999999999998</v>
      </c>
      <c r="Z57" s="15">
        <v>0.63049999999999995</v>
      </c>
      <c r="AA57" s="15">
        <v>0.74224999999999997</v>
      </c>
      <c r="AB57" s="15">
        <v>0.83574999999999999</v>
      </c>
      <c r="AC57" s="3">
        <f t="shared" si="9"/>
        <v>0.57425619728902355</v>
      </c>
      <c r="AD57" s="3">
        <f t="shared" si="10"/>
        <v>0.5525324847691937</v>
      </c>
      <c r="AE57" s="3">
        <f t="shared" si="11"/>
        <v>0.51807386275815681</v>
      </c>
      <c r="AF57" s="3">
        <f t="shared" si="12"/>
        <v>0.48528575645624078</v>
      </c>
    </row>
    <row r="58" spans="1:32" x14ac:dyDescent="0.2">
      <c r="A58" s="30">
        <v>56</v>
      </c>
      <c r="B58" s="9" t="s">
        <v>1278</v>
      </c>
      <c r="C58" s="12">
        <v>67724</v>
      </c>
      <c r="D58" s="13" t="s">
        <v>57</v>
      </c>
      <c r="E58" s="17">
        <v>113.604548006</v>
      </c>
      <c r="F58" s="17">
        <v>-25.928991265200001</v>
      </c>
      <c r="G58" s="14">
        <v>18765</v>
      </c>
      <c r="H58" s="17">
        <v>22.92</v>
      </c>
      <c r="I58" s="17">
        <v>24.91</v>
      </c>
      <c r="J58" s="17">
        <v>25.19</v>
      </c>
      <c r="K58" s="17">
        <v>26.44</v>
      </c>
      <c r="L58" s="17">
        <v>27.41</v>
      </c>
      <c r="M58" s="17">
        <f t="shared" si="4"/>
        <v>1.9899999999999984</v>
      </c>
      <c r="N58" s="17">
        <f t="shared" si="5"/>
        <v>2.2699999999999996</v>
      </c>
      <c r="O58" s="17">
        <f t="shared" si="6"/>
        <v>3.5199999999999996</v>
      </c>
      <c r="P58" s="17">
        <f t="shared" si="7"/>
        <v>4.4899999999999984</v>
      </c>
      <c r="Q58" s="17">
        <f t="shared" si="8"/>
        <v>1.3753893515764049</v>
      </c>
      <c r="R58" s="17">
        <f t="shared" si="0"/>
        <v>0.23186125591766835</v>
      </c>
      <c r="S58" s="17">
        <f t="shared" si="1"/>
        <v>4.7145771299204053E-2</v>
      </c>
      <c r="T58" s="17">
        <f t="shared" si="2"/>
        <v>-0.24987721487166811</v>
      </c>
      <c r="U58" s="16">
        <v>98</v>
      </c>
      <c r="V58" s="16">
        <v>137</v>
      </c>
      <c r="W58" s="16">
        <v>146</v>
      </c>
      <c r="X58" s="16">
        <v>178</v>
      </c>
      <c r="Y58" s="15">
        <v>0.47599999999999998</v>
      </c>
      <c r="Z58" s="15">
        <v>0.57499999999999996</v>
      </c>
      <c r="AA58" s="15">
        <v>0.68200000000000005</v>
      </c>
      <c r="AB58" s="15">
        <v>0.77600000000000002</v>
      </c>
      <c r="AC58" s="3">
        <f t="shared" si="9"/>
        <v>0.24852236394758417</v>
      </c>
      <c r="AD58" s="3">
        <f t="shared" si="10"/>
        <v>5.4507976665892306E-2</v>
      </c>
      <c r="AE58" s="3">
        <f t="shared" si="11"/>
        <v>2.2020667106953617E-2</v>
      </c>
      <c r="AF58" s="3">
        <f t="shared" si="12"/>
        <v>-5.5338453424904786E-3</v>
      </c>
    </row>
    <row r="59" spans="1:32" x14ac:dyDescent="0.2">
      <c r="A59" s="30">
        <v>57</v>
      </c>
      <c r="B59" s="9" t="s">
        <v>1279</v>
      </c>
      <c r="C59" s="12">
        <v>67725</v>
      </c>
      <c r="D59" s="13" t="s">
        <v>58</v>
      </c>
      <c r="E59" s="17">
        <v>119.563357166</v>
      </c>
      <c r="F59" s="17">
        <v>-8.6340844984</v>
      </c>
      <c r="G59" s="14">
        <v>1622</v>
      </c>
      <c r="H59" s="17">
        <v>26.23</v>
      </c>
      <c r="I59" s="17">
        <v>27.16</v>
      </c>
      <c r="J59" s="17">
        <v>28.77</v>
      </c>
      <c r="K59" s="17">
        <v>29.84</v>
      </c>
      <c r="L59" s="17">
        <v>31.23</v>
      </c>
      <c r="M59" s="17">
        <f t="shared" si="4"/>
        <v>0.92999999999999972</v>
      </c>
      <c r="N59" s="17">
        <f t="shared" si="5"/>
        <v>2.5399999999999991</v>
      </c>
      <c r="O59" s="17">
        <f t="shared" si="6"/>
        <v>3.6099999999999994</v>
      </c>
      <c r="P59" s="17">
        <f t="shared" si="7"/>
        <v>5</v>
      </c>
      <c r="Q59" s="17">
        <f t="shared" si="8"/>
        <v>8.391764033247183E-2</v>
      </c>
      <c r="R59" s="17">
        <f t="shared" si="0"/>
        <v>0.61198327207320058</v>
      </c>
      <c r="S59" s="17">
        <f t="shared" si="1"/>
        <v>0.15165866582664225</v>
      </c>
      <c r="T59" s="17">
        <f t="shared" si="2"/>
        <v>0.26633212956624758</v>
      </c>
      <c r="U59" s="16">
        <v>8</v>
      </c>
      <c r="V59" s="16">
        <v>8</v>
      </c>
      <c r="W59" s="16">
        <v>8</v>
      </c>
      <c r="X59" s="16">
        <v>10</v>
      </c>
      <c r="Y59" s="15">
        <v>0.47399999999999998</v>
      </c>
      <c r="Z59" s="15">
        <v>0.58599999999999997</v>
      </c>
      <c r="AA59" s="15">
        <v>0.70199999999999996</v>
      </c>
      <c r="AB59" s="15">
        <v>0.80600000000000005</v>
      </c>
      <c r="AC59" s="3">
        <f t="shared" si="9"/>
        <v>0.23004101170126137</v>
      </c>
      <c r="AD59" s="3">
        <f t="shared" si="10"/>
        <v>0.1532155368305107</v>
      </c>
      <c r="AE59" s="3">
        <f t="shared" si="11"/>
        <v>0.18668562831897073</v>
      </c>
      <c r="AF59" s="3">
        <f t="shared" si="12"/>
        <v>0.24090277480750044</v>
      </c>
    </row>
    <row r="60" spans="1:32" x14ac:dyDescent="0.2">
      <c r="A60" s="30">
        <v>58</v>
      </c>
      <c r="B60" s="9" t="s">
        <v>1280</v>
      </c>
      <c r="C60" s="12">
        <v>67726</v>
      </c>
      <c r="D60" s="13" t="s">
        <v>59</v>
      </c>
      <c r="E60" s="17">
        <v>105.341536002</v>
      </c>
      <c r="F60" s="17">
        <v>-6.6672735527300002</v>
      </c>
      <c r="G60" s="14">
        <v>698</v>
      </c>
      <c r="H60" s="17">
        <v>25.62</v>
      </c>
      <c r="I60" s="17">
        <v>26.39</v>
      </c>
      <c r="J60" s="17">
        <v>28.27</v>
      </c>
      <c r="K60" s="17">
        <v>28.68</v>
      </c>
      <c r="L60" s="17">
        <v>29.43</v>
      </c>
      <c r="M60" s="17">
        <f t="shared" si="4"/>
        <v>0.76999999999999957</v>
      </c>
      <c r="N60" s="17">
        <f t="shared" si="5"/>
        <v>2.6499999999999986</v>
      </c>
      <c r="O60" s="17">
        <f t="shared" si="6"/>
        <v>3.0599999999999987</v>
      </c>
      <c r="P60" s="17">
        <f t="shared" si="7"/>
        <v>3.8099999999999987</v>
      </c>
      <c r="Q60" s="17">
        <f t="shared" si="8"/>
        <v>-0.11102148589302789</v>
      </c>
      <c r="R60" s="17">
        <f t="shared" si="0"/>
        <v>0.76684779717360207</v>
      </c>
      <c r="S60" s="17">
        <f t="shared" si="1"/>
        <v>-0.48703124517437085</v>
      </c>
      <c r="T60" s="17">
        <f t="shared" si="2"/>
        <v>-0.93815634078888666</v>
      </c>
      <c r="U60" s="16">
        <v>1</v>
      </c>
      <c r="V60" s="16">
        <v>2</v>
      </c>
      <c r="W60" s="16">
        <v>2</v>
      </c>
      <c r="X60" s="16">
        <v>2</v>
      </c>
      <c r="Y60" s="15">
        <v>0.47199999999999998</v>
      </c>
      <c r="Z60" s="15">
        <v>0.57999999999999996</v>
      </c>
      <c r="AA60" s="15">
        <v>0.69</v>
      </c>
      <c r="AB60" s="15">
        <v>0.8</v>
      </c>
      <c r="AC60" s="3">
        <f t="shared" si="9"/>
        <v>0.21155965945493854</v>
      </c>
      <c r="AD60" s="3">
        <f t="shared" si="10"/>
        <v>9.9375049467991569E-2</v>
      </c>
      <c r="AE60" s="3">
        <f t="shared" si="11"/>
        <v>8.7886651591759915E-2</v>
      </c>
      <c r="AF60" s="3">
        <f t="shared" si="12"/>
        <v>0.19161545077750225</v>
      </c>
    </row>
    <row r="61" spans="1:32" x14ac:dyDescent="0.2">
      <c r="A61" s="30">
        <v>59</v>
      </c>
      <c r="B61" s="9" t="s">
        <v>1281</v>
      </c>
      <c r="C61" s="12">
        <v>67730</v>
      </c>
      <c r="D61" s="13" t="s">
        <v>60</v>
      </c>
      <c r="E61" s="17">
        <v>153.14140632199999</v>
      </c>
      <c r="F61" s="17">
        <v>-25.2598176017</v>
      </c>
      <c r="G61" s="14">
        <v>484</v>
      </c>
      <c r="H61" s="17">
        <v>20.85</v>
      </c>
      <c r="I61" s="17">
        <v>22.18</v>
      </c>
      <c r="J61" s="17">
        <v>23</v>
      </c>
      <c r="K61" s="17">
        <v>25.16</v>
      </c>
      <c r="L61" s="17">
        <v>25.92</v>
      </c>
      <c r="M61" s="17">
        <f t="shared" si="4"/>
        <v>1.3299999999999983</v>
      </c>
      <c r="N61" s="17">
        <f t="shared" si="5"/>
        <v>2.1499999999999986</v>
      </c>
      <c r="O61" s="17">
        <f t="shared" si="6"/>
        <v>4.3099999999999987</v>
      </c>
      <c r="P61" s="17">
        <f t="shared" si="7"/>
        <v>5.07</v>
      </c>
      <c r="Q61" s="17">
        <f t="shared" si="8"/>
        <v>0.57126545589621891</v>
      </c>
      <c r="R61" s="17">
        <f t="shared" si="0"/>
        <v>6.291813762631901E-2</v>
      </c>
      <c r="S61" s="17">
        <f t="shared" si="1"/>
        <v>0.96453673437338427</v>
      </c>
      <c r="T61" s="17">
        <f t="shared" si="2"/>
        <v>0.3371843925283145</v>
      </c>
      <c r="U61" s="16">
        <v>11</v>
      </c>
      <c r="V61" s="16">
        <v>16</v>
      </c>
      <c r="W61" s="16">
        <v>17</v>
      </c>
      <c r="X61" s="16">
        <v>19</v>
      </c>
      <c r="Y61" s="15">
        <v>0.4405</v>
      </c>
      <c r="Z61" s="15">
        <v>0.56100000000000005</v>
      </c>
      <c r="AA61" s="15">
        <v>0.70599999999999996</v>
      </c>
      <c r="AB61" s="15">
        <v>0.80200000000000005</v>
      </c>
      <c r="AC61" s="3">
        <f t="shared" si="9"/>
        <v>-7.9521638424645311E-2</v>
      </c>
      <c r="AD61" s="3">
        <f t="shared" si="10"/>
        <v>-7.1119827179984649E-2</v>
      </c>
      <c r="AE61" s="3">
        <f t="shared" si="11"/>
        <v>0.21961862056137432</v>
      </c>
      <c r="AF61" s="3">
        <f t="shared" si="12"/>
        <v>0.20804455878750167</v>
      </c>
    </row>
    <row r="62" spans="1:32" x14ac:dyDescent="0.2">
      <c r="A62" s="30">
        <v>60</v>
      </c>
      <c r="B62" s="9" t="s">
        <v>1282</v>
      </c>
      <c r="C62" s="12">
        <v>67737</v>
      </c>
      <c r="D62" s="13" t="s">
        <v>61</v>
      </c>
      <c r="E62" s="17">
        <v>120.5140586</v>
      </c>
      <c r="F62" s="17">
        <v>33.482052595100001</v>
      </c>
      <c r="G62" s="14">
        <v>1895</v>
      </c>
      <c r="H62" s="17">
        <v>12.21</v>
      </c>
      <c r="I62" s="17">
        <v>15.34</v>
      </c>
      <c r="J62" s="17">
        <v>15.71</v>
      </c>
      <c r="K62" s="17">
        <v>17.57</v>
      </c>
      <c r="L62" s="17">
        <v>19.97</v>
      </c>
      <c r="M62" s="17">
        <f t="shared" si="4"/>
        <v>3.129999999999999</v>
      </c>
      <c r="N62" s="17">
        <f t="shared" si="5"/>
        <v>3.5</v>
      </c>
      <c r="O62" s="17">
        <f t="shared" si="6"/>
        <v>5.3599999999999994</v>
      </c>
      <c r="P62" s="17">
        <f t="shared" si="7"/>
        <v>7.759999999999998</v>
      </c>
      <c r="Q62" s="17">
        <f t="shared" si="8"/>
        <v>2.76433062593309</v>
      </c>
      <c r="R62" s="17">
        <f t="shared" si="0"/>
        <v>1.9635282184039853</v>
      </c>
      <c r="S62" s="17">
        <f t="shared" si="1"/>
        <v>2.1838538371934995</v>
      </c>
      <c r="T62" s="17">
        <f t="shared" si="2"/>
        <v>3.0599356406420162</v>
      </c>
      <c r="U62" s="16">
        <v>41</v>
      </c>
      <c r="V62" s="16">
        <v>58</v>
      </c>
      <c r="W62" s="16">
        <v>73</v>
      </c>
      <c r="X62" s="16">
        <v>87</v>
      </c>
      <c r="Y62" s="15">
        <v>0.42599999999999999</v>
      </c>
      <c r="Z62" s="15">
        <v>0.54800000000000004</v>
      </c>
      <c r="AA62" s="15">
        <v>0.69599999999999995</v>
      </c>
      <c r="AB62" s="15">
        <v>0.81</v>
      </c>
      <c r="AC62" s="3">
        <f t="shared" si="9"/>
        <v>-0.21351144221048574</v>
      </c>
      <c r="AD62" s="3">
        <f t="shared" si="10"/>
        <v>-0.18777421646544273</v>
      </c>
      <c r="AE62" s="3">
        <f t="shared" si="11"/>
        <v>0.13728613995536532</v>
      </c>
      <c r="AF62" s="3">
        <f t="shared" si="12"/>
        <v>0.27376099082749922</v>
      </c>
    </row>
    <row r="63" spans="1:32" x14ac:dyDescent="0.2">
      <c r="A63" s="30">
        <v>61</v>
      </c>
      <c r="B63" s="9" t="s">
        <v>938</v>
      </c>
      <c r="C63" s="12">
        <v>67742</v>
      </c>
      <c r="D63" s="13" t="s">
        <v>62</v>
      </c>
      <c r="E63" s="17">
        <v>8.4537738709599992</v>
      </c>
      <c r="F63" s="17">
        <v>53.929831216899998</v>
      </c>
      <c r="G63" s="14">
        <v>370</v>
      </c>
      <c r="H63" s="17">
        <v>10.19</v>
      </c>
      <c r="I63" s="17">
        <v>10.17</v>
      </c>
      <c r="J63" s="17">
        <v>11.66</v>
      </c>
      <c r="K63" s="17">
        <v>13.51</v>
      </c>
      <c r="L63" s="17">
        <v>14.73</v>
      </c>
      <c r="M63" s="17">
        <f t="shared" si="4"/>
        <v>-1.9999999999999574E-2</v>
      </c>
      <c r="N63" s="17">
        <f t="shared" si="5"/>
        <v>1.4700000000000006</v>
      </c>
      <c r="O63" s="17">
        <f t="shared" si="6"/>
        <v>3.3200000000000003</v>
      </c>
      <c r="P63" s="17">
        <f t="shared" si="7"/>
        <v>4.5400000000000009</v>
      </c>
      <c r="Q63" s="17">
        <f t="shared" si="8"/>
        <v>-1.0735334216314307</v>
      </c>
      <c r="R63" s="17">
        <f t="shared" si="0"/>
        <v>-0.89442619935798306</v>
      </c>
      <c r="S63" s="17">
        <f t="shared" si="1"/>
        <v>-0.18510510542843595</v>
      </c>
      <c r="T63" s="17">
        <f t="shared" si="2"/>
        <v>-0.19926845561304657</v>
      </c>
      <c r="U63" s="16">
        <v>6</v>
      </c>
      <c r="V63" s="16">
        <v>28</v>
      </c>
      <c r="W63" s="16">
        <v>28</v>
      </c>
      <c r="X63" s="16">
        <v>40</v>
      </c>
      <c r="Y63" s="15">
        <v>0.47599999999999998</v>
      </c>
      <c r="Z63" s="15">
        <v>0.60599999999999998</v>
      </c>
      <c r="AA63" s="15">
        <v>0.69599999999999995</v>
      </c>
      <c r="AB63" s="15">
        <v>0.81200000000000006</v>
      </c>
      <c r="AC63" s="3">
        <f t="shared" si="9"/>
        <v>0.24852236394758417</v>
      </c>
      <c r="AD63" s="3">
        <f t="shared" si="10"/>
        <v>0.33268382803890773</v>
      </c>
      <c r="AE63" s="3">
        <f t="shared" si="11"/>
        <v>0.13728613995536532</v>
      </c>
      <c r="AF63" s="3">
        <f t="shared" si="12"/>
        <v>0.29019009883749863</v>
      </c>
    </row>
    <row r="64" spans="1:32" x14ac:dyDescent="0.2">
      <c r="A64" s="30">
        <v>62</v>
      </c>
      <c r="B64" s="9" t="s">
        <v>939</v>
      </c>
      <c r="C64" s="12">
        <v>67743</v>
      </c>
      <c r="D64" s="13" t="s">
        <v>63</v>
      </c>
      <c r="E64" s="17">
        <v>7.7552252737099998</v>
      </c>
      <c r="F64" s="17">
        <v>53.672766208699997</v>
      </c>
      <c r="G64" s="14">
        <v>4801</v>
      </c>
      <c r="H64" s="17">
        <v>10.24</v>
      </c>
      <c r="I64" s="17">
        <v>10.19</v>
      </c>
      <c r="J64" s="17">
        <v>11.62</v>
      </c>
      <c r="K64" s="17">
        <v>13.55</v>
      </c>
      <c r="L64" s="17">
        <v>14.84</v>
      </c>
      <c r="M64" s="17">
        <f t="shared" si="4"/>
        <v>-5.0000000000000711E-2</v>
      </c>
      <c r="N64" s="17">
        <f t="shared" si="5"/>
        <v>1.379999999999999</v>
      </c>
      <c r="O64" s="17">
        <f t="shared" si="6"/>
        <v>3.3100000000000005</v>
      </c>
      <c r="P64" s="17">
        <f t="shared" si="7"/>
        <v>4.5999999999999996</v>
      </c>
      <c r="Q64" s="17">
        <f t="shared" si="8"/>
        <v>-1.1100845077987134</v>
      </c>
      <c r="R64" s="17">
        <f t="shared" si="0"/>
        <v>-1.0211335380764963</v>
      </c>
      <c r="S64" s="17">
        <f t="shared" si="1"/>
        <v>-0.19671764926481775</v>
      </c>
      <c r="T64" s="17">
        <f t="shared" si="2"/>
        <v>-0.13853794450270501</v>
      </c>
      <c r="U64" s="16">
        <v>139</v>
      </c>
      <c r="V64" s="16">
        <v>309</v>
      </c>
      <c r="W64" s="16">
        <v>315</v>
      </c>
      <c r="X64" s="16">
        <v>497</v>
      </c>
      <c r="Y64" s="15">
        <v>0.47599999999999998</v>
      </c>
      <c r="Z64" s="15">
        <v>0.60599999999999998</v>
      </c>
      <c r="AA64" s="15">
        <v>0.69599999999999995</v>
      </c>
      <c r="AB64" s="15">
        <v>0.81200000000000006</v>
      </c>
      <c r="AC64" s="3">
        <f t="shared" si="9"/>
        <v>0.24852236394758417</v>
      </c>
      <c r="AD64" s="3">
        <f t="shared" si="10"/>
        <v>0.33268382803890773</v>
      </c>
      <c r="AE64" s="3">
        <f t="shared" si="11"/>
        <v>0.13728613995536532</v>
      </c>
      <c r="AF64" s="3">
        <f t="shared" si="12"/>
        <v>0.29019009883749863</v>
      </c>
    </row>
    <row r="65" spans="1:32" x14ac:dyDescent="0.2">
      <c r="A65" s="30">
        <v>63</v>
      </c>
      <c r="B65" s="9" t="s">
        <v>1283</v>
      </c>
      <c r="C65" s="12">
        <v>67762</v>
      </c>
      <c r="D65" s="13" t="s">
        <v>64</v>
      </c>
      <c r="E65" s="17">
        <v>132.22990807100001</v>
      </c>
      <c r="F65" s="17">
        <v>-11.3471876857</v>
      </c>
      <c r="G65" s="14">
        <v>629</v>
      </c>
      <c r="H65" s="17">
        <v>26.44</v>
      </c>
      <c r="I65" s="17">
        <v>27.01</v>
      </c>
      <c r="J65" s="17">
        <v>28.55</v>
      </c>
      <c r="K65" s="17">
        <v>29.66</v>
      </c>
      <c r="L65" s="17">
        <v>30.54</v>
      </c>
      <c r="M65" s="17">
        <f t="shared" si="4"/>
        <v>0.57000000000000028</v>
      </c>
      <c r="N65" s="17">
        <f t="shared" si="5"/>
        <v>2.1099999999999994</v>
      </c>
      <c r="O65" s="17">
        <f t="shared" si="6"/>
        <v>3.2199999999999989</v>
      </c>
      <c r="P65" s="17">
        <f t="shared" si="7"/>
        <v>4.0999999999999979</v>
      </c>
      <c r="Q65" s="17">
        <f t="shared" si="8"/>
        <v>-0.35469539367490144</v>
      </c>
      <c r="R65" s="17">
        <f t="shared" si="0"/>
        <v>6.603764862537569E-3</v>
      </c>
      <c r="S65" s="17">
        <f t="shared" si="1"/>
        <v>-0.301230543792258</v>
      </c>
      <c r="T65" s="17">
        <f t="shared" si="2"/>
        <v>-0.64462553708889714</v>
      </c>
      <c r="U65" s="16">
        <v>15</v>
      </c>
      <c r="V65" s="16">
        <v>25</v>
      </c>
      <c r="W65" s="16">
        <v>27</v>
      </c>
      <c r="X65" s="16">
        <v>31</v>
      </c>
      <c r="Y65" s="15">
        <v>0.47399999999999998</v>
      </c>
      <c r="Z65" s="15">
        <v>0.58399999999999996</v>
      </c>
      <c r="AA65" s="15">
        <v>0.69699999999999995</v>
      </c>
      <c r="AB65" s="15">
        <v>0.80500000000000005</v>
      </c>
      <c r="AC65" s="3">
        <f t="shared" si="9"/>
        <v>0.23004101170126137</v>
      </c>
      <c r="AD65" s="3">
        <f t="shared" si="10"/>
        <v>0.13526870770967098</v>
      </c>
      <c r="AE65" s="3">
        <f t="shared" si="11"/>
        <v>0.14551938801596623</v>
      </c>
      <c r="AF65" s="3">
        <f t="shared" si="12"/>
        <v>0.23268822080250073</v>
      </c>
    </row>
    <row r="66" spans="1:32" x14ac:dyDescent="0.2">
      <c r="A66" s="30">
        <v>64</v>
      </c>
      <c r="B66" s="9" t="s">
        <v>1284</v>
      </c>
      <c r="C66" s="12">
        <v>67764</v>
      </c>
      <c r="D66" s="13" t="s">
        <v>65</v>
      </c>
      <c r="E66" s="17">
        <v>148.18885952599999</v>
      </c>
      <c r="F66" s="17">
        <v>-42.036444176499998</v>
      </c>
      <c r="G66" s="14">
        <v>89</v>
      </c>
      <c r="H66" s="17">
        <v>10.53</v>
      </c>
      <c r="I66" s="17">
        <v>12.49</v>
      </c>
      <c r="J66" s="17">
        <v>13.9</v>
      </c>
      <c r="K66" s="17">
        <v>14.03</v>
      </c>
      <c r="L66" s="17">
        <v>15.1</v>
      </c>
      <c r="M66" s="17">
        <f t="shared" si="4"/>
        <v>1.9600000000000009</v>
      </c>
      <c r="N66" s="17">
        <f t="shared" si="5"/>
        <v>3.370000000000001</v>
      </c>
      <c r="O66" s="17">
        <f t="shared" si="6"/>
        <v>3.5</v>
      </c>
      <c r="P66" s="17">
        <f t="shared" si="7"/>
        <v>4.57</v>
      </c>
      <c r="Q66" s="17">
        <f t="shared" si="8"/>
        <v>1.3388382654091264</v>
      </c>
      <c r="R66" s="17">
        <f t="shared" si="0"/>
        <v>1.780506506921693</v>
      </c>
      <c r="S66" s="17">
        <f t="shared" si="1"/>
        <v>2.3920683626440467E-2</v>
      </c>
      <c r="T66" s="17">
        <f t="shared" si="2"/>
        <v>-0.16890320005787579</v>
      </c>
      <c r="U66" s="16">
        <v>1</v>
      </c>
      <c r="V66" s="16">
        <v>2</v>
      </c>
      <c r="W66" s="16">
        <v>2</v>
      </c>
      <c r="X66" s="16">
        <v>2</v>
      </c>
      <c r="Y66" s="15">
        <v>0.39600000000000002</v>
      </c>
      <c r="Z66" s="15">
        <v>0.53600000000000003</v>
      </c>
      <c r="AA66" s="15">
        <v>0.69299999999999995</v>
      </c>
      <c r="AB66" s="15">
        <v>0.79200000000000004</v>
      </c>
      <c r="AC66" s="3">
        <f t="shared" si="9"/>
        <v>-0.49073172590532749</v>
      </c>
      <c r="AD66" s="3">
        <f t="shared" si="10"/>
        <v>-0.29545519119048097</v>
      </c>
      <c r="AE66" s="3">
        <f t="shared" si="11"/>
        <v>0.11258639577356261</v>
      </c>
      <c r="AF66" s="3">
        <f t="shared" si="12"/>
        <v>0.12589901873750467</v>
      </c>
    </row>
    <row r="67" spans="1:32" x14ac:dyDescent="0.2">
      <c r="A67" s="30">
        <v>65</v>
      </c>
      <c r="B67" s="9" t="s">
        <v>1285</v>
      </c>
      <c r="C67" s="12">
        <v>67765</v>
      </c>
      <c r="D67" s="13" t="s">
        <v>66</v>
      </c>
      <c r="E67" s="17">
        <v>148.302058684</v>
      </c>
      <c r="F67" s="17">
        <v>-40.184834271100002</v>
      </c>
      <c r="G67" s="14">
        <v>19</v>
      </c>
      <c r="H67" s="17">
        <v>13.01</v>
      </c>
      <c r="I67" s="17">
        <v>14.8</v>
      </c>
      <c r="J67" s="17">
        <v>16.18</v>
      </c>
      <c r="K67" s="17">
        <v>16.329999999999998</v>
      </c>
      <c r="L67" s="17">
        <v>17.29</v>
      </c>
      <c r="M67" s="17">
        <f t="shared" si="4"/>
        <v>1.7900000000000009</v>
      </c>
      <c r="N67" s="17">
        <f t="shared" si="5"/>
        <v>3.17</v>
      </c>
      <c r="O67" s="17">
        <f t="shared" si="6"/>
        <v>3.3199999999999985</v>
      </c>
      <c r="P67" s="17">
        <f t="shared" si="7"/>
        <v>4.2799999999999994</v>
      </c>
      <c r="Q67" s="17">
        <f t="shared" si="8"/>
        <v>1.1317154437945334</v>
      </c>
      <c r="R67" s="17">
        <f t="shared" ref="R67:R130" si="13">(N67-N$764)/N$767</f>
        <v>1.4989346431027784</v>
      </c>
      <c r="S67" s="17">
        <f t="shared" ref="S67:S130" si="14">(O67-O$764)/O$767</f>
        <v>-0.185105105428438</v>
      </c>
      <c r="T67" s="17">
        <f t="shared" ref="T67:T130" si="15">(P67-P$764)/P$767</f>
        <v>-0.46243400375786714</v>
      </c>
      <c r="U67" s="16">
        <v>1</v>
      </c>
      <c r="V67" s="16">
        <v>1</v>
      </c>
      <c r="W67" s="16">
        <v>1</v>
      </c>
      <c r="X67" s="16">
        <v>1</v>
      </c>
      <c r="Y67" s="15">
        <v>0.38600000000000001</v>
      </c>
      <c r="Z67" s="15">
        <v>0.50800000000000001</v>
      </c>
      <c r="AA67" s="15">
        <v>0.64400000000000002</v>
      </c>
      <c r="AB67" s="15">
        <v>0.73499999999999999</v>
      </c>
      <c r="AC67" s="3">
        <f t="shared" si="9"/>
        <v>-0.58313848713694161</v>
      </c>
      <c r="AD67" s="3">
        <f t="shared" si="10"/>
        <v>-0.54671079888223684</v>
      </c>
      <c r="AE67" s="3">
        <f t="shared" si="11"/>
        <v>-0.29084275919588065</v>
      </c>
      <c r="AF67" s="3">
        <f t="shared" si="12"/>
        <v>-0.3423305595474781</v>
      </c>
    </row>
    <row r="68" spans="1:32" x14ac:dyDescent="0.2">
      <c r="A68" s="30">
        <v>66</v>
      </c>
      <c r="B68" s="9" t="s">
        <v>1286</v>
      </c>
      <c r="C68" s="12">
        <v>67767</v>
      </c>
      <c r="D68" s="13" t="s">
        <v>67</v>
      </c>
      <c r="E68" s="17">
        <v>147.51062907299999</v>
      </c>
      <c r="F68" s="17">
        <v>-42.799040177899997</v>
      </c>
      <c r="G68" s="14">
        <v>67</v>
      </c>
      <c r="H68" s="17">
        <v>9.41</v>
      </c>
      <c r="I68" s="17">
        <v>11.27</v>
      </c>
      <c r="J68" s="17">
        <v>12.75</v>
      </c>
      <c r="K68" s="17">
        <v>12.84</v>
      </c>
      <c r="L68" s="17">
        <v>14.01</v>
      </c>
      <c r="M68" s="17">
        <f t="shared" ref="M68:M131" si="16">I68-H68</f>
        <v>1.8599999999999994</v>
      </c>
      <c r="N68" s="17">
        <f t="shared" ref="N68:N131" si="17">J68-H68</f>
        <v>3.34</v>
      </c>
      <c r="O68" s="17">
        <f t="shared" ref="O68:O131" si="18">K68-H68</f>
        <v>3.4299999999999997</v>
      </c>
      <c r="P68" s="17">
        <f t="shared" ref="P68:P131" si="19">L68-H68</f>
        <v>4.5999999999999996</v>
      </c>
      <c r="Q68" s="17">
        <f t="shared" ref="Q68:Q131" si="20">(M68-M$764)/M$767</f>
        <v>1.2170013115181875</v>
      </c>
      <c r="R68" s="17">
        <f t="shared" si="13"/>
        <v>1.7382707273488545</v>
      </c>
      <c r="S68" s="17">
        <f t="shared" si="14"/>
        <v>-5.7367123228234153E-2</v>
      </c>
      <c r="T68" s="17">
        <f t="shared" si="15"/>
        <v>-0.13853794450270501</v>
      </c>
      <c r="U68" s="16">
        <v>0</v>
      </c>
      <c r="V68" s="16">
        <v>0</v>
      </c>
      <c r="W68" s="16">
        <v>0</v>
      </c>
      <c r="X68" s="16">
        <v>0</v>
      </c>
      <c r="Y68" s="15">
        <v>0.4</v>
      </c>
      <c r="Z68" s="15">
        <v>0.54300000000000004</v>
      </c>
      <c r="AA68" s="15">
        <v>0.69899999999999995</v>
      </c>
      <c r="AB68" s="15">
        <v>0.79649999999999999</v>
      </c>
      <c r="AC68" s="3">
        <f t="shared" ref="AC68:AC131" si="21">(Y68-Y$764)/Y$767</f>
        <v>-0.45376902141268183</v>
      </c>
      <c r="AD68" s="3">
        <f t="shared" ref="AD68:AD131" si="22">(Z68-Z$764)/Z$767</f>
        <v>-0.23264128926754199</v>
      </c>
      <c r="AE68" s="3">
        <f t="shared" ref="AE68:AE131" si="23">(AA68-AA$764)/AA$767</f>
        <v>0.16198588413716802</v>
      </c>
      <c r="AF68" s="3">
        <f t="shared" ref="AF68:AF131" si="24">(AB68-AB$764)/AB$767</f>
        <v>0.16286451176000286</v>
      </c>
    </row>
    <row r="69" spans="1:32" x14ac:dyDescent="0.2">
      <c r="A69" s="30">
        <v>67</v>
      </c>
      <c r="B69" s="9" t="s">
        <v>1287</v>
      </c>
      <c r="C69" s="12">
        <v>67769</v>
      </c>
      <c r="D69" s="13" t="s">
        <v>68</v>
      </c>
      <c r="E69" s="17">
        <v>148.405148048</v>
      </c>
      <c r="F69" s="17">
        <v>-40.379974934899998</v>
      </c>
      <c r="G69" s="14">
        <v>21</v>
      </c>
      <c r="H69" s="17">
        <v>12.94</v>
      </c>
      <c r="I69" s="17">
        <v>14.72</v>
      </c>
      <c r="J69" s="17">
        <v>16.09</v>
      </c>
      <c r="K69" s="17">
        <v>16.23</v>
      </c>
      <c r="L69" s="17">
        <v>17.23</v>
      </c>
      <c r="M69" s="17">
        <f t="shared" si="16"/>
        <v>1.7800000000000011</v>
      </c>
      <c r="N69" s="17">
        <f t="shared" si="17"/>
        <v>3.1500000000000004</v>
      </c>
      <c r="O69" s="17">
        <f t="shared" si="18"/>
        <v>3.2900000000000009</v>
      </c>
      <c r="P69" s="17">
        <f t="shared" si="19"/>
        <v>4.2900000000000009</v>
      </c>
      <c r="Q69" s="17">
        <f t="shared" si="20"/>
        <v>1.1195317484054399</v>
      </c>
      <c r="R69" s="17">
        <f t="shared" si="13"/>
        <v>1.4707774567208876</v>
      </c>
      <c r="S69" s="17">
        <f t="shared" si="14"/>
        <v>-0.21994273693758132</v>
      </c>
      <c r="T69" s="17">
        <f t="shared" si="15"/>
        <v>-0.45231225190614172</v>
      </c>
      <c r="U69" s="16">
        <v>0</v>
      </c>
      <c r="V69" s="16">
        <v>0</v>
      </c>
      <c r="W69" s="16">
        <v>0</v>
      </c>
      <c r="X69" s="16">
        <v>3</v>
      </c>
      <c r="Y69" s="15">
        <v>0.38600000000000001</v>
      </c>
      <c r="Z69" s="15">
        <v>0.50800000000000001</v>
      </c>
      <c r="AA69" s="15">
        <v>0.64400000000000002</v>
      </c>
      <c r="AB69" s="15">
        <v>0.73499999999999999</v>
      </c>
      <c r="AC69" s="3">
        <f t="shared" si="21"/>
        <v>-0.58313848713694161</v>
      </c>
      <c r="AD69" s="3">
        <f t="shared" si="22"/>
        <v>-0.54671079888223684</v>
      </c>
      <c r="AE69" s="3">
        <f t="shared" si="23"/>
        <v>-0.29084275919588065</v>
      </c>
      <c r="AF69" s="3">
        <f t="shared" si="24"/>
        <v>-0.3423305595474781</v>
      </c>
    </row>
    <row r="70" spans="1:32" x14ac:dyDescent="0.2">
      <c r="A70" s="30">
        <v>68</v>
      </c>
      <c r="B70" s="9" t="s">
        <v>1288</v>
      </c>
      <c r="C70" s="12">
        <v>67770</v>
      </c>
      <c r="D70" s="13" t="s">
        <v>69</v>
      </c>
      <c r="E70" s="17">
        <v>147.92846759</v>
      </c>
      <c r="F70" s="17">
        <v>-40.883680437499997</v>
      </c>
      <c r="G70" s="14">
        <v>11</v>
      </c>
      <c r="H70" s="17">
        <v>12.32</v>
      </c>
      <c r="I70" s="17">
        <v>14.08</v>
      </c>
      <c r="J70" s="17">
        <v>15.47</v>
      </c>
      <c r="K70" s="17">
        <v>15.5</v>
      </c>
      <c r="L70" s="17">
        <v>16.5</v>
      </c>
      <c r="M70" s="17">
        <f t="shared" si="16"/>
        <v>1.7599999999999998</v>
      </c>
      <c r="N70" s="17">
        <f t="shared" si="17"/>
        <v>3.1500000000000004</v>
      </c>
      <c r="O70" s="17">
        <f t="shared" si="18"/>
        <v>3.1799999999999997</v>
      </c>
      <c r="P70" s="17">
        <f t="shared" si="19"/>
        <v>4.18</v>
      </c>
      <c r="Q70" s="17">
        <f t="shared" si="20"/>
        <v>1.0951643576272507</v>
      </c>
      <c r="R70" s="17">
        <f t="shared" si="13"/>
        <v>1.4707774567208876</v>
      </c>
      <c r="S70" s="17">
        <f t="shared" si="14"/>
        <v>-0.3476807191377852</v>
      </c>
      <c r="T70" s="17">
        <f t="shared" si="15"/>
        <v>-0.56365152227510484</v>
      </c>
      <c r="U70" s="16">
        <v>0</v>
      </c>
      <c r="V70" s="16">
        <v>0</v>
      </c>
      <c r="W70" s="16">
        <v>0</v>
      </c>
      <c r="X70" s="16">
        <v>0</v>
      </c>
      <c r="Y70" s="15">
        <v>0.39200000000000002</v>
      </c>
      <c r="Z70" s="15">
        <v>0.52600000000000002</v>
      </c>
      <c r="AA70" s="15">
        <v>0.67400000000000004</v>
      </c>
      <c r="AB70" s="15">
        <v>0.77100000000000002</v>
      </c>
      <c r="AC70" s="3">
        <f t="shared" si="21"/>
        <v>-0.52769443039797315</v>
      </c>
      <c r="AD70" s="3">
        <f t="shared" si="22"/>
        <v>-0.38518933679467948</v>
      </c>
      <c r="AE70" s="3">
        <f t="shared" si="23"/>
        <v>-4.384531737785359E-2</v>
      </c>
      <c r="AF70" s="3">
        <f t="shared" si="24"/>
        <v>-4.6606615367488967E-2</v>
      </c>
    </row>
    <row r="71" spans="1:32" x14ac:dyDescent="0.2">
      <c r="A71" s="30">
        <v>69</v>
      </c>
      <c r="B71" s="9" t="s">
        <v>1289</v>
      </c>
      <c r="C71" s="12">
        <v>67774</v>
      </c>
      <c r="D71" s="13" t="s">
        <v>70</v>
      </c>
      <c r="E71" s="17">
        <v>146.47451390000001</v>
      </c>
      <c r="F71" s="17">
        <v>-38.740384114199998</v>
      </c>
      <c r="G71" s="14">
        <v>871</v>
      </c>
      <c r="H71" s="17">
        <v>13.22</v>
      </c>
      <c r="I71" s="17">
        <v>15.22</v>
      </c>
      <c r="J71" s="17">
        <v>16.79</v>
      </c>
      <c r="K71" s="17">
        <v>17.02</v>
      </c>
      <c r="L71" s="17">
        <v>17.899999999999999</v>
      </c>
      <c r="M71" s="17">
        <f t="shared" si="16"/>
        <v>2</v>
      </c>
      <c r="N71" s="17">
        <f t="shared" si="17"/>
        <v>3.5699999999999985</v>
      </c>
      <c r="O71" s="17">
        <f t="shared" si="18"/>
        <v>3.7999999999999989</v>
      </c>
      <c r="P71" s="17">
        <f t="shared" si="19"/>
        <v>4.6799999999999979</v>
      </c>
      <c r="Q71" s="17">
        <f t="shared" si="20"/>
        <v>1.3875730469655003</v>
      </c>
      <c r="R71" s="17">
        <f t="shared" si="13"/>
        <v>2.0620783707406027</v>
      </c>
      <c r="S71" s="17">
        <f t="shared" si="14"/>
        <v>0.37229699871790045</v>
      </c>
      <c r="T71" s="17">
        <f t="shared" si="15"/>
        <v>-5.7563929688916299E-2</v>
      </c>
      <c r="U71" s="16">
        <v>35</v>
      </c>
      <c r="V71" s="16">
        <v>40</v>
      </c>
      <c r="W71" s="16">
        <v>50</v>
      </c>
      <c r="X71" s="16">
        <v>52</v>
      </c>
      <c r="Y71" s="15">
        <v>0.38</v>
      </c>
      <c r="Z71" s="15">
        <v>0.48699999999999999</v>
      </c>
      <c r="AA71" s="15">
        <v>0.59699999999999998</v>
      </c>
      <c r="AB71" s="15">
        <v>0.67600000000000005</v>
      </c>
      <c r="AC71" s="3">
        <f t="shared" si="21"/>
        <v>-0.63858254387590996</v>
      </c>
      <c r="AD71" s="3">
        <f t="shared" si="22"/>
        <v>-0.73515250465105375</v>
      </c>
      <c r="AE71" s="3">
        <f t="shared" si="23"/>
        <v>-0.67780541804412298</v>
      </c>
      <c r="AF71" s="3">
        <f t="shared" si="24"/>
        <v>-0.82698924584245936</v>
      </c>
    </row>
    <row r="72" spans="1:32" x14ac:dyDescent="0.2">
      <c r="A72" s="30">
        <v>70</v>
      </c>
      <c r="B72" s="9" t="s">
        <v>1290</v>
      </c>
      <c r="C72" s="12">
        <v>67779</v>
      </c>
      <c r="D72" s="13" t="s">
        <v>71</v>
      </c>
      <c r="E72" s="17">
        <v>144.570759829</v>
      </c>
      <c r="F72" s="17">
        <v>-38.067683552799998</v>
      </c>
      <c r="G72" s="14">
        <v>213</v>
      </c>
      <c r="H72" s="17">
        <v>13.13</v>
      </c>
      <c r="I72" s="17">
        <v>15.53</v>
      </c>
      <c r="J72" s="17">
        <v>16.96</v>
      </c>
      <c r="K72" s="17">
        <v>17.559999999999999</v>
      </c>
      <c r="L72" s="17">
        <v>18.440000000000001</v>
      </c>
      <c r="M72" s="17">
        <f t="shared" si="16"/>
        <v>2.3999999999999986</v>
      </c>
      <c r="N72" s="17">
        <f t="shared" si="17"/>
        <v>3.83</v>
      </c>
      <c r="O72" s="17">
        <f t="shared" si="18"/>
        <v>4.4299999999999979</v>
      </c>
      <c r="P72" s="17">
        <f t="shared" si="19"/>
        <v>5.3100000000000005</v>
      </c>
      <c r="Q72" s="17">
        <f t="shared" si="20"/>
        <v>1.8749208625292475</v>
      </c>
      <c r="R72" s="17">
        <f t="shared" si="13"/>
        <v>2.4281217937051922</v>
      </c>
      <c r="S72" s="17">
        <f t="shared" si="14"/>
        <v>1.1038872604099679</v>
      </c>
      <c r="T72" s="17">
        <f t="shared" si="15"/>
        <v>0.58010643696968611</v>
      </c>
      <c r="U72" s="16">
        <v>13</v>
      </c>
      <c r="V72" s="16">
        <v>15</v>
      </c>
      <c r="W72" s="16">
        <v>25</v>
      </c>
      <c r="X72" s="16">
        <v>27</v>
      </c>
      <c r="Y72" s="15">
        <v>0.38300000000000001</v>
      </c>
      <c r="Z72" s="15">
        <v>0.48749999999999999</v>
      </c>
      <c r="AA72" s="15">
        <v>0.59199999999999997</v>
      </c>
      <c r="AB72" s="15">
        <v>0.67</v>
      </c>
      <c r="AC72" s="3">
        <f t="shared" si="21"/>
        <v>-0.61086051550642573</v>
      </c>
      <c r="AD72" s="3">
        <f t="shared" si="22"/>
        <v>-0.73066579737084381</v>
      </c>
      <c r="AE72" s="3">
        <f t="shared" si="23"/>
        <v>-0.71897165834712751</v>
      </c>
      <c r="AF72" s="3">
        <f t="shared" si="24"/>
        <v>-0.8762765698724575</v>
      </c>
    </row>
    <row r="73" spans="1:32" x14ac:dyDescent="0.2">
      <c r="A73" s="30">
        <v>71</v>
      </c>
      <c r="B73" s="9" t="s">
        <v>1291</v>
      </c>
      <c r="C73" s="12">
        <v>67780</v>
      </c>
      <c r="D73" s="13" t="s">
        <v>72</v>
      </c>
      <c r="E73" s="17">
        <v>145.348096438</v>
      </c>
      <c r="F73" s="17">
        <v>-38.357089716700003</v>
      </c>
      <c r="G73" s="14">
        <v>911</v>
      </c>
      <c r="H73" s="17">
        <v>13.59</v>
      </c>
      <c r="I73" s="17">
        <v>15.87</v>
      </c>
      <c r="J73" s="17">
        <v>17.37</v>
      </c>
      <c r="K73" s="17">
        <v>17.8</v>
      </c>
      <c r="L73" s="17">
        <v>18.649999999999999</v>
      </c>
      <c r="M73" s="17">
        <f t="shared" si="16"/>
        <v>2.2799999999999994</v>
      </c>
      <c r="N73" s="17">
        <f t="shared" si="17"/>
        <v>3.7800000000000011</v>
      </c>
      <c r="O73" s="17">
        <f t="shared" si="18"/>
        <v>4.2100000000000009</v>
      </c>
      <c r="P73" s="17">
        <f t="shared" si="19"/>
        <v>5.0599999999999987</v>
      </c>
      <c r="Q73" s="17">
        <f t="shared" si="20"/>
        <v>1.7287165178601238</v>
      </c>
      <c r="R73" s="17">
        <f t="shared" si="13"/>
        <v>2.3577288277504653</v>
      </c>
      <c r="S73" s="17">
        <f t="shared" si="14"/>
        <v>0.84841129600956633</v>
      </c>
      <c r="T73" s="17">
        <f t="shared" si="15"/>
        <v>0.32706264067658913</v>
      </c>
      <c r="U73" s="16">
        <v>16</v>
      </c>
      <c r="V73" s="16">
        <v>21</v>
      </c>
      <c r="W73" s="16">
        <v>28</v>
      </c>
      <c r="X73" s="16">
        <v>30</v>
      </c>
      <c r="Y73" s="15">
        <v>0.38300000000000001</v>
      </c>
      <c r="Z73" s="15">
        <v>0.48749999999999999</v>
      </c>
      <c r="AA73" s="15">
        <v>0.59199999999999997</v>
      </c>
      <c r="AB73" s="15">
        <v>0.67</v>
      </c>
      <c r="AC73" s="3">
        <f t="shared" si="21"/>
        <v>-0.61086051550642573</v>
      </c>
      <c r="AD73" s="3">
        <f t="shared" si="22"/>
        <v>-0.73066579737084381</v>
      </c>
      <c r="AE73" s="3">
        <f t="shared" si="23"/>
        <v>-0.71897165834712751</v>
      </c>
      <c r="AF73" s="3">
        <f t="shared" si="24"/>
        <v>-0.8762765698724575</v>
      </c>
    </row>
    <row r="74" spans="1:32" x14ac:dyDescent="0.2">
      <c r="A74" s="30">
        <v>72</v>
      </c>
      <c r="B74" s="9" t="s">
        <v>1292</v>
      </c>
      <c r="C74" s="12">
        <v>67782</v>
      </c>
      <c r="D74" s="13" t="s">
        <v>73</v>
      </c>
      <c r="E74" s="17">
        <v>147.55372485000001</v>
      </c>
      <c r="F74" s="17">
        <v>-38.014047928499998</v>
      </c>
      <c r="G74" s="14">
        <v>821</v>
      </c>
      <c r="H74" s="17">
        <v>13.59</v>
      </c>
      <c r="I74" s="17">
        <v>15.94</v>
      </c>
      <c r="J74" s="17">
        <v>17.43</v>
      </c>
      <c r="K74" s="17">
        <v>18.239999999999998</v>
      </c>
      <c r="L74" s="17">
        <v>19.260000000000002</v>
      </c>
      <c r="M74" s="17">
        <f t="shared" si="16"/>
        <v>2.3499999999999996</v>
      </c>
      <c r="N74" s="17">
        <f t="shared" si="17"/>
        <v>3.84</v>
      </c>
      <c r="O74" s="17">
        <f t="shared" si="18"/>
        <v>4.6499999999999986</v>
      </c>
      <c r="P74" s="17">
        <f t="shared" si="19"/>
        <v>5.6700000000000017</v>
      </c>
      <c r="Q74" s="17">
        <f t="shared" si="20"/>
        <v>1.8140023855837801</v>
      </c>
      <c r="R74" s="17">
        <f t="shared" si="13"/>
        <v>2.4422003868961375</v>
      </c>
      <c r="S74" s="17">
        <f t="shared" si="14"/>
        <v>1.3593632248103735</v>
      </c>
      <c r="T74" s="17">
        <f t="shared" si="15"/>
        <v>0.94448950363174433</v>
      </c>
      <c r="U74" s="16">
        <v>32</v>
      </c>
      <c r="V74" s="16">
        <v>38</v>
      </c>
      <c r="W74" s="16">
        <v>56</v>
      </c>
      <c r="X74" s="16">
        <v>62</v>
      </c>
      <c r="Y74" s="15">
        <v>0.37</v>
      </c>
      <c r="Z74" s="15">
        <v>0.496</v>
      </c>
      <c r="AA74" s="15">
        <v>0.63400000000000001</v>
      </c>
      <c r="AB74" s="15">
        <v>0.72199999999999998</v>
      </c>
      <c r="AC74" s="3">
        <f t="shared" si="21"/>
        <v>-0.73098930510752413</v>
      </c>
      <c r="AD74" s="3">
        <f t="shared" si="22"/>
        <v>-0.65439177360727507</v>
      </c>
      <c r="AE74" s="3">
        <f t="shared" si="23"/>
        <v>-0.37317523980188966</v>
      </c>
      <c r="AF74" s="3">
        <f t="shared" si="24"/>
        <v>-0.44911976161247413</v>
      </c>
    </row>
    <row r="75" spans="1:32" x14ac:dyDescent="0.2">
      <c r="A75" s="30">
        <v>73</v>
      </c>
      <c r="B75" s="9" t="s">
        <v>1294</v>
      </c>
      <c r="C75" s="12">
        <v>67786</v>
      </c>
      <c r="D75" s="13" t="s">
        <v>74</v>
      </c>
      <c r="E75" s="17">
        <v>139.24354575500001</v>
      </c>
      <c r="F75" s="17">
        <v>-35.656526194599998</v>
      </c>
      <c r="G75" s="14">
        <v>1734</v>
      </c>
      <c r="H75" s="17">
        <v>15.19</v>
      </c>
      <c r="I75" s="17">
        <v>17.59</v>
      </c>
      <c r="J75" s="17">
        <v>18.260000000000002</v>
      </c>
      <c r="K75" s="17">
        <v>19.28</v>
      </c>
      <c r="L75" s="17">
        <v>19.77</v>
      </c>
      <c r="M75" s="17">
        <f t="shared" si="16"/>
        <v>2.4000000000000004</v>
      </c>
      <c r="N75" s="17">
        <f t="shared" si="17"/>
        <v>3.0700000000000021</v>
      </c>
      <c r="O75" s="17">
        <f t="shared" si="18"/>
        <v>4.0900000000000016</v>
      </c>
      <c r="P75" s="17">
        <f t="shared" si="19"/>
        <v>4.58</v>
      </c>
      <c r="Q75" s="17">
        <f t="shared" si="20"/>
        <v>1.8749208625292497</v>
      </c>
      <c r="R75" s="17">
        <f t="shared" si="13"/>
        <v>1.3581487111933248</v>
      </c>
      <c r="S75" s="17">
        <f t="shared" si="14"/>
        <v>0.70906076997298284</v>
      </c>
      <c r="T75" s="17">
        <f t="shared" si="15"/>
        <v>-0.1587814482061522</v>
      </c>
      <c r="U75" s="16">
        <v>55</v>
      </c>
      <c r="V75" s="16">
        <v>76</v>
      </c>
      <c r="W75" s="16">
        <v>89</v>
      </c>
      <c r="X75" s="16">
        <v>100</v>
      </c>
      <c r="Y75" s="15">
        <v>0.497</v>
      </c>
      <c r="Z75" s="15">
        <v>0.6</v>
      </c>
      <c r="AA75" s="15">
        <v>0.70650000000000002</v>
      </c>
      <c r="AB75" s="15">
        <v>0.77049999999999996</v>
      </c>
      <c r="AC75" s="3">
        <f t="shared" si="21"/>
        <v>0.44257656253397376</v>
      </c>
      <c r="AD75" s="3">
        <f t="shared" si="22"/>
        <v>0.27884334067638861</v>
      </c>
      <c r="AE75" s="3">
        <f t="shared" si="23"/>
        <v>0.22373524459167524</v>
      </c>
      <c r="AF75" s="3">
        <f t="shared" si="24"/>
        <v>-5.0713892369989272E-2</v>
      </c>
    </row>
    <row r="76" spans="1:32" x14ac:dyDescent="0.2">
      <c r="A76" s="30">
        <v>74</v>
      </c>
      <c r="B76" s="9" t="s">
        <v>1295</v>
      </c>
      <c r="C76" s="12">
        <v>67792</v>
      </c>
      <c r="D76" s="13" t="s">
        <v>75</v>
      </c>
      <c r="E76" s="17">
        <v>128.34393109999999</v>
      </c>
      <c r="F76" s="17">
        <v>-15.2301123239</v>
      </c>
      <c r="G76" s="14">
        <v>887</v>
      </c>
      <c r="H76" s="17">
        <v>27.07</v>
      </c>
      <c r="I76" s="17">
        <v>28.06</v>
      </c>
      <c r="J76" s="17">
        <v>29.93</v>
      </c>
      <c r="K76" s="17">
        <v>31.66</v>
      </c>
      <c r="L76" s="17">
        <v>32.880000000000003</v>
      </c>
      <c r="M76" s="17">
        <f t="shared" si="16"/>
        <v>0.98999999999999844</v>
      </c>
      <c r="N76" s="17">
        <f t="shared" si="17"/>
        <v>2.8599999999999994</v>
      </c>
      <c r="O76" s="17">
        <f t="shared" si="18"/>
        <v>4.59</v>
      </c>
      <c r="P76" s="17">
        <f t="shared" si="19"/>
        <v>5.8100000000000023</v>
      </c>
      <c r="Q76" s="17">
        <f t="shared" si="20"/>
        <v>0.1570198126670326</v>
      </c>
      <c r="R76" s="17">
        <f t="shared" si="13"/>
        <v>1.0624982541834622</v>
      </c>
      <c r="S76" s="17">
        <f t="shared" si="14"/>
        <v>1.2896879617920827</v>
      </c>
      <c r="T76" s="17">
        <f t="shared" si="15"/>
        <v>1.0861940295558783</v>
      </c>
      <c r="U76" s="16">
        <v>41</v>
      </c>
      <c r="V76" s="16">
        <v>44</v>
      </c>
      <c r="W76" s="16">
        <v>45</v>
      </c>
      <c r="X76" s="16">
        <v>51</v>
      </c>
      <c r="Y76" s="15">
        <v>0.47599999999999998</v>
      </c>
      <c r="Z76" s="15">
        <v>0.58650000000000002</v>
      </c>
      <c r="AA76" s="15">
        <v>0.69499999999999995</v>
      </c>
      <c r="AB76" s="15">
        <v>0.80200000000000005</v>
      </c>
      <c r="AC76" s="3">
        <f t="shared" si="21"/>
        <v>0.24852236394758417</v>
      </c>
      <c r="AD76" s="3">
        <f t="shared" si="22"/>
        <v>0.15770224411072112</v>
      </c>
      <c r="AE76" s="3">
        <f t="shared" si="23"/>
        <v>0.1290528918947644</v>
      </c>
      <c r="AF76" s="3">
        <f t="shared" si="24"/>
        <v>0.20804455878750167</v>
      </c>
    </row>
    <row r="77" spans="1:32" x14ac:dyDescent="0.2">
      <c r="A77" s="30">
        <v>75</v>
      </c>
      <c r="B77" s="9" t="s">
        <v>1296</v>
      </c>
      <c r="C77" s="12">
        <v>67794</v>
      </c>
      <c r="D77" s="13" t="s">
        <v>76</v>
      </c>
      <c r="E77" s="17">
        <v>122.255508783</v>
      </c>
      <c r="F77" s="17">
        <v>-18.1475182133</v>
      </c>
      <c r="G77" s="14">
        <v>386</v>
      </c>
      <c r="H77" s="17">
        <v>27.3</v>
      </c>
      <c r="I77" s="17">
        <v>29.09</v>
      </c>
      <c r="J77" s="17">
        <v>30.25</v>
      </c>
      <c r="K77" s="17">
        <v>31.19</v>
      </c>
      <c r="L77" s="17">
        <v>32.79</v>
      </c>
      <c r="M77" s="17">
        <f t="shared" si="16"/>
        <v>1.7899999999999991</v>
      </c>
      <c r="N77" s="17">
        <f t="shared" si="17"/>
        <v>2.9499999999999993</v>
      </c>
      <c r="O77" s="17">
        <f t="shared" si="18"/>
        <v>3.8900000000000006</v>
      </c>
      <c r="P77" s="17">
        <f t="shared" si="19"/>
        <v>5.4899999999999984</v>
      </c>
      <c r="Q77" s="17">
        <f t="shared" si="20"/>
        <v>1.1317154437945312</v>
      </c>
      <c r="R77" s="17">
        <f t="shared" si="13"/>
        <v>1.1892055929019729</v>
      </c>
      <c r="S77" s="17">
        <f t="shared" si="14"/>
        <v>0.47680989324534073</v>
      </c>
      <c r="T77" s="17">
        <f t="shared" si="15"/>
        <v>0.76229797030071256</v>
      </c>
      <c r="U77" s="16">
        <v>6</v>
      </c>
      <c r="V77" s="16">
        <v>9</v>
      </c>
      <c r="W77" s="16">
        <v>10</v>
      </c>
      <c r="X77" s="16">
        <v>10</v>
      </c>
      <c r="Y77" s="15">
        <v>0.48399999999999999</v>
      </c>
      <c r="Z77" s="15">
        <v>0.59150000000000003</v>
      </c>
      <c r="AA77" s="15">
        <v>0.69850000000000001</v>
      </c>
      <c r="AB77" s="15">
        <v>0.80200000000000005</v>
      </c>
      <c r="AC77" s="3">
        <f t="shared" si="21"/>
        <v>0.32244777293287546</v>
      </c>
      <c r="AD77" s="3">
        <f t="shared" si="22"/>
        <v>0.20256931691282037</v>
      </c>
      <c r="AE77" s="3">
        <f t="shared" si="23"/>
        <v>0.15786926010686803</v>
      </c>
      <c r="AF77" s="3">
        <f t="shared" si="24"/>
        <v>0.20804455878750167</v>
      </c>
    </row>
    <row r="78" spans="1:32" x14ac:dyDescent="0.2">
      <c r="A78" s="30">
        <v>76</v>
      </c>
      <c r="B78" s="9" t="s">
        <v>1297</v>
      </c>
      <c r="C78" s="12">
        <v>67795</v>
      </c>
      <c r="D78" s="13" t="s">
        <v>77</v>
      </c>
      <c r="E78" s="17">
        <v>121.243385546</v>
      </c>
      <c r="F78" s="17">
        <v>-19.763736828700001</v>
      </c>
      <c r="G78" s="14">
        <v>940</v>
      </c>
      <c r="H78" s="17">
        <v>26.99</v>
      </c>
      <c r="I78" s="17">
        <v>28.9</v>
      </c>
      <c r="J78" s="17">
        <v>29.75</v>
      </c>
      <c r="K78" s="17">
        <v>31.14</v>
      </c>
      <c r="L78" s="17">
        <v>32.57</v>
      </c>
      <c r="M78" s="17">
        <f t="shared" si="16"/>
        <v>1.9100000000000001</v>
      </c>
      <c r="N78" s="17">
        <f t="shared" si="17"/>
        <v>2.7600000000000016</v>
      </c>
      <c r="O78" s="17">
        <f t="shared" si="18"/>
        <v>4.1500000000000021</v>
      </c>
      <c r="P78" s="17">
        <f t="shared" si="19"/>
        <v>5.5800000000000018</v>
      </c>
      <c r="Q78" s="17">
        <f t="shared" si="20"/>
        <v>1.2779197884636571</v>
      </c>
      <c r="R78" s="17">
        <f t="shared" si="13"/>
        <v>0.92171232227400857</v>
      </c>
      <c r="S78" s="17">
        <f t="shared" si="14"/>
        <v>0.77873603299127558</v>
      </c>
      <c r="T78" s="17">
        <f t="shared" si="15"/>
        <v>0.85339373696623022</v>
      </c>
      <c r="U78" s="16">
        <v>33</v>
      </c>
      <c r="V78" s="16">
        <v>52</v>
      </c>
      <c r="W78" s="16">
        <v>61</v>
      </c>
      <c r="X78" s="16">
        <v>74</v>
      </c>
      <c r="Y78" s="15">
        <v>0.46600000000000003</v>
      </c>
      <c r="Z78" s="15">
        <v>0.57199999999999995</v>
      </c>
      <c r="AA78" s="15">
        <v>0.67800000000000005</v>
      </c>
      <c r="AB78" s="15">
        <v>0.78</v>
      </c>
      <c r="AC78" s="3">
        <f t="shared" si="21"/>
        <v>0.15611560271597061</v>
      </c>
      <c r="AD78" s="3">
        <f t="shared" si="22"/>
        <v>2.7587732984632744E-2</v>
      </c>
      <c r="AE78" s="3">
        <f t="shared" si="23"/>
        <v>-1.0912325135449989E-2</v>
      </c>
      <c r="AF78" s="3">
        <f t="shared" si="24"/>
        <v>2.732437067750831E-2</v>
      </c>
    </row>
    <row r="79" spans="1:32" x14ac:dyDescent="0.2">
      <c r="A79" s="30">
        <v>77</v>
      </c>
      <c r="B79" s="9" t="s">
        <v>1298</v>
      </c>
      <c r="C79" s="12">
        <v>67797</v>
      </c>
      <c r="D79" s="13" t="s">
        <v>78</v>
      </c>
      <c r="E79" s="17">
        <v>115.69635528800001</v>
      </c>
      <c r="F79" s="17">
        <v>-32.742631342199999</v>
      </c>
      <c r="G79" s="14">
        <v>293</v>
      </c>
      <c r="H79" s="17">
        <v>18.59</v>
      </c>
      <c r="I79" s="17">
        <v>20.41</v>
      </c>
      <c r="J79" s="17">
        <v>20.93</v>
      </c>
      <c r="K79" s="17">
        <v>21.98</v>
      </c>
      <c r="L79" s="17">
        <v>22.96</v>
      </c>
      <c r="M79" s="17">
        <f t="shared" si="16"/>
        <v>1.8200000000000003</v>
      </c>
      <c r="N79" s="17">
        <f t="shared" si="17"/>
        <v>2.34</v>
      </c>
      <c r="O79" s="17">
        <f t="shared" si="18"/>
        <v>3.3900000000000006</v>
      </c>
      <c r="P79" s="17">
        <f t="shared" si="19"/>
        <v>4.370000000000001</v>
      </c>
      <c r="Q79" s="17">
        <f t="shared" si="20"/>
        <v>1.1682665299618138</v>
      </c>
      <c r="R79" s="17">
        <f t="shared" si="13"/>
        <v>0.33041140825428839</v>
      </c>
      <c r="S79" s="17">
        <f t="shared" si="14"/>
        <v>-0.10381729857376132</v>
      </c>
      <c r="T79" s="17">
        <f t="shared" si="15"/>
        <v>-0.3713382370923512</v>
      </c>
      <c r="U79" s="16">
        <v>18</v>
      </c>
      <c r="V79" s="16">
        <v>23</v>
      </c>
      <c r="W79" s="16">
        <v>28</v>
      </c>
      <c r="X79" s="16">
        <v>29</v>
      </c>
      <c r="Y79" s="15">
        <v>0.44650000000000001</v>
      </c>
      <c r="Z79" s="15">
        <v>0.54649999999999999</v>
      </c>
      <c r="AA79" s="15">
        <v>0.65500000000000003</v>
      </c>
      <c r="AB79" s="15">
        <v>0.73299999999999998</v>
      </c>
      <c r="AC79" s="3">
        <f t="shared" si="21"/>
        <v>-2.407758168567686E-2</v>
      </c>
      <c r="AD79" s="3">
        <f t="shared" si="22"/>
        <v>-0.20123433830607301</v>
      </c>
      <c r="AE79" s="3">
        <f t="shared" si="23"/>
        <v>-0.20027703052927071</v>
      </c>
      <c r="AF79" s="3">
        <f t="shared" si="24"/>
        <v>-0.35875966755747746</v>
      </c>
    </row>
    <row r="80" spans="1:32" x14ac:dyDescent="0.2">
      <c r="A80" s="30">
        <v>78</v>
      </c>
      <c r="B80" s="9" t="s">
        <v>1299</v>
      </c>
      <c r="C80" s="12">
        <v>67800</v>
      </c>
      <c r="D80" s="13" t="s">
        <v>79</v>
      </c>
      <c r="E80" s="17">
        <v>121.91702350600001</v>
      </c>
      <c r="F80" s="17">
        <v>-33.809826464700002</v>
      </c>
      <c r="G80" s="14">
        <v>20</v>
      </c>
      <c r="H80" s="17">
        <v>16.350000000000001</v>
      </c>
      <c r="I80" s="17">
        <v>18.989999999999998</v>
      </c>
      <c r="J80" s="17">
        <v>19.28</v>
      </c>
      <c r="K80" s="17">
        <v>20.48</v>
      </c>
      <c r="L80" s="17">
        <v>21.48</v>
      </c>
      <c r="M80" s="17">
        <f t="shared" si="16"/>
        <v>2.639999999999997</v>
      </c>
      <c r="N80" s="17">
        <f t="shared" si="17"/>
        <v>2.9299999999999997</v>
      </c>
      <c r="O80" s="17">
        <f t="shared" si="18"/>
        <v>4.129999999999999</v>
      </c>
      <c r="P80" s="17">
        <f t="shared" si="19"/>
        <v>5.129999999999999</v>
      </c>
      <c r="Q80" s="17">
        <f t="shared" si="20"/>
        <v>2.1673295518674949</v>
      </c>
      <c r="R80" s="17">
        <f t="shared" si="13"/>
        <v>1.1610484065200821</v>
      </c>
      <c r="S80" s="17">
        <f t="shared" si="14"/>
        <v>0.75551094531850793</v>
      </c>
      <c r="T80" s="17">
        <f t="shared" si="15"/>
        <v>0.39791490363865606</v>
      </c>
      <c r="U80" s="16">
        <v>0</v>
      </c>
      <c r="V80" s="16">
        <v>0</v>
      </c>
      <c r="W80" s="16">
        <v>0</v>
      </c>
      <c r="X80" s="16">
        <v>0</v>
      </c>
      <c r="Y80" s="15">
        <v>0.44800000000000001</v>
      </c>
      <c r="Z80" s="15">
        <v>0.55549999999999999</v>
      </c>
      <c r="AA80" s="15">
        <v>0.67600000000000005</v>
      </c>
      <c r="AB80" s="15">
        <v>0.74350000000000005</v>
      </c>
      <c r="AC80" s="3">
        <f t="shared" si="21"/>
        <v>-1.0216567500934746E-2</v>
      </c>
      <c r="AD80" s="3">
        <f t="shared" si="22"/>
        <v>-0.12047360726229434</v>
      </c>
      <c r="AE80" s="3">
        <f t="shared" si="23"/>
        <v>-2.7378821256651791E-2</v>
      </c>
      <c r="AF80" s="3">
        <f t="shared" si="24"/>
        <v>-0.27250685050498019</v>
      </c>
    </row>
    <row r="81" spans="1:32" x14ac:dyDescent="0.2">
      <c r="A81" s="30">
        <v>79</v>
      </c>
      <c r="B81" s="9" t="s">
        <v>1300</v>
      </c>
      <c r="C81" s="12">
        <v>67808</v>
      </c>
      <c r="D81" s="13" t="s">
        <v>80</v>
      </c>
      <c r="E81" s="17">
        <v>89.477907417500006</v>
      </c>
      <c r="F81" s="17">
        <v>22.066804884</v>
      </c>
      <c r="G81" s="14">
        <v>1689</v>
      </c>
      <c r="H81" s="17">
        <v>24.25</v>
      </c>
      <c r="I81" s="17">
        <v>25.87</v>
      </c>
      <c r="J81" s="17">
        <v>27.27</v>
      </c>
      <c r="K81" s="17">
        <v>28.36</v>
      </c>
      <c r="L81" s="17">
        <v>30.26</v>
      </c>
      <c r="M81" s="17">
        <f t="shared" si="16"/>
        <v>1.620000000000001</v>
      </c>
      <c r="N81" s="17">
        <f t="shared" si="17"/>
        <v>3.0199999999999996</v>
      </c>
      <c r="O81" s="17">
        <f t="shared" si="18"/>
        <v>4.1099999999999994</v>
      </c>
      <c r="P81" s="17">
        <f t="shared" si="19"/>
        <v>6.0100000000000016</v>
      </c>
      <c r="Q81" s="17">
        <f t="shared" si="20"/>
        <v>0.9245926221799402</v>
      </c>
      <c r="R81" s="17">
        <f t="shared" si="13"/>
        <v>1.2877557452385928</v>
      </c>
      <c r="S81" s="17">
        <f t="shared" si="14"/>
        <v>0.73228585764574428</v>
      </c>
      <c r="T81" s="17">
        <f t="shared" si="15"/>
        <v>1.2886290665903537</v>
      </c>
      <c r="U81" s="16">
        <v>27</v>
      </c>
      <c r="V81" s="16">
        <v>38</v>
      </c>
      <c r="W81" s="16">
        <v>42</v>
      </c>
      <c r="X81" s="16">
        <v>50</v>
      </c>
      <c r="Y81" s="15">
        <v>0.47049999999999997</v>
      </c>
      <c r="Z81" s="15">
        <v>0.5665</v>
      </c>
      <c r="AA81" s="15">
        <v>0.68149999999999999</v>
      </c>
      <c r="AB81" s="15">
        <v>0.79049999999999998</v>
      </c>
      <c r="AC81" s="3">
        <f t="shared" si="21"/>
        <v>0.19769864527019643</v>
      </c>
      <c r="AD81" s="3">
        <f t="shared" si="22"/>
        <v>-2.1766047097675951E-2</v>
      </c>
      <c r="AE81" s="3">
        <f t="shared" si="23"/>
        <v>1.7904043076652706E-2</v>
      </c>
      <c r="AF81" s="3">
        <f t="shared" si="24"/>
        <v>0.11357718773000468</v>
      </c>
    </row>
    <row r="82" spans="1:32" x14ac:dyDescent="0.2">
      <c r="A82" s="30">
        <v>80</v>
      </c>
      <c r="B82" s="9" t="s">
        <v>940</v>
      </c>
      <c r="C82" s="12">
        <v>67811</v>
      </c>
      <c r="D82" s="13" t="s">
        <v>81</v>
      </c>
      <c r="E82" s="17">
        <v>3.3510803626999999</v>
      </c>
      <c r="F82" s="17">
        <v>51.354986387099999</v>
      </c>
      <c r="G82" s="14">
        <v>10</v>
      </c>
      <c r="H82" s="17">
        <v>11.83</v>
      </c>
      <c r="I82" s="17">
        <v>11.35</v>
      </c>
      <c r="J82" s="17">
        <v>12.8</v>
      </c>
      <c r="K82" s="17">
        <v>15.07</v>
      </c>
      <c r="L82" s="17">
        <v>16.190000000000001</v>
      </c>
      <c r="M82" s="17">
        <f t="shared" si="16"/>
        <v>-0.48000000000000043</v>
      </c>
      <c r="N82" s="17">
        <f t="shared" si="17"/>
        <v>0.97000000000000064</v>
      </c>
      <c r="O82" s="17">
        <f t="shared" si="18"/>
        <v>3.24</v>
      </c>
      <c r="P82" s="17">
        <f t="shared" si="19"/>
        <v>4.3600000000000012</v>
      </c>
      <c r="Q82" s="17">
        <f t="shared" si="20"/>
        <v>-1.633983409529743</v>
      </c>
      <c r="R82" s="17">
        <f t="shared" si="13"/>
        <v>-1.598355858905266</v>
      </c>
      <c r="S82" s="17">
        <f t="shared" si="14"/>
        <v>-0.27800545611949234</v>
      </c>
      <c r="T82" s="17">
        <f t="shared" si="15"/>
        <v>-0.38145998894407479</v>
      </c>
      <c r="U82" s="16">
        <v>0</v>
      </c>
      <c r="V82" s="16">
        <v>0</v>
      </c>
      <c r="W82" s="16">
        <v>0</v>
      </c>
      <c r="X82" s="16">
        <v>0</v>
      </c>
      <c r="Y82" s="15">
        <v>0.48149999999999998</v>
      </c>
      <c r="Z82" s="15">
        <v>0.60599999999999998</v>
      </c>
      <c r="AA82" s="15">
        <v>0.69825000000000004</v>
      </c>
      <c r="AB82" s="15">
        <v>0.81399999999999995</v>
      </c>
      <c r="AC82" s="3">
        <f t="shared" si="21"/>
        <v>0.29934608262497192</v>
      </c>
      <c r="AD82" s="3">
        <f t="shared" si="22"/>
        <v>0.33268382803890773</v>
      </c>
      <c r="AE82" s="3">
        <f t="shared" si="23"/>
        <v>0.15581094809171803</v>
      </c>
      <c r="AF82" s="3">
        <f t="shared" si="24"/>
        <v>0.30661920684749711</v>
      </c>
    </row>
    <row r="83" spans="1:32" x14ac:dyDescent="0.2">
      <c r="A83" s="30">
        <v>81</v>
      </c>
      <c r="B83" s="9" t="s">
        <v>776</v>
      </c>
      <c r="C83" s="12">
        <v>67817</v>
      </c>
      <c r="D83" s="13" t="s">
        <v>82</v>
      </c>
      <c r="E83" s="17">
        <v>-50.919088684899997</v>
      </c>
      <c r="F83" s="17">
        <v>-31.2027823359</v>
      </c>
      <c r="G83" s="14">
        <v>178</v>
      </c>
      <c r="H83" s="17">
        <v>17.3</v>
      </c>
      <c r="I83" s="17">
        <v>19.66</v>
      </c>
      <c r="J83" s="17">
        <v>20.14</v>
      </c>
      <c r="K83" s="17">
        <v>21.67</v>
      </c>
      <c r="L83" s="17">
        <v>22.79</v>
      </c>
      <c r="M83" s="17">
        <f t="shared" si="16"/>
        <v>2.3599999999999994</v>
      </c>
      <c r="N83" s="17">
        <f t="shared" si="17"/>
        <v>2.84</v>
      </c>
      <c r="O83" s="17">
        <f t="shared" si="18"/>
        <v>4.370000000000001</v>
      </c>
      <c r="P83" s="17">
        <f t="shared" si="19"/>
        <v>5.4899999999999984</v>
      </c>
      <c r="Q83" s="17">
        <f t="shared" si="20"/>
        <v>1.8261860809728736</v>
      </c>
      <c r="R83" s="17">
        <f t="shared" si="13"/>
        <v>1.0343410678015714</v>
      </c>
      <c r="S83" s="17">
        <f t="shared" si="14"/>
        <v>1.0342119973916792</v>
      </c>
      <c r="T83" s="17">
        <f t="shared" si="15"/>
        <v>0.76229797030071256</v>
      </c>
      <c r="U83" s="16">
        <v>17</v>
      </c>
      <c r="V83" s="16">
        <v>20</v>
      </c>
      <c r="W83" s="16">
        <v>22</v>
      </c>
      <c r="X83" s="16">
        <v>24</v>
      </c>
      <c r="Y83" s="15">
        <v>0.39600000000000002</v>
      </c>
      <c r="Z83" s="15">
        <v>0.53</v>
      </c>
      <c r="AA83" s="15">
        <v>0.67</v>
      </c>
      <c r="AB83" s="15">
        <v>0.754</v>
      </c>
      <c r="AC83" s="3">
        <f t="shared" si="21"/>
        <v>-0.49073172590532749</v>
      </c>
      <c r="AD83" s="3">
        <f t="shared" si="22"/>
        <v>-0.34929567855300009</v>
      </c>
      <c r="AE83" s="3">
        <f t="shared" si="23"/>
        <v>-7.6778309620257196E-2</v>
      </c>
      <c r="AF83" s="3">
        <f t="shared" si="24"/>
        <v>-0.18625403345248381</v>
      </c>
    </row>
    <row r="84" spans="1:32" x14ac:dyDescent="0.2">
      <c r="A84" s="30">
        <v>82</v>
      </c>
      <c r="B84" s="9" t="s">
        <v>777</v>
      </c>
      <c r="C84" s="12">
        <v>67825</v>
      </c>
      <c r="D84" s="13" t="s">
        <v>83</v>
      </c>
      <c r="E84" s="17">
        <v>-70.778138670600001</v>
      </c>
      <c r="F84" s="17">
        <v>47.0802050753</v>
      </c>
      <c r="G84" s="14">
        <v>19</v>
      </c>
      <c r="H84" s="17">
        <v>4.3899999999999997</v>
      </c>
      <c r="I84" s="17">
        <v>4.8099999999999996</v>
      </c>
      <c r="J84" s="17">
        <v>7.26</v>
      </c>
      <c r="K84" s="17">
        <v>8.93</v>
      </c>
      <c r="L84" s="17">
        <v>9.85</v>
      </c>
      <c r="M84" s="17">
        <f t="shared" si="16"/>
        <v>0.41999999999999993</v>
      </c>
      <c r="N84" s="17">
        <f t="shared" si="17"/>
        <v>2.87</v>
      </c>
      <c r="O84" s="17">
        <f t="shared" si="18"/>
        <v>4.54</v>
      </c>
      <c r="P84" s="17">
        <f t="shared" si="19"/>
        <v>5.46</v>
      </c>
      <c r="Q84" s="17">
        <f t="shared" si="20"/>
        <v>-0.53745082451130766</v>
      </c>
      <c r="R84" s="17">
        <f t="shared" si="13"/>
        <v>1.0765768473744088</v>
      </c>
      <c r="S84" s="17">
        <f t="shared" si="14"/>
        <v>1.2316252426101728</v>
      </c>
      <c r="T84" s="17">
        <f t="shared" si="15"/>
        <v>0.73193271474554267</v>
      </c>
      <c r="U84" s="16">
        <v>0</v>
      </c>
      <c r="V84" s="16">
        <v>0</v>
      </c>
      <c r="W84" s="16">
        <v>0</v>
      </c>
      <c r="X84" s="16">
        <v>0</v>
      </c>
      <c r="Y84" s="15">
        <v>0</v>
      </c>
      <c r="Z84" s="15">
        <v>0</v>
      </c>
      <c r="AA84" s="15">
        <v>0</v>
      </c>
      <c r="AB84" s="15">
        <v>0</v>
      </c>
      <c r="AC84" s="3">
        <f t="shared" si="21"/>
        <v>-4.1500394706772425</v>
      </c>
      <c r="AD84" s="3">
        <f t="shared" si="22"/>
        <v>-5.1052053955755179</v>
      </c>
      <c r="AE84" s="3">
        <f t="shared" si="23"/>
        <v>-5.5930545102228564</v>
      </c>
      <c r="AF84" s="3">
        <f t="shared" si="24"/>
        <v>-6.38002775322225</v>
      </c>
    </row>
    <row r="85" spans="1:32" x14ac:dyDescent="0.2">
      <c r="A85" s="30">
        <v>83</v>
      </c>
      <c r="B85" s="9" t="s">
        <v>1410</v>
      </c>
      <c r="C85" s="12">
        <v>67826</v>
      </c>
      <c r="D85" s="13" t="s">
        <v>84</v>
      </c>
      <c r="E85" s="17">
        <v>-64.669308857900006</v>
      </c>
      <c r="F85" s="17">
        <v>45.742937347900003</v>
      </c>
      <c r="G85" s="14">
        <v>23</v>
      </c>
      <c r="H85" s="17">
        <v>7.14</v>
      </c>
      <c r="I85" s="17">
        <v>8.11</v>
      </c>
      <c r="J85" s="17">
        <v>10.07</v>
      </c>
      <c r="K85" s="17">
        <v>11.77</v>
      </c>
      <c r="L85" s="17">
        <v>12.37</v>
      </c>
      <c r="M85" s="17">
        <f t="shared" si="16"/>
        <v>0.96999999999999975</v>
      </c>
      <c r="N85" s="17">
        <f t="shared" si="17"/>
        <v>2.9300000000000006</v>
      </c>
      <c r="O85" s="17">
        <f t="shared" si="18"/>
        <v>4.63</v>
      </c>
      <c r="P85" s="17">
        <f t="shared" si="19"/>
        <v>5.2299999999999995</v>
      </c>
      <c r="Q85" s="17">
        <f t="shared" si="20"/>
        <v>0.13265242188884677</v>
      </c>
      <c r="R85" s="17">
        <f t="shared" si="13"/>
        <v>1.1610484065200835</v>
      </c>
      <c r="S85" s="17">
        <f t="shared" si="14"/>
        <v>1.3361381371376111</v>
      </c>
      <c r="T85" s="17">
        <f t="shared" si="15"/>
        <v>0.49913242215589465</v>
      </c>
      <c r="U85" s="16">
        <v>2</v>
      </c>
      <c r="V85" s="16">
        <v>2</v>
      </c>
      <c r="W85" s="16">
        <v>2</v>
      </c>
      <c r="X85" s="16">
        <v>2</v>
      </c>
      <c r="Y85" s="15">
        <v>0.628</v>
      </c>
      <c r="Z85" s="15">
        <v>0.77</v>
      </c>
      <c r="AA85" s="15">
        <v>0.877</v>
      </c>
      <c r="AB85" s="15">
        <v>1</v>
      </c>
      <c r="AC85" s="3">
        <f t="shared" si="21"/>
        <v>1.6531051346681171</v>
      </c>
      <c r="AD85" s="3">
        <f t="shared" si="22"/>
        <v>1.8043238159477626</v>
      </c>
      <c r="AE85" s="3">
        <f t="shared" si="23"/>
        <v>1.6275040389241275</v>
      </c>
      <c r="AF85" s="3">
        <f t="shared" si="24"/>
        <v>1.8345262517774399</v>
      </c>
    </row>
    <row r="86" spans="1:32" x14ac:dyDescent="0.2">
      <c r="A86" s="30">
        <v>84</v>
      </c>
      <c r="B86" s="9" t="s">
        <v>778</v>
      </c>
      <c r="C86" s="12">
        <v>67833</v>
      </c>
      <c r="D86" s="13" t="s">
        <v>85</v>
      </c>
      <c r="E86" s="17">
        <v>-123.065409601</v>
      </c>
      <c r="F86" s="17">
        <v>49.088396702099999</v>
      </c>
      <c r="G86" s="14">
        <v>387</v>
      </c>
      <c r="H86" s="17">
        <v>11.14</v>
      </c>
      <c r="I86" s="17">
        <v>13.51</v>
      </c>
      <c r="J86" s="17">
        <v>13.7</v>
      </c>
      <c r="K86" s="17">
        <v>16.22</v>
      </c>
      <c r="L86" s="17">
        <v>16.96</v>
      </c>
      <c r="M86" s="17">
        <f t="shared" si="16"/>
        <v>2.3699999999999992</v>
      </c>
      <c r="N86" s="17">
        <f t="shared" si="17"/>
        <v>2.5599999999999987</v>
      </c>
      <c r="O86" s="17">
        <f t="shared" si="18"/>
        <v>5.0799999999999983</v>
      </c>
      <c r="P86" s="17">
        <f t="shared" si="19"/>
        <v>5.82</v>
      </c>
      <c r="Q86" s="17">
        <f t="shared" si="20"/>
        <v>1.8383697763619671</v>
      </c>
      <c r="R86" s="17">
        <f t="shared" si="13"/>
        <v>0.64014045845509127</v>
      </c>
      <c r="S86" s="17">
        <f t="shared" si="14"/>
        <v>1.858702609774801</v>
      </c>
      <c r="T86" s="17">
        <f t="shared" si="15"/>
        <v>1.0963157814076001</v>
      </c>
      <c r="U86" s="16">
        <v>3</v>
      </c>
      <c r="V86" s="16">
        <v>3</v>
      </c>
      <c r="W86" s="16">
        <v>3</v>
      </c>
      <c r="X86" s="16">
        <v>3</v>
      </c>
      <c r="Y86" s="15">
        <v>0.255666666667</v>
      </c>
      <c r="Z86" s="15">
        <v>0.33333333333300003</v>
      </c>
      <c r="AA86" s="15">
        <v>0.41466666666699997</v>
      </c>
      <c r="AB86" s="15">
        <v>0.48422222222200001</v>
      </c>
      <c r="AC86" s="3">
        <f t="shared" si="21"/>
        <v>-1.7875066085192306</v>
      </c>
      <c r="AD86" s="3">
        <f t="shared" si="22"/>
        <v>-2.1140672087718939</v>
      </c>
      <c r="AE86" s="3">
        <f t="shared" si="23"/>
        <v>-2.1790009810909416</v>
      </c>
      <c r="AF86" s="3">
        <f t="shared" si="24"/>
        <v>-2.4023581583586702</v>
      </c>
    </row>
    <row r="87" spans="1:32" x14ac:dyDescent="0.2">
      <c r="A87" s="30">
        <v>85</v>
      </c>
      <c r="B87" s="9" t="s">
        <v>779</v>
      </c>
      <c r="C87" s="12">
        <v>67841</v>
      </c>
      <c r="D87" s="13" t="s">
        <v>86</v>
      </c>
      <c r="E87" s="17">
        <v>-64.259345886700004</v>
      </c>
      <c r="F87" s="17">
        <v>45.804363112099999</v>
      </c>
      <c r="G87" s="14">
        <v>11</v>
      </c>
      <c r="H87" s="17">
        <v>7.16</v>
      </c>
      <c r="I87" s="17">
        <v>8.18</v>
      </c>
      <c r="J87" s="17">
        <v>10.07</v>
      </c>
      <c r="K87" s="17">
        <v>11.87</v>
      </c>
      <c r="L87" s="17">
        <v>12.44</v>
      </c>
      <c r="M87" s="17">
        <f t="shared" si="16"/>
        <v>1.0199999999999996</v>
      </c>
      <c r="N87" s="17">
        <f t="shared" si="17"/>
        <v>2.91</v>
      </c>
      <c r="O87" s="17">
        <f t="shared" si="18"/>
        <v>4.7099999999999991</v>
      </c>
      <c r="P87" s="17">
        <f t="shared" si="19"/>
        <v>5.2799999999999994</v>
      </c>
      <c r="Q87" s="17">
        <f t="shared" si="20"/>
        <v>0.19357089883431516</v>
      </c>
      <c r="R87" s="17">
        <f t="shared" si="13"/>
        <v>1.1328912201381915</v>
      </c>
      <c r="S87" s="17">
        <f t="shared" si="14"/>
        <v>1.4290384878286664</v>
      </c>
      <c r="T87" s="17">
        <f t="shared" si="15"/>
        <v>0.54974118141451356</v>
      </c>
      <c r="U87" s="16">
        <v>0</v>
      </c>
      <c r="V87" s="16">
        <v>0</v>
      </c>
      <c r="W87" s="16">
        <v>0</v>
      </c>
      <c r="X87" s="16">
        <v>0</v>
      </c>
      <c r="Y87" s="15">
        <v>0.66400000000000003</v>
      </c>
      <c r="Z87" s="15">
        <v>0.80600000000000005</v>
      </c>
      <c r="AA87" s="15">
        <v>0.91400000000000003</v>
      </c>
      <c r="AB87" s="15">
        <v>1.038</v>
      </c>
      <c r="AC87" s="3">
        <f t="shared" si="21"/>
        <v>1.9857694751019279</v>
      </c>
      <c r="AD87" s="3">
        <f t="shared" si="22"/>
        <v>2.1273667401228775</v>
      </c>
      <c r="AE87" s="3">
        <f t="shared" si="23"/>
        <v>1.9321342171663609</v>
      </c>
      <c r="AF87" s="3">
        <f t="shared" si="24"/>
        <v>2.1466793039674283</v>
      </c>
    </row>
    <row r="88" spans="1:32" x14ac:dyDescent="0.2">
      <c r="A88" s="30">
        <v>86</v>
      </c>
      <c r="B88" s="9" t="s">
        <v>780</v>
      </c>
      <c r="C88" s="12">
        <v>67842</v>
      </c>
      <c r="D88" s="13" t="s">
        <v>87</v>
      </c>
      <c r="E88" s="17">
        <v>-84.398441663</v>
      </c>
      <c r="F88" s="17">
        <v>54.952909317</v>
      </c>
      <c r="G88" s="14">
        <v>3174</v>
      </c>
      <c r="H88" s="17">
        <v>-2.66</v>
      </c>
      <c r="I88" s="17">
        <v>-0.16</v>
      </c>
      <c r="J88" s="17">
        <v>2.15</v>
      </c>
      <c r="K88" s="17">
        <v>3.01</v>
      </c>
      <c r="L88" s="17">
        <v>6.87</v>
      </c>
      <c r="M88" s="17">
        <f t="shared" si="16"/>
        <v>2.5</v>
      </c>
      <c r="N88" s="17">
        <f t="shared" si="17"/>
        <v>4.8100000000000005</v>
      </c>
      <c r="O88" s="17">
        <f t="shared" si="18"/>
        <v>5.67</v>
      </c>
      <c r="P88" s="17">
        <f t="shared" si="19"/>
        <v>9.5300000000000011</v>
      </c>
      <c r="Q88" s="17">
        <f t="shared" si="20"/>
        <v>1.9967578164201865</v>
      </c>
      <c r="R88" s="17">
        <f t="shared" si="13"/>
        <v>3.8078239264178677</v>
      </c>
      <c r="S88" s="17">
        <f t="shared" si="14"/>
        <v>2.5438426961213434</v>
      </c>
      <c r="T88" s="17">
        <f t="shared" si="15"/>
        <v>4.8514857183971332</v>
      </c>
      <c r="U88" s="16">
        <v>205</v>
      </c>
      <c r="V88" s="16">
        <v>156</v>
      </c>
      <c r="W88" s="16">
        <v>95</v>
      </c>
      <c r="X88" s="16">
        <v>23</v>
      </c>
      <c r="Y88" s="15">
        <v>-0.46800000000000003</v>
      </c>
      <c r="Z88" s="15">
        <v>-0.34</v>
      </c>
      <c r="AA88" s="15">
        <v>-0.23200000000000001</v>
      </c>
      <c r="AB88" s="15">
        <v>-9.1999999999999998E-2</v>
      </c>
      <c r="AC88" s="3">
        <f t="shared" si="21"/>
        <v>-8.4746758963167768</v>
      </c>
      <c r="AD88" s="3">
        <f t="shared" si="22"/>
        <v>-8.1561663461182672</v>
      </c>
      <c r="AE88" s="3">
        <f t="shared" si="23"/>
        <v>-7.5031680602822632</v>
      </c>
      <c r="AF88" s="3">
        <f t="shared" si="24"/>
        <v>-7.1357667216822218</v>
      </c>
    </row>
    <row r="89" spans="1:32" x14ac:dyDescent="0.2">
      <c r="A89" s="30">
        <v>87</v>
      </c>
      <c r="B89" s="9" t="s">
        <v>1411</v>
      </c>
      <c r="C89" s="12">
        <v>67844</v>
      </c>
      <c r="D89" s="13" t="s">
        <v>88</v>
      </c>
      <c r="E89" s="17">
        <v>-69.360954077599999</v>
      </c>
      <c r="F89" s="17">
        <v>48.0280428477</v>
      </c>
      <c r="G89" s="14">
        <v>29</v>
      </c>
      <c r="H89" s="17">
        <v>5.29</v>
      </c>
      <c r="I89" s="17">
        <v>5.89</v>
      </c>
      <c r="J89" s="17">
        <v>8.36</v>
      </c>
      <c r="K89" s="17">
        <v>9.76</v>
      </c>
      <c r="L89" s="17">
        <v>10.95</v>
      </c>
      <c r="M89" s="17">
        <f t="shared" si="16"/>
        <v>0.59999999999999964</v>
      </c>
      <c r="N89" s="17">
        <f t="shared" si="17"/>
        <v>3.0699999999999994</v>
      </c>
      <c r="O89" s="17">
        <f t="shared" si="18"/>
        <v>4.47</v>
      </c>
      <c r="P89" s="17">
        <f t="shared" si="19"/>
        <v>5.6599999999999993</v>
      </c>
      <c r="Q89" s="17">
        <f t="shared" si="20"/>
        <v>-0.31814430750762107</v>
      </c>
      <c r="R89" s="17">
        <f t="shared" si="13"/>
        <v>1.358148711193321</v>
      </c>
      <c r="S89" s="17">
        <f t="shared" si="14"/>
        <v>1.1503374357554981</v>
      </c>
      <c r="T89" s="17">
        <f t="shared" si="15"/>
        <v>0.93436775178001807</v>
      </c>
      <c r="U89" s="16">
        <v>1</v>
      </c>
      <c r="V89" s="16">
        <v>1</v>
      </c>
      <c r="W89" s="16">
        <v>1</v>
      </c>
      <c r="X89" s="16">
        <v>1</v>
      </c>
      <c r="Y89" s="15">
        <v>0.33850000000000002</v>
      </c>
      <c r="Z89" s="15">
        <v>0.47199999999999998</v>
      </c>
      <c r="AA89" s="15">
        <v>0.57499999999999996</v>
      </c>
      <c r="AB89" s="15">
        <v>0.69850000000000001</v>
      </c>
      <c r="AC89" s="3">
        <f t="shared" si="21"/>
        <v>-1.0220706029871078</v>
      </c>
      <c r="AD89" s="3">
        <f t="shared" si="22"/>
        <v>-0.86975372305735155</v>
      </c>
      <c r="AE89" s="3">
        <f t="shared" si="23"/>
        <v>-0.85893687537734276</v>
      </c>
      <c r="AF89" s="3">
        <f t="shared" si="24"/>
        <v>-0.64216178072996655</v>
      </c>
    </row>
    <row r="90" spans="1:32" x14ac:dyDescent="0.2">
      <c r="A90" s="30">
        <v>88</v>
      </c>
      <c r="B90" s="9" t="s">
        <v>781</v>
      </c>
      <c r="C90" s="12">
        <v>67845</v>
      </c>
      <c r="D90" s="13" t="s">
        <v>89</v>
      </c>
      <c r="E90" s="17">
        <v>-64.571252367400007</v>
      </c>
      <c r="F90" s="17">
        <v>45.785081891899999</v>
      </c>
      <c r="G90" s="14">
        <v>180</v>
      </c>
      <c r="H90" s="17">
        <v>7.12</v>
      </c>
      <c r="I90" s="17">
        <v>8.1</v>
      </c>
      <c r="J90" s="17">
        <v>10.039999999999999</v>
      </c>
      <c r="K90" s="17">
        <v>11.75</v>
      </c>
      <c r="L90" s="17">
        <v>12.36</v>
      </c>
      <c r="M90" s="17">
        <f t="shared" si="16"/>
        <v>0.97999999999999954</v>
      </c>
      <c r="N90" s="17">
        <f t="shared" si="17"/>
        <v>2.919999999999999</v>
      </c>
      <c r="O90" s="17">
        <f t="shared" si="18"/>
        <v>4.63</v>
      </c>
      <c r="P90" s="17">
        <f t="shared" si="19"/>
        <v>5.2399999999999993</v>
      </c>
      <c r="Q90" s="17">
        <f t="shared" si="20"/>
        <v>0.14483611727794021</v>
      </c>
      <c r="R90" s="17">
        <f t="shared" si="13"/>
        <v>1.1469698133291355</v>
      </c>
      <c r="S90" s="17">
        <f t="shared" si="14"/>
        <v>1.3361381371376111</v>
      </c>
      <c r="T90" s="17">
        <f t="shared" si="15"/>
        <v>0.5092541740076183</v>
      </c>
      <c r="U90" s="16">
        <v>3</v>
      </c>
      <c r="V90" s="16">
        <v>3</v>
      </c>
      <c r="W90" s="16">
        <v>3</v>
      </c>
      <c r="X90" s="16">
        <v>3</v>
      </c>
      <c r="Y90" s="15">
        <v>0.628</v>
      </c>
      <c r="Z90" s="15">
        <v>0.77</v>
      </c>
      <c r="AA90" s="15">
        <v>0.877</v>
      </c>
      <c r="AB90" s="15">
        <v>1</v>
      </c>
      <c r="AC90" s="3">
        <f t="shared" si="21"/>
        <v>1.6531051346681171</v>
      </c>
      <c r="AD90" s="3">
        <f t="shared" si="22"/>
        <v>1.8043238159477626</v>
      </c>
      <c r="AE90" s="3">
        <f t="shared" si="23"/>
        <v>1.6275040389241275</v>
      </c>
      <c r="AF90" s="3">
        <f t="shared" si="24"/>
        <v>1.8345262517774399</v>
      </c>
    </row>
    <row r="91" spans="1:32" x14ac:dyDescent="0.2">
      <c r="A91" s="30">
        <v>89</v>
      </c>
      <c r="B91" s="9" t="s">
        <v>782</v>
      </c>
      <c r="C91" s="12">
        <v>67846</v>
      </c>
      <c r="D91" s="13" t="s">
        <v>90</v>
      </c>
      <c r="E91" s="17">
        <v>-59.307482073000003</v>
      </c>
      <c r="F91" s="17">
        <v>47.8443146611</v>
      </c>
      <c r="G91" s="14">
        <v>13</v>
      </c>
      <c r="H91" s="17">
        <v>6.29</v>
      </c>
      <c r="I91" s="17">
        <v>7.68</v>
      </c>
      <c r="J91" s="17">
        <v>8.74</v>
      </c>
      <c r="K91" s="17">
        <v>10.5</v>
      </c>
      <c r="L91" s="17">
        <v>11.52</v>
      </c>
      <c r="M91" s="17">
        <f t="shared" si="16"/>
        <v>1.3899999999999997</v>
      </c>
      <c r="N91" s="17">
        <f t="shared" si="17"/>
        <v>2.4500000000000002</v>
      </c>
      <c r="O91" s="17">
        <f t="shared" si="18"/>
        <v>4.21</v>
      </c>
      <c r="P91" s="17">
        <f t="shared" si="19"/>
        <v>5.2299999999999995</v>
      </c>
      <c r="Q91" s="17">
        <f t="shared" si="20"/>
        <v>0.64436762823078297</v>
      </c>
      <c r="R91" s="17">
        <f t="shared" si="13"/>
        <v>0.4852759333546911</v>
      </c>
      <c r="S91" s="17">
        <f t="shared" si="14"/>
        <v>0.84841129600956533</v>
      </c>
      <c r="T91" s="17">
        <f t="shared" si="15"/>
        <v>0.49913242215589465</v>
      </c>
      <c r="U91" s="16">
        <v>2</v>
      </c>
      <c r="V91" s="16">
        <v>2</v>
      </c>
      <c r="W91" s="16">
        <v>2</v>
      </c>
      <c r="X91" s="16">
        <v>2</v>
      </c>
      <c r="Y91" s="15">
        <v>0.629</v>
      </c>
      <c r="Z91" s="15">
        <v>0.76900000000000002</v>
      </c>
      <c r="AA91" s="15">
        <v>0.875</v>
      </c>
      <c r="AB91" s="15">
        <v>0.99450000000000005</v>
      </c>
      <c r="AC91" s="3">
        <f t="shared" si="21"/>
        <v>1.6623458107912787</v>
      </c>
      <c r="AD91" s="3">
        <f t="shared" si="22"/>
        <v>1.7953504013873429</v>
      </c>
      <c r="AE91" s="3">
        <f t="shared" si="23"/>
        <v>1.6110375428029258</v>
      </c>
      <c r="AF91" s="3">
        <f t="shared" si="24"/>
        <v>1.789346204749942</v>
      </c>
    </row>
    <row r="92" spans="1:32" x14ac:dyDescent="0.2">
      <c r="A92" s="30">
        <v>90</v>
      </c>
      <c r="B92" s="9" t="s">
        <v>783</v>
      </c>
      <c r="C92" s="12">
        <v>67849</v>
      </c>
      <c r="D92" s="13" t="s">
        <v>91</v>
      </c>
      <c r="E92" s="17">
        <v>-79.624465031400007</v>
      </c>
      <c r="F92" s="17">
        <v>51.340257078500002</v>
      </c>
      <c r="G92" s="14">
        <v>84</v>
      </c>
      <c r="H92" s="17">
        <v>2.21</v>
      </c>
      <c r="I92" s="17">
        <v>2.11</v>
      </c>
      <c r="J92" s="17">
        <v>5.52</v>
      </c>
      <c r="K92" s="17">
        <v>6.91</v>
      </c>
      <c r="L92" s="17">
        <v>9.86</v>
      </c>
      <c r="M92" s="17">
        <f t="shared" si="16"/>
        <v>-0.10000000000000009</v>
      </c>
      <c r="N92" s="17">
        <f t="shared" si="17"/>
        <v>3.3099999999999996</v>
      </c>
      <c r="O92" s="17">
        <f t="shared" si="18"/>
        <v>4.7</v>
      </c>
      <c r="P92" s="17">
        <f t="shared" si="19"/>
        <v>7.6499999999999995</v>
      </c>
      <c r="Q92" s="17">
        <f t="shared" si="20"/>
        <v>-1.1710029847441812</v>
      </c>
      <c r="R92" s="17">
        <f t="shared" si="13"/>
        <v>1.696034947776017</v>
      </c>
      <c r="S92" s="17">
        <f t="shared" si="14"/>
        <v>1.4174259439922856</v>
      </c>
      <c r="T92" s="17">
        <f t="shared" si="15"/>
        <v>2.9485963702730555</v>
      </c>
      <c r="U92" s="16">
        <v>3</v>
      </c>
      <c r="V92" s="16">
        <v>1</v>
      </c>
      <c r="W92" s="16">
        <v>1</v>
      </c>
      <c r="X92" s="16">
        <v>4</v>
      </c>
      <c r="Y92" s="15">
        <v>-0.29599999999999999</v>
      </c>
      <c r="Z92" s="15">
        <v>-0.158</v>
      </c>
      <c r="AA92" s="15">
        <v>-5.1999999999999998E-2</v>
      </c>
      <c r="AB92" s="15">
        <v>0.10100000000000001</v>
      </c>
      <c r="AC92" s="3">
        <f t="shared" si="21"/>
        <v>-6.885279603133017</v>
      </c>
      <c r="AD92" s="3">
        <f t="shared" si="22"/>
        <v>-6.5230048961218543</v>
      </c>
      <c r="AE92" s="3">
        <f t="shared" si="23"/>
        <v>-6.0211834093741032</v>
      </c>
      <c r="AF92" s="3">
        <f t="shared" si="24"/>
        <v>-5.5503577987172816</v>
      </c>
    </row>
    <row r="93" spans="1:32" x14ac:dyDescent="0.2">
      <c r="A93" s="30">
        <v>91</v>
      </c>
      <c r="B93" s="9" t="s">
        <v>784</v>
      </c>
      <c r="C93" s="12">
        <v>67851</v>
      </c>
      <c r="D93" s="13" t="s">
        <v>92</v>
      </c>
      <c r="E93" s="17">
        <v>-63.107256690699998</v>
      </c>
      <c r="F93" s="17">
        <v>44.708763669299998</v>
      </c>
      <c r="G93" s="14">
        <v>31</v>
      </c>
      <c r="H93" s="17">
        <v>7.84</v>
      </c>
      <c r="I93" s="17">
        <v>8.7899999999999991</v>
      </c>
      <c r="J93" s="17">
        <v>10.75</v>
      </c>
      <c r="K93" s="17">
        <v>12.41</v>
      </c>
      <c r="L93" s="17">
        <v>12.71</v>
      </c>
      <c r="M93" s="17">
        <f t="shared" si="16"/>
        <v>0.94999999999999929</v>
      </c>
      <c r="N93" s="17">
        <f t="shared" si="17"/>
        <v>2.91</v>
      </c>
      <c r="O93" s="17">
        <f t="shared" si="18"/>
        <v>4.57</v>
      </c>
      <c r="P93" s="17">
        <f t="shared" si="19"/>
        <v>4.870000000000001</v>
      </c>
      <c r="Q93" s="17">
        <f t="shared" si="20"/>
        <v>0.10828503111065875</v>
      </c>
      <c r="R93" s="17">
        <f t="shared" si="13"/>
        <v>1.1328912201381915</v>
      </c>
      <c r="S93" s="17">
        <f t="shared" si="14"/>
        <v>1.2664628741193191</v>
      </c>
      <c r="T93" s="17">
        <f t="shared" si="15"/>
        <v>0.13474935549383912</v>
      </c>
      <c r="U93" s="16">
        <v>2</v>
      </c>
      <c r="V93" s="16">
        <v>2</v>
      </c>
      <c r="W93" s="16">
        <v>2</v>
      </c>
      <c r="X93" s="16">
        <v>2</v>
      </c>
      <c r="Y93" s="15">
        <v>0.68799999999999994</v>
      </c>
      <c r="Z93" s="15">
        <v>0.83099999999999996</v>
      </c>
      <c r="AA93" s="15">
        <v>0.94</v>
      </c>
      <c r="AB93" s="15">
        <v>1.0580000000000001</v>
      </c>
      <c r="AC93" s="3">
        <f t="shared" si="21"/>
        <v>2.2075457020578009</v>
      </c>
      <c r="AD93" s="3">
        <f t="shared" si="22"/>
        <v>2.3517021041333726</v>
      </c>
      <c r="AE93" s="3">
        <f t="shared" si="23"/>
        <v>2.1461986667419835</v>
      </c>
      <c r="AF93" s="3">
        <f t="shared" si="24"/>
        <v>2.3109703840674225</v>
      </c>
    </row>
    <row r="94" spans="1:32" x14ac:dyDescent="0.2">
      <c r="A94" s="30">
        <v>92</v>
      </c>
      <c r="B94" s="9" t="s">
        <v>785</v>
      </c>
      <c r="C94" s="12">
        <v>67853</v>
      </c>
      <c r="D94" s="13" t="s">
        <v>93</v>
      </c>
      <c r="E94" s="17">
        <v>-64.278854727400002</v>
      </c>
      <c r="F94" s="17">
        <v>45.173933049299997</v>
      </c>
      <c r="G94" s="14">
        <v>333</v>
      </c>
      <c r="H94" s="17">
        <v>8.01</v>
      </c>
      <c r="I94" s="17">
        <v>9.02</v>
      </c>
      <c r="J94" s="17">
        <v>10.88</v>
      </c>
      <c r="K94" s="17">
        <v>12.65</v>
      </c>
      <c r="L94" s="17">
        <v>13.11</v>
      </c>
      <c r="M94" s="17">
        <f t="shared" si="16"/>
        <v>1.0099999999999998</v>
      </c>
      <c r="N94" s="17">
        <f t="shared" si="17"/>
        <v>2.870000000000001</v>
      </c>
      <c r="O94" s="17">
        <f t="shared" si="18"/>
        <v>4.6400000000000006</v>
      </c>
      <c r="P94" s="17">
        <f t="shared" si="19"/>
        <v>5.0999999999999996</v>
      </c>
      <c r="Q94" s="17">
        <f t="shared" si="20"/>
        <v>0.18138720344522169</v>
      </c>
      <c r="R94" s="17">
        <f t="shared" si="13"/>
        <v>1.07657684737441</v>
      </c>
      <c r="S94" s="17">
        <f t="shared" si="14"/>
        <v>1.3477506809739939</v>
      </c>
      <c r="T94" s="17">
        <f t="shared" si="15"/>
        <v>0.36754964808348528</v>
      </c>
      <c r="U94" s="16">
        <v>5</v>
      </c>
      <c r="V94" s="16">
        <v>5</v>
      </c>
      <c r="W94" s="16">
        <v>5</v>
      </c>
      <c r="X94" s="16">
        <v>7</v>
      </c>
      <c r="Y94" s="15">
        <v>0.67100000000000004</v>
      </c>
      <c r="Z94" s="15">
        <v>0.81499999999999995</v>
      </c>
      <c r="AA94" s="15">
        <v>0.92400000000000004</v>
      </c>
      <c r="AB94" s="15">
        <v>1.042</v>
      </c>
      <c r="AC94" s="3">
        <f t="shared" si="21"/>
        <v>2.0504542079640578</v>
      </c>
      <c r="AD94" s="3">
        <f t="shared" si="22"/>
        <v>2.2081274711666552</v>
      </c>
      <c r="AE94" s="3">
        <f t="shared" si="23"/>
        <v>2.0144666977723698</v>
      </c>
      <c r="AF94" s="3">
        <f t="shared" si="24"/>
        <v>2.1795375199874272</v>
      </c>
    </row>
    <row r="95" spans="1:32" x14ac:dyDescent="0.2">
      <c r="A95" s="30">
        <v>93</v>
      </c>
      <c r="B95" s="9" t="s">
        <v>786</v>
      </c>
      <c r="C95" s="12">
        <v>67854</v>
      </c>
      <c r="D95" s="13" t="s">
        <v>94</v>
      </c>
      <c r="E95" s="17">
        <v>-63.805014245199999</v>
      </c>
      <c r="F95" s="17">
        <v>46.545208275299998</v>
      </c>
      <c r="G95" s="14">
        <v>284</v>
      </c>
      <c r="H95" s="17">
        <v>7.36</v>
      </c>
      <c r="I95" s="17">
        <v>8.3800000000000008</v>
      </c>
      <c r="J95" s="17">
        <v>10.24</v>
      </c>
      <c r="K95" s="17">
        <v>12.14</v>
      </c>
      <c r="L95" s="17">
        <v>12.78</v>
      </c>
      <c r="M95" s="17">
        <f t="shared" si="16"/>
        <v>1.0200000000000005</v>
      </c>
      <c r="N95" s="17">
        <f t="shared" si="17"/>
        <v>2.88</v>
      </c>
      <c r="O95" s="17">
        <f t="shared" si="18"/>
        <v>4.78</v>
      </c>
      <c r="P95" s="17">
        <f t="shared" si="19"/>
        <v>5.419999999999999</v>
      </c>
      <c r="Q95" s="17">
        <f t="shared" si="20"/>
        <v>0.19357089883431625</v>
      </c>
      <c r="R95" s="17">
        <f t="shared" si="13"/>
        <v>1.0906554405653541</v>
      </c>
      <c r="S95" s="17">
        <f t="shared" si="14"/>
        <v>1.510326294683342</v>
      </c>
      <c r="T95" s="17">
        <f t="shared" si="15"/>
        <v>0.69144570733864652</v>
      </c>
      <c r="U95" s="16">
        <v>10</v>
      </c>
      <c r="V95" s="16">
        <v>12</v>
      </c>
      <c r="W95" s="16">
        <v>13</v>
      </c>
      <c r="X95" s="16">
        <v>13</v>
      </c>
      <c r="Y95" s="15">
        <v>0.67200000000000004</v>
      </c>
      <c r="Z95" s="15">
        <v>0.81200000000000006</v>
      </c>
      <c r="AA95" s="15">
        <v>0.91800000000000004</v>
      </c>
      <c r="AB95" s="15">
        <v>1.0429999999999999</v>
      </c>
      <c r="AC95" s="3">
        <f t="shared" si="21"/>
        <v>2.0596948840872193</v>
      </c>
      <c r="AD95" s="3">
        <f t="shared" si="22"/>
        <v>2.1812072274853964</v>
      </c>
      <c r="AE95" s="3">
        <f t="shared" si="23"/>
        <v>1.9650672094087644</v>
      </c>
      <c r="AF95" s="3">
        <f t="shared" si="24"/>
        <v>2.1877520739924261</v>
      </c>
    </row>
    <row r="96" spans="1:32" x14ac:dyDescent="0.2">
      <c r="A96" s="30">
        <v>94</v>
      </c>
      <c r="B96" s="9" t="s">
        <v>787</v>
      </c>
      <c r="C96" s="12">
        <v>67863</v>
      </c>
      <c r="D96" s="13" t="s">
        <v>95</v>
      </c>
      <c r="E96" s="17">
        <v>-85.310189664399999</v>
      </c>
      <c r="F96" s="17">
        <v>10.342054965000001</v>
      </c>
      <c r="G96" s="14">
        <v>36</v>
      </c>
      <c r="H96" s="17">
        <v>26.73</v>
      </c>
      <c r="I96" s="17">
        <v>27.29</v>
      </c>
      <c r="J96" s="17">
        <v>28.76</v>
      </c>
      <c r="K96" s="17">
        <v>30.56</v>
      </c>
      <c r="L96" s="17">
        <v>31.45</v>
      </c>
      <c r="M96" s="17">
        <f t="shared" si="16"/>
        <v>0.55999999999999872</v>
      </c>
      <c r="N96" s="17">
        <f t="shared" si="17"/>
        <v>2.0300000000000011</v>
      </c>
      <c r="O96" s="17">
        <f t="shared" si="18"/>
        <v>3.8299999999999983</v>
      </c>
      <c r="P96" s="17">
        <f t="shared" si="19"/>
        <v>4.7199999999999989</v>
      </c>
      <c r="Q96" s="17">
        <f t="shared" si="20"/>
        <v>-0.36687908906399708</v>
      </c>
      <c r="R96" s="17">
        <f t="shared" si="13"/>
        <v>-0.10602498066502532</v>
      </c>
      <c r="S96" s="17">
        <f t="shared" si="14"/>
        <v>0.40713463022704582</v>
      </c>
      <c r="T96" s="17">
        <f t="shared" si="15"/>
        <v>-1.7076922282020141E-2</v>
      </c>
      <c r="U96" s="16">
        <v>0</v>
      </c>
      <c r="V96" s="16">
        <v>0</v>
      </c>
      <c r="W96" s="16">
        <v>0</v>
      </c>
      <c r="X96" s="16">
        <v>0</v>
      </c>
      <c r="Y96" s="15">
        <v>0.51</v>
      </c>
      <c r="Z96" s="15">
        <v>0.61650000000000005</v>
      </c>
      <c r="AA96" s="15">
        <v>0.75049999999999994</v>
      </c>
      <c r="AB96" s="15">
        <v>0.82499999999999996</v>
      </c>
      <c r="AC96" s="3">
        <f t="shared" si="21"/>
        <v>0.56270535213507211</v>
      </c>
      <c r="AD96" s="3">
        <f t="shared" si="22"/>
        <v>0.42690468092331668</v>
      </c>
      <c r="AE96" s="3">
        <f t="shared" si="23"/>
        <v>0.58599815925811394</v>
      </c>
      <c r="AF96" s="3">
        <f t="shared" si="24"/>
        <v>0.39697930090249378</v>
      </c>
    </row>
    <row r="97" spans="1:32" x14ac:dyDescent="0.2">
      <c r="A97" s="30">
        <v>95</v>
      </c>
      <c r="B97" s="9" t="s">
        <v>788</v>
      </c>
      <c r="C97" s="12">
        <v>67865</v>
      </c>
      <c r="D97" s="13" t="s">
        <v>96</v>
      </c>
      <c r="E97" s="17">
        <v>-85.845020552400001</v>
      </c>
      <c r="F97" s="17">
        <v>10.323879906</v>
      </c>
      <c r="G97" s="14">
        <v>9</v>
      </c>
      <c r="H97" s="17">
        <v>27.06</v>
      </c>
      <c r="I97" s="17">
        <v>27.31</v>
      </c>
      <c r="J97" s="17">
        <v>28.67</v>
      </c>
      <c r="K97" s="17">
        <v>30.22</v>
      </c>
      <c r="L97" s="17">
        <v>30.88</v>
      </c>
      <c r="M97" s="17">
        <f t="shared" si="16"/>
        <v>0.25</v>
      </c>
      <c r="N97" s="17">
        <f t="shared" si="17"/>
        <v>1.610000000000003</v>
      </c>
      <c r="O97" s="17">
        <f t="shared" si="18"/>
        <v>3.16</v>
      </c>
      <c r="P97" s="17">
        <f t="shared" si="19"/>
        <v>3.8200000000000003</v>
      </c>
      <c r="Q97" s="17">
        <f t="shared" si="20"/>
        <v>-0.74457364612590093</v>
      </c>
      <c r="R97" s="17">
        <f t="shared" si="13"/>
        <v>-0.69732589468474049</v>
      </c>
      <c r="S97" s="17">
        <f t="shared" si="14"/>
        <v>-0.37090580681054874</v>
      </c>
      <c r="T97" s="17">
        <f t="shared" si="15"/>
        <v>-0.92803458893716129</v>
      </c>
      <c r="U97" s="16">
        <v>0</v>
      </c>
      <c r="V97" s="16">
        <v>0</v>
      </c>
      <c r="W97" s="16">
        <v>0</v>
      </c>
      <c r="X97" s="16">
        <v>0</v>
      </c>
      <c r="Y97" s="15">
        <v>0.51400000000000001</v>
      </c>
      <c r="Z97" s="15">
        <v>0.61799999999999999</v>
      </c>
      <c r="AA97" s="15">
        <v>0.754</v>
      </c>
      <c r="AB97" s="15">
        <v>0.83</v>
      </c>
      <c r="AC97" s="3">
        <f t="shared" si="21"/>
        <v>0.59966805662771772</v>
      </c>
      <c r="AD97" s="3">
        <f t="shared" si="22"/>
        <v>0.44036480276394602</v>
      </c>
      <c r="AE97" s="3">
        <f t="shared" si="23"/>
        <v>0.61481452747021759</v>
      </c>
      <c r="AF97" s="3">
        <f t="shared" si="24"/>
        <v>0.43805207092749227</v>
      </c>
    </row>
    <row r="98" spans="1:32" x14ac:dyDescent="0.2">
      <c r="A98" s="30">
        <v>96</v>
      </c>
      <c r="B98" s="9" t="s">
        <v>941</v>
      </c>
      <c r="C98" s="12">
        <v>67869</v>
      </c>
      <c r="D98" s="13" t="s">
        <v>97</v>
      </c>
      <c r="E98" s="17">
        <v>17.563730214500001</v>
      </c>
      <c r="F98" s="17">
        <v>43.025369697499997</v>
      </c>
      <c r="G98" s="14">
        <v>24</v>
      </c>
      <c r="H98" s="17">
        <v>16</v>
      </c>
      <c r="I98" s="17">
        <v>16.989999999999998</v>
      </c>
      <c r="J98" s="17">
        <v>18.25</v>
      </c>
      <c r="K98" s="17">
        <v>20.170000000000002</v>
      </c>
      <c r="L98" s="17">
        <v>22.03</v>
      </c>
      <c r="M98" s="17">
        <f t="shared" si="16"/>
        <v>0.98999999999999844</v>
      </c>
      <c r="N98" s="17">
        <f t="shared" si="17"/>
        <v>2.25</v>
      </c>
      <c r="O98" s="17">
        <f t="shared" si="18"/>
        <v>4.1700000000000017</v>
      </c>
      <c r="P98" s="17">
        <f t="shared" si="19"/>
        <v>6.0300000000000011</v>
      </c>
      <c r="Q98" s="17">
        <f t="shared" si="20"/>
        <v>0.1570198126670326</v>
      </c>
      <c r="R98" s="17">
        <f t="shared" si="13"/>
        <v>0.20370406953577763</v>
      </c>
      <c r="S98" s="17">
        <f t="shared" si="14"/>
        <v>0.80196112066403924</v>
      </c>
      <c r="T98" s="17">
        <f t="shared" si="15"/>
        <v>1.3088725702938009</v>
      </c>
      <c r="U98" s="16">
        <v>2</v>
      </c>
      <c r="V98" s="16">
        <v>2</v>
      </c>
      <c r="W98" s="16">
        <v>2</v>
      </c>
      <c r="X98" s="16">
        <v>2</v>
      </c>
      <c r="Y98" s="15">
        <v>0.40899999999999997</v>
      </c>
      <c r="Z98" s="15">
        <v>0.51249999999999996</v>
      </c>
      <c r="AA98" s="15">
        <v>0.61399999999999999</v>
      </c>
      <c r="AB98" s="15">
        <v>0.70699999999999996</v>
      </c>
      <c r="AC98" s="3">
        <f t="shared" si="21"/>
        <v>-0.37060293630422969</v>
      </c>
      <c r="AD98" s="3">
        <f t="shared" si="22"/>
        <v>-0.506330433360348</v>
      </c>
      <c r="AE98" s="3">
        <f t="shared" si="23"/>
        <v>-0.53784020101390762</v>
      </c>
      <c r="AF98" s="3">
        <f t="shared" si="24"/>
        <v>-0.57233807168746964</v>
      </c>
    </row>
    <row r="99" spans="1:32" x14ac:dyDescent="0.2">
      <c r="A99" s="30">
        <v>97</v>
      </c>
      <c r="B99" s="9" t="s">
        <v>942</v>
      </c>
      <c r="C99" s="12">
        <v>67874</v>
      </c>
      <c r="D99" s="13" t="s">
        <v>98</v>
      </c>
      <c r="E99" s="17">
        <v>8.23502653175</v>
      </c>
      <c r="F99" s="17">
        <v>55.700278029800003</v>
      </c>
      <c r="G99" s="14">
        <v>18</v>
      </c>
      <c r="H99" s="17">
        <v>9.11</v>
      </c>
      <c r="I99" s="17">
        <v>9.36</v>
      </c>
      <c r="J99" s="17">
        <v>10.86</v>
      </c>
      <c r="K99" s="17">
        <v>12.96</v>
      </c>
      <c r="L99" s="17">
        <v>13.94</v>
      </c>
      <c r="M99" s="17">
        <f t="shared" si="16"/>
        <v>0.25</v>
      </c>
      <c r="N99" s="17">
        <f t="shared" si="17"/>
        <v>1.75</v>
      </c>
      <c r="O99" s="17">
        <f t="shared" si="18"/>
        <v>3.8500000000000014</v>
      </c>
      <c r="P99" s="17">
        <f t="shared" si="19"/>
        <v>4.83</v>
      </c>
      <c r="Q99" s="17">
        <f t="shared" si="20"/>
        <v>-0.74457364612590093</v>
      </c>
      <c r="R99" s="17">
        <f t="shared" si="13"/>
        <v>-0.50022559001150546</v>
      </c>
      <c r="S99" s="17">
        <f t="shared" si="14"/>
        <v>0.43035971789981353</v>
      </c>
      <c r="T99" s="17">
        <f t="shared" si="15"/>
        <v>9.4262348086942949E-2</v>
      </c>
      <c r="U99" s="16">
        <v>7</v>
      </c>
      <c r="V99" s="16">
        <v>9</v>
      </c>
      <c r="W99" s="16">
        <v>11</v>
      </c>
      <c r="X99" s="16">
        <v>14</v>
      </c>
      <c r="Y99" s="15">
        <v>0.44800000000000001</v>
      </c>
      <c r="Z99" s="15">
        <v>0.57299999999999995</v>
      </c>
      <c r="AA99" s="15">
        <v>0.66</v>
      </c>
      <c r="AB99" s="15">
        <v>0.77400000000000002</v>
      </c>
      <c r="AC99" s="3">
        <f t="shared" si="21"/>
        <v>-1.0216567500934746E-2</v>
      </c>
      <c r="AD99" s="3">
        <f t="shared" si="22"/>
        <v>3.6561147545052596E-2</v>
      </c>
      <c r="AE99" s="3">
        <f t="shared" si="23"/>
        <v>-0.1591107902262662</v>
      </c>
      <c r="AF99" s="3">
        <f t="shared" si="24"/>
        <v>-2.1962953352489874E-2</v>
      </c>
    </row>
    <row r="100" spans="1:32" x14ac:dyDescent="0.2">
      <c r="A100" s="30">
        <v>98</v>
      </c>
      <c r="B100" s="9" t="s">
        <v>943</v>
      </c>
      <c r="C100" s="12">
        <v>67875</v>
      </c>
      <c r="D100" s="13" t="s">
        <v>99</v>
      </c>
      <c r="E100" s="17">
        <v>8.2598620069200006</v>
      </c>
      <c r="F100" s="17">
        <v>55.9412943054</v>
      </c>
      <c r="G100" s="14">
        <v>464</v>
      </c>
      <c r="H100" s="17">
        <v>8.9</v>
      </c>
      <c r="I100" s="17">
        <v>9.23</v>
      </c>
      <c r="J100" s="17">
        <v>10.7</v>
      </c>
      <c r="K100" s="17">
        <v>12.83</v>
      </c>
      <c r="L100" s="17">
        <v>13.84</v>
      </c>
      <c r="M100" s="17">
        <f t="shared" si="16"/>
        <v>0.33000000000000007</v>
      </c>
      <c r="N100" s="17">
        <f t="shared" si="17"/>
        <v>1.7999999999999989</v>
      </c>
      <c r="O100" s="17">
        <f t="shared" si="18"/>
        <v>3.9299999999999997</v>
      </c>
      <c r="P100" s="17">
        <f t="shared" si="19"/>
        <v>4.9399999999999995</v>
      </c>
      <c r="Q100" s="17">
        <f t="shared" si="20"/>
        <v>-0.64710408301315103</v>
      </c>
      <c r="R100" s="17">
        <f t="shared" si="13"/>
        <v>-0.42983262405677863</v>
      </c>
      <c r="S100" s="17">
        <f t="shared" si="14"/>
        <v>0.52326006859086793</v>
      </c>
      <c r="T100" s="17">
        <f t="shared" si="15"/>
        <v>0.20560161845590424</v>
      </c>
      <c r="U100" s="16">
        <v>27</v>
      </c>
      <c r="V100" s="16">
        <v>29</v>
      </c>
      <c r="W100" s="16">
        <v>31</v>
      </c>
      <c r="X100" s="16">
        <v>33</v>
      </c>
      <c r="Y100" s="15">
        <v>0.44800000000000001</v>
      </c>
      <c r="Z100" s="15">
        <v>0.57299999999999995</v>
      </c>
      <c r="AA100" s="15">
        <v>0.66</v>
      </c>
      <c r="AB100" s="15">
        <v>0.77400000000000002</v>
      </c>
      <c r="AC100" s="3">
        <f t="shared" si="21"/>
        <v>-1.0216567500934746E-2</v>
      </c>
      <c r="AD100" s="3">
        <f t="shared" si="22"/>
        <v>3.6561147545052596E-2</v>
      </c>
      <c r="AE100" s="3">
        <f t="shared" si="23"/>
        <v>-0.1591107902262662</v>
      </c>
      <c r="AF100" s="3">
        <f t="shared" si="24"/>
        <v>-2.1962953352489874E-2</v>
      </c>
    </row>
    <row r="101" spans="1:32" x14ac:dyDescent="0.2">
      <c r="A101" s="30">
        <v>99</v>
      </c>
      <c r="B101" s="9" t="s">
        <v>944</v>
      </c>
      <c r="C101" s="12">
        <v>67876</v>
      </c>
      <c r="D101" s="13" t="s">
        <v>100</v>
      </c>
      <c r="E101" s="17">
        <v>8.1918317846900006</v>
      </c>
      <c r="F101" s="17">
        <v>56.1740105855</v>
      </c>
      <c r="G101" s="14">
        <v>49</v>
      </c>
      <c r="H101" s="17">
        <v>8.89</v>
      </c>
      <c r="I101" s="17">
        <v>9.24</v>
      </c>
      <c r="J101" s="17">
        <v>10.68</v>
      </c>
      <c r="K101" s="17">
        <v>12.84</v>
      </c>
      <c r="L101" s="17">
        <v>13.82</v>
      </c>
      <c r="M101" s="17">
        <f t="shared" si="16"/>
        <v>0.34999999999999964</v>
      </c>
      <c r="N101" s="17">
        <f t="shared" si="17"/>
        <v>1.7899999999999991</v>
      </c>
      <c r="O101" s="17">
        <f t="shared" si="18"/>
        <v>3.9499999999999993</v>
      </c>
      <c r="P101" s="17">
        <f t="shared" si="19"/>
        <v>4.93</v>
      </c>
      <c r="Q101" s="17">
        <f t="shared" si="20"/>
        <v>-0.62273669223496408</v>
      </c>
      <c r="R101" s="17">
        <f t="shared" si="13"/>
        <v>-0.44391121724772398</v>
      </c>
      <c r="S101" s="17">
        <f t="shared" si="14"/>
        <v>0.54648515626363148</v>
      </c>
      <c r="T101" s="17">
        <f t="shared" si="15"/>
        <v>0.19547986660418065</v>
      </c>
      <c r="U101" s="16">
        <v>10</v>
      </c>
      <c r="V101" s="16">
        <v>14</v>
      </c>
      <c r="W101" s="16">
        <v>14</v>
      </c>
      <c r="X101" s="16">
        <v>16</v>
      </c>
      <c r="Y101" s="15">
        <v>0.44800000000000001</v>
      </c>
      <c r="Z101" s="15">
        <v>0.57299999999999995</v>
      </c>
      <c r="AA101" s="15">
        <v>0.66</v>
      </c>
      <c r="AB101" s="15">
        <v>0.77400000000000002</v>
      </c>
      <c r="AC101" s="3">
        <f t="shared" si="21"/>
        <v>-1.0216567500934746E-2</v>
      </c>
      <c r="AD101" s="3">
        <f t="shared" si="22"/>
        <v>3.6561147545052596E-2</v>
      </c>
      <c r="AE101" s="3">
        <f t="shared" si="23"/>
        <v>-0.1591107902262662</v>
      </c>
      <c r="AF101" s="3">
        <f t="shared" si="24"/>
        <v>-2.1962953352489874E-2</v>
      </c>
    </row>
    <row r="102" spans="1:32" x14ac:dyDescent="0.2">
      <c r="A102" s="30">
        <v>100</v>
      </c>
      <c r="B102" s="9" t="s">
        <v>945</v>
      </c>
      <c r="C102" s="12">
        <v>67877</v>
      </c>
      <c r="D102" s="13" t="s">
        <v>101</v>
      </c>
      <c r="E102" s="17">
        <v>8.2007000544000004</v>
      </c>
      <c r="F102" s="17">
        <v>56.362010271800003</v>
      </c>
      <c r="G102" s="14">
        <v>141</v>
      </c>
      <c r="H102" s="17">
        <v>8.82</v>
      </c>
      <c r="I102" s="17">
        <v>9.17</v>
      </c>
      <c r="J102" s="17">
        <v>10.63</v>
      </c>
      <c r="K102" s="17">
        <v>12.78</v>
      </c>
      <c r="L102" s="17">
        <v>13.76</v>
      </c>
      <c r="M102" s="17">
        <f t="shared" si="16"/>
        <v>0.34999999999999964</v>
      </c>
      <c r="N102" s="17">
        <f t="shared" si="17"/>
        <v>1.8100000000000005</v>
      </c>
      <c r="O102" s="17">
        <f t="shared" si="18"/>
        <v>3.9599999999999991</v>
      </c>
      <c r="P102" s="17">
        <f t="shared" si="19"/>
        <v>4.9399999999999995</v>
      </c>
      <c r="Q102" s="17">
        <f t="shared" si="20"/>
        <v>-0.62273669223496408</v>
      </c>
      <c r="R102" s="17">
        <f t="shared" si="13"/>
        <v>-0.41575403086583074</v>
      </c>
      <c r="S102" s="17">
        <f t="shared" si="14"/>
        <v>0.55809770010001325</v>
      </c>
      <c r="T102" s="17">
        <f t="shared" si="15"/>
        <v>0.20560161845590424</v>
      </c>
      <c r="U102" s="16">
        <v>23</v>
      </c>
      <c r="V102" s="16">
        <v>27</v>
      </c>
      <c r="W102" s="16">
        <v>28</v>
      </c>
      <c r="X102" s="16">
        <v>30</v>
      </c>
      <c r="Y102" s="15">
        <v>0.44800000000000001</v>
      </c>
      <c r="Z102" s="15">
        <v>0.57299999999999995</v>
      </c>
      <c r="AA102" s="15">
        <v>0.66</v>
      </c>
      <c r="AB102" s="15">
        <v>0.77400000000000002</v>
      </c>
      <c r="AC102" s="3">
        <f t="shared" si="21"/>
        <v>-1.0216567500934746E-2</v>
      </c>
      <c r="AD102" s="3">
        <f t="shared" si="22"/>
        <v>3.6561147545052596E-2</v>
      </c>
      <c r="AE102" s="3">
        <f t="shared" si="23"/>
        <v>-0.1591107902262662</v>
      </c>
      <c r="AF102" s="3">
        <f t="shared" si="24"/>
        <v>-2.1962953352489874E-2</v>
      </c>
    </row>
    <row r="103" spans="1:32" x14ac:dyDescent="0.2">
      <c r="A103" s="30">
        <v>101</v>
      </c>
      <c r="B103" s="9" t="s">
        <v>946</v>
      </c>
      <c r="C103" s="12">
        <v>67878</v>
      </c>
      <c r="D103" s="13" t="s">
        <v>102</v>
      </c>
      <c r="E103" s="17">
        <v>8.2650626907299998</v>
      </c>
      <c r="F103" s="17">
        <v>56.674957517999999</v>
      </c>
      <c r="G103" s="14">
        <v>255</v>
      </c>
      <c r="H103" s="17">
        <v>8.6300000000000008</v>
      </c>
      <c r="I103" s="17">
        <v>8.9700000000000006</v>
      </c>
      <c r="J103" s="17">
        <v>10.47</v>
      </c>
      <c r="K103" s="17">
        <v>12.59</v>
      </c>
      <c r="L103" s="17">
        <v>13.6</v>
      </c>
      <c r="M103" s="17">
        <f t="shared" si="16"/>
        <v>0.33999999999999986</v>
      </c>
      <c r="N103" s="17">
        <f t="shared" si="17"/>
  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   <f t="shared" si="20"/>
        <v>-0.63492038762405756</v>
      </c>
      <c r="R103" s="17">
        <f t="shared" si="13"/>
        <v>-0.37351825129299465</v>
      </c>
      <c r="S103" s="17">
        <f t="shared" si="14"/>
        <v>0.55809770010001325</v>
      </c>
      <c r="T103" s="17">
        <f t="shared" si="15"/>
        <v>0.23596687401107502</v>
      </c>
      <c r="U103" s="16">
        <v>14</v>
      </c>
      <c r="V103" s="16">
        <v>16</v>
      </c>
      <c r="W103" s="16">
        <v>18</v>
      </c>
      <c r="X103" s="16">
        <v>18</v>
      </c>
      <c r="Y103" s="15">
        <v>0.41199999999999998</v>
      </c>
      <c r="Z103" s="15">
        <v>0.53800000000000003</v>
      </c>
      <c r="AA103" s="15">
        <v>0.624</v>
      </c>
      <c r="AB103" s="15">
        <v>0.73499999999999999</v>
      </c>
      <c r="AC103" s="3">
        <f t="shared" si="21"/>
        <v>-0.34288090793474546</v>
      </c>
      <c r="AD103" s="3">
        <f t="shared" si="22"/>
        <v>-0.27750836206964125</v>
      </c>
      <c r="AE103" s="3">
        <f t="shared" si="23"/>
        <v>-0.45550772040789866</v>
      </c>
      <c r="AF103" s="3">
        <f t="shared" si="24"/>
        <v>-0.3423305595474781</v>
      </c>
    </row>
    <row r="104" spans="1:32" x14ac:dyDescent="0.2">
      <c r="A104" s="30">
        <v>102</v>
      </c>
      <c r="B104" s="9" t="s">
        <v>947</v>
      </c>
      <c r="C104" s="12">
        <v>67879</v>
      </c>
      <c r="D104" s="13" t="s">
        <v>103</v>
      </c>
      <c r="E104" s="17">
        <v>9.0538790479699998</v>
      </c>
      <c r="F104" s="17">
        <v>56.973010888200001</v>
      </c>
      <c r="G104" s="14">
        <v>779</v>
      </c>
      <c r="H104" s="17">
        <v>8.36</v>
      </c>
      <c r="I104" s="17">
        <v>8.7200000000000006</v>
      </c>
      <c r="J104" s="17">
        <v>10.27</v>
      </c>
      <c r="K104" s="17">
        <v>12.25</v>
      </c>
      <c r="L104" s="17">
        <v>13.42</v>
      </c>
      <c r="M104" s="17">
        <f t="shared" si="16"/>
        <v>0.36000000000000121</v>
      </c>
      <c r="N104" s="17">
        <f t="shared" si="17"/>
        <v>1.9100000000000001</v>
      </c>
      <c r="O104" s="17">
        <f t="shared" si="18"/>
        <v>3.8900000000000006</v>
      </c>
      <c r="P104" s="17">
        <f t="shared" si="19"/>
        <v>5.0600000000000005</v>
      </c>
      <c r="Q104" s="17">
        <f t="shared" si="20"/>
        <v>-0.6105529968458685</v>
      </c>
      <c r="R104" s="17">
        <f t="shared" si="13"/>
        <v>-0.27496809895637464</v>
      </c>
      <c r="S104" s="17">
        <f t="shared" si="14"/>
        <v>0.47680989324534073</v>
      </c>
      <c r="T104" s="17">
        <f t="shared" si="15"/>
        <v>0.32706264067659091</v>
      </c>
      <c r="U104" s="16">
        <v>20</v>
      </c>
      <c r="V104" s="16">
        <v>27</v>
      </c>
      <c r="W104" s="16">
        <v>29</v>
      </c>
      <c r="X104" s="16">
        <v>31</v>
      </c>
      <c r="Y104" s="15">
        <v>0.38900000000000001</v>
      </c>
      <c r="Z104" s="15">
        <v>0.51349999999999996</v>
      </c>
      <c r="AA104" s="15">
        <v>0.60099999999999998</v>
      </c>
      <c r="AB104" s="15">
        <v>0.71499999999999997</v>
      </c>
      <c r="AC104" s="3">
        <f t="shared" si="21"/>
        <v>-0.55541645876745738</v>
      </c>
      <c r="AD104" s="3">
        <f t="shared" si="22"/>
        <v>-0.49735701879992816</v>
      </c>
      <c r="AE104" s="3">
        <f t="shared" si="23"/>
        <v>-0.64487242580171933</v>
      </c>
      <c r="AF104" s="3">
        <f t="shared" si="24"/>
        <v>-0.50662163964747198</v>
      </c>
    </row>
    <row r="105" spans="1:32" x14ac:dyDescent="0.2">
      <c r="A105" s="30">
        <v>103</v>
      </c>
      <c r="B105" s="9" t="s">
        <v>948</v>
      </c>
      <c r="C105" s="12">
        <v>67880</v>
      </c>
      <c r="D105" s="13" t="s">
        <v>104</v>
      </c>
      <c r="E105" s="17">
        <v>9.6304619927299999</v>
      </c>
      <c r="F105" s="17">
        <v>57.037644784000001</v>
      </c>
      <c r="G105" s="14">
        <v>297</v>
      </c>
      <c r="H105" s="17">
        <v>8.14</v>
      </c>
      <c r="I105" s="17">
        <v>8.57</v>
      </c>
      <c r="J105" s="17">
        <v>10.15</v>
      </c>
      <c r="K105" s="17">
        <v>12.05</v>
      </c>
      <c r="L105" s="17">
        <v>13.45</v>
      </c>
      <c r="M105" s="17">
        <f t="shared" si="16"/>
        <v>0.42999999999999972</v>
      </c>
      <c r="N105" s="17">
        <f t="shared" si="17"/>
        <v>2.0099999999999998</v>
      </c>
      <c r="O105" s="17">
        <f t="shared" si="18"/>
        <v>3.91</v>
      </c>
      <c r="P105" s="17">
        <f t="shared" si="19"/>
        <v>5.3099999999999987</v>
      </c>
      <c r="Q105" s="17">
        <f t="shared" si="20"/>
        <v>-0.52526712912221429</v>
      </c>
      <c r="R105" s="17">
        <f t="shared" si="13"/>
        <v>-0.13418216704691854</v>
      </c>
      <c r="S105" s="17">
        <f t="shared" si="14"/>
        <v>0.50003498091810428</v>
      </c>
      <c r="T105" s="17">
        <f t="shared" si="15"/>
        <v>0.58010643696968434</v>
      </c>
      <c r="U105" s="16">
        <v>32</v>
      </c>
      <c r="V105" s="16">
        <v>34</v>
      </c>
      <c r="W105" s="16">
        <v>39</v>
      </c>
      <c r="X105" s="16">
        <v>39</v>
      </c>
      <c r="Y105" s="15">
        <v>0.35799999999999998</v>
      </c>
      <c r="Z105" s="15">
        <v>0.48199999999999998</v>
      </c>
      <c r="AA105" s="15">
        <v>0.57199999999999995</v>
      </c>
      <c r="AB105" s="15">
        <v>0.68600000000000005</v>
      </c>
      <c r="AC105" s="3">
        <f t="shared" si="21"/>
        <v>-0.84187741858546095</v>
      </c>
      <c r="AD105" s="3">
        <f t="shared" si="22"/>
        <v>-0.78001957745315309</v>
      </c>
      <c r="AE105" s="3">
        <f t="shared" si="23"/>
        <v>-0.88363661955914552</v>
      </c>
      <c r="AF105" s="3">
        <f t="shared" si="24"/>
        <v>-0.74484370579246229</v>
      </c>
    </row>
    <row r="106" spans="1:32" x14ac:dyDescent="0.2">
      <c r="A106" s="30">
        <v>104</v>
      </c>
      <c r="B106" s="9" t="s">
        <v>949</v>
      </c>
      <c r="C106" s="12">
        <v>67881</v>
      </c>
      <c r="D106" s="13" t="s">
        <v>105</v>
      </c>
      <c r="E106" s="17">
        <v>10.575339204300001</v>
      </c>
      <c r="F106" s="17">
        <v>57.476829782800003</v>
      </c>
      <c r="G106" s="14">
        <v>103</v>
      </c>
      <c r="H106" s="17">
        <v>8.86</v>
      </c>
      <c r="I106" s="17">
        <v>9.08</v>
      </c>
      <c r="J106" s="17">
        <v>10.74</v>
      </c>
      <c r="K106" s="17">
        <v>12.77</v>
      </c>
      <c r="L106" s="17">
        <v>13.76</v>
      </c>
      <c r="M106" s="17">
        <f t="shared" si="16"/>
        <v>0.22000000000000064</v>
      </c>
      <c r="N106" s="17">
        <f t="shared" si="17"/>
        <v>1.8800000000000008</v>
      </c>
      <c r="O106" s="17">
        <f t="shared" si="18"/>
        <v>3.91</v>
      </c>
      <c r="P106" s="17">
        <f t="shared" si="19"/>
        <v>4.9000000000000004</v>
      </c>
      <c r="Q106" s="17">
        <f t="shared" si="20"/>
        <v>-0.78112473229318125</v>
      </c>
      <c r="R106" s="17">
        <f t="shared" si="13"/>
        <v>-0.31720387852921073</v>
      </c>
      <c r="S106" s="17">
        <f t="shared" si="14"/>
        <v>0.50003498091810428</v>
      </c>
      <c r="T106" s="17">
        <f t="shared" si="15"/>
        <v>0.16511461104900987</v>
      </c>
      <c r="U106" s="16">
        <v>0</v>
      </c>
      <c r="V106" s="16">
        <v>0</v>
      </c>
      <c r="W106" s="16">
        <v>0</v>
      </c>
      <c r="X106" s="16">
        <v>0</v>
      </c>
      <c r="Y106" s="15">
        <v>0.33</v>
      </c>
      <c r="Z106" s="15">
        <v>0.45400000000000001</v>
      </c>
      <c r="AA106" s="15">
        <v>0.54400000000000004</v>
      </c>
      <c r="AB106" s="15">
        <v>0.65949999999999998</v>
      </c>
      <c r="AC106" s="3">
        <f t="shared" si="21"/>
        <v>-1.1006163500339798</v>
      </c>
      <c r="AD106" s="3">
        <f t="shared" si="22"/>
        <v>-1.0312751851449085</v>
      </c>
      <c r="AE106" s="3">
        <f t="shared" si="23"/>
        <v>-1.1141675652559697</v>
      </c>
      <c r="AF106" s="3">
        <f t="shared" si="24"/>
        <v>-0.96252938692495482</v>
      </c>
    </row>
    <row r="107" spans="1:32" x14ac:dyDescent="0.2">
      <c r="A107" s="30">
        <v>105</v>
      </c>
      <c r="B107" s="9" t="s">
        <v>950</v>
      </c>
      <c r="C107" s="12">
        <v>67882</v>
      </c>
      <c r="D107" s="13" t="s">
        <v>106</v>
      </c>
      <c r="E107" s="17">
        <v>10.9244606932</v>
      </c>
      <c r="F107" s="17">
        <v>57.360946533400003</v>
      </c>
      <c r="G107" s="14">
        <v>80</v>
      </c>
      <c r="H107" s="17">
        <v>9.07</v>
      </c>
      <c r="I107" s="17">
        <v>9.24</v>
      </c>
      <c r="J107" s="17">
        <v>10.92</v>
      </c>
      <c r="K107" s="17">
        <v>12.97</v>
      </c>
      <c r="L107" s="17">
        <v>13.87</v>
      </c>
      <c r="M107" s="17">
        <f t="shared" si="16"/>
        <v>0.16999999999999993</v>
      </c>
      <c r="N107" s="17">
        <f t="shared" si="17"/>
        <v>1.8499999999999996</v>
      </c>
      <c r="O107" s="17">
        <f t="shared" si="18"/>
        <v>3.9000000000000004</v>
      </c>
      <c r="P107" s="17">
        <f t="shared" si="19"/>
        <v>4.7999999999999989</v>
      </c>
      <c r="Q107" s="17">
        <f t="shared" si="20"/>
        <v>-0.84204320923865073</v>
      </c>
      <c r="R107" s="17">
        <f t="shared" si="13"/>
        <v>-0.35943965810204931</v>
      </c>
      <c r="S107" s="17">
        <f t="shared" si="14"/>
        <v>0.4884224370817225</v>
      </c>
      <c r="T107" s="17">
        <f t="shared" si="15"/>
        <v>6.389709253177038E-2</v>
      </c>
      <c r="U107" s="16">
        <v>0</v>
      </c>
      <c r="V107" s="16">
        <v>0</v>
      </c>
      <c r="W107" s="16">
        <v>0</v>
      </c>
      <c r="X107" s="16">
        <v>0</v>
      </c>
      <c r="Y107" s="15">
        <v>0.33</v>
      </c>
      <c r="Z107" s="15">
        <v>0.45400000000000001</v>
      </c>
      <c r="AA107" s="15">
        <v>0.54400000000000004</v>
      </c>
      <c r="AB107" s="15">
        <v>0.65949999999999998</v>
      </c>
      <c r="AC107" s="3">
        <f t="shared" si="21"/>
        <v>-1.1006163500339798</v>
      </c>
      <c r="AD107" s="3">
        <f t="shared" si="22"/>
        <v>-1.0312751851449085</v>
      </c>
      <c r="AE107" s="3">
        <f t="shared" si="23"/>
        <v>-1.1141675652559697</v>
      </c>
      <c r="AF107" s="3">
        <f t="shared" si="24"/>
        <v>-0.96252938692495482</v>
      </c>
    </row>
    <row r="108" spans="1:32" x14ac:dyDescent="0.2">
      <c r="A108" s="30">
        <v>106</v>
      </c>
      <c r="B108" s="9" t="s">
        <v>1412</v>
      </c>
      <c r="C108" s="12">
        <v>67883</v>
      </c>
      <c r="D108" s="13" t="s">
        <v>107</v>
      </c>
      <c r="E108" s="17">
        <v>11.043791004499999</v>
      </c>
      <c r="F108" s="17">
        <v>57.187509770299997</v>
      </c>
      <c r="G108" s="14">
        <v>1417</v>
      </c>
      <c r="H108" s="17">
        <v>9.11</v>
      </c>
      <c r="I108" s="17">
        <v>9.27</v>
      </c>
      <c r="J108" s="17">
        <v>10.95</v>
      </c>
      <c r="K108" s="17">
        <v>12.99</v>
      </c>
      <c r="L108" s="17">
        <v>13.89</v>
      </c>
      <c r="M108" s="17">
        <f t="shared" si="16"/>
        <v>0.16000000000000014</v>
      </c>
      <c r="N108" s="17">
        <f t="shared" si="17"/>
        <v>1.8399999999999999</v>
      </c>
      <c r="O108" s="17">
        <f t="shared" si="18"/>
        <v>3.8800000000000008</v>
      </c>
      <c r="P108" s="17">
        <f t="shared" si="19"/>
        <v>4.7800000000000011</v>
      </c>
      <c r="Q108" s="17">
        <f t="shared" si="20"/>
        <v>-0.8542269046277442</v>
      </c>
      <c r="R108" s="17">
        <f t="shared" si="13"/>
        <v>-0.37351825129299465</v>
      </c>
      <c r="S108" s="17">
        <f t="shared" si="14"/>
        <v>0.46519734940895896</v>
      </c>
      <c r="T108" s="17">
        <f t="shared" si="15"/>
        <v>4.3653588828324999E-2</v>
      </c>
      <c r="U108" s="16">
        <v>35</v>
      </c>
      <c r="V108" s="16">
        <v>57</v>
      </c>
      <c r="W108" s="16">
        <v>67</v>
      </c>
      <c r="X108" s="16">
        <v>75</v>
      </c>
      <c r="Y108" s="15">
        <v>0.33</v>
      </c>
      <c r="Z108" s="15">
        <v>0.45400000000000001</v>
      </c>
      <c r="AA108" s="15">
        <v>0.54400000000000004</v>
      </c>
      <c r="AB108" s="15">
        <v>0.65949999999999998</v>
      </c>
      <c r="AC108" s="3">
        <f t="shared" si="21"/>
        <v>-1.1006163500339798</v>
      </c>
      <c r="AD108" s="3">
        <f t="shared" si="22"/>
        <v>-1.0312751851449085</v>
      </c>
      <c r="AE108" s="3">
        <f t="shared" si="23"/>
        <v>-1.1141675652559697</v>
      </c>
      <c r="AF108" s="3">
        <f t="shared" si="24"/>
        <v>-0.96252938692495482</v>
      </c>
    </row>
    <row r="109" spans="1:32" x14ac:dyDescent="0.2">
      <c r="A109" s="30">
        <v>107</v>
      </c>
      <c r="B109" s="9" t="s">
        <v>951</v>
      </c>
      <c r="C109" s="12">
        <v>67884</v>
      </c>
      <c r="D109" s="13" t="s">
        <v>108</v>
      </c>
      <c r="E109" s="17">
        <v>10.3520321083</v>
      </c>
      <c r="F109" s="17">
        <v>56.710292156900003</v>
      </c>
      <c r="G109" s="14">
        <v>781</v>
      </c>
      <c r="H109" s="17">
        <v>8.48</v>
      </c>
      <c r="I109" s="17">
        <v>8.84</v>
      </c>
      <c r="J109" s="17">
        <v>10.41</v>
      </c>
      <c r="K109" s="17">
        <v>12.37</v>
      </c>
      <c r="L109" s="17">
        <v>13.74</v>
      </c>
      <c r="M109" s="17">
        <f t="shared" si="16"/>
        <v>0.35999999999999943</v>
      </c>
      <c r="N109" s="17">
        <f t="shared" si="17"/>
        <v>1.9299999999999997</v>
      </c>
      <c r="O109" s="17">
        <f t="shared" si="18"/>
        <v>3.8899999999999988</v>
      </c>
      <c r="P109" s="17">
        <f t="shared" si="19"/>
        <v>5.26</v>
      </c>
      <c r="Q109" s="17">
        <f t="shared" si="20"/>
        <v>-0.61055299684587061</v>
      </c>
      <c r="R109" s="17">
        <f t="shared" si="13"/>
        <v>-0.24681091257448393</v>
      </c>
      <c r="S109" s="17">
        <f t="shared" si="14"/>
        <v>0.47680989324533868</v>
      </c>
      <c r="T109" s="17">
        <f t="shared" si="15"/>
        <v>0.52949767771106637</v>
      </c>
      <c r="U109" s="16">
        <v>26</v>
      </c>
      <c r="V109" s="16">
        <v>32</v>
      </c>
      <c r="W109" s="16">
        <v>34</v>
      </c>
      <c r="X109" s="16">
        <v>39</v>
      </c>
      <c r="Y109" s="15">
        <v>0.35799999999999998</v>
      </c>
      <c r="Z109" s="15">
        <v>0.48199999999999998</v>
      </c>
      <c r="AA109" s="15">
        <v>0.57199999999999995</v>
      </c>
      <c r="AB109" s="15">
        <v>0.68600000000000005</v>
      </c>
      <c r="AC109" s="3">
        <f t="shared" si="21"/>
        <v>-0.84187741858546095</v>
      </c>
      <c r="AD109" s="3">
        <f t="shared" si="22"/>
        <v>-0.78001957745315309</v>
      </c>
      <c r="AE109" s="3">
        <f t="shared" si="23"/>
        <v>-0.88363661955914552</v>
      </c>
      <c r="AF109" s="3">
        <f t="shared" si="24"/>
        <v>-0.74484370579246229</v>
      </c>
    </row>
    <row r="110" spans="1:32" x14ac:dyDescent="0.2">
      <c r="A110" s="30">
        <v>108</v>
      </c>
      <c r="B110" s="9" t="s">
        <v>952</v>
      </c>
      <c r="C110" s="12">
        <v>67886</v>
      </c>
      <c r="D110" s="13" t="s">
        <v>109</v>
      </c>
      <c r="E110" s="17">
        <v>10.2517417679</v>
      </c>
      <c r="F110" s="17">
        <v>55.821680472300002</v>
      </c>
      <c r="G110" s="14">
        <v>883</v>
      </c>
      <c r="H110" s="17">
        <v>8.9700000000000006</v>
      </c>
      <c r="I110" s="17">
        <v>9.3000000000000007</v>
      </c>
      <c r="J110" s="17">
        <v>10.84</v>
      </c>
      <c r="K110" s="17">
        <v>12.93</v>
      </c>
      <c r="L110" s="17">
        <v>14.15</v>
      </c>
      <c r="M110" s="17">
        <f t="shared" si="16"/>
        <v>0.33000000000000007</v>
      </c>
      <c r="N110" s="17">
        <f t="shared" si="17"/>
        <v>1.8699999999999992</v>
      </c>
      <c r="O110" s="17">
        <f t="shared" si="18"/>
        <v>3.9599999999999991</v>
      </c>
      <c r="P110" s="17">
        <f t="shared" si="19"/>
        <v>5.18</v>
      </c>
      <c r="Q110" s="17">
        <f t="shared" si="20"/>
        <v>-0.64710408301315103</v>
      </c>
      <c r="R110" s="17">
        <f t="shared" si="13"/>
        <v>-0.33128247172015862</v>
      </c>
      <c r="S110" s="17">
        <f t="shared" si="14"/>
        <v>0.55809770010001325</v>
      </c>
      <c r="T110" s="17">
        <f t="shared" si="15"/>
        <v>0.4485236628972758</v>
      </c>
      <c r="U110" s="16">
        <v>18</v>
      </c>
      <c r="V110" s="16">
        <v>19</v>
      </c>
      <c r="W110" s="16">
        <v>20</v>
      </c>
      <c r="X110" s="16">
        <v>24</v>
      </c>
      <c r="Y110" s="15">
        <v>0.40833333333299998</v>
      </c>
      <c r="Z110" s="15">
        <v>0.53566666666700002</v>
      </c>
      <c r="AA110" s="15">
        <v>0.62466666666699999</v>
      </c>
      <c r="AB110" s="15">
        <v>0.740333333333</v>
      </c>
      <c r="AC110" s="3">
        <f t="shared" si="21"/>
        <v>-0.37676338705608409</v>
      </c>
      <c r="AD110" s="3">
        <f t="shared" si="22"/>
        <v>-0.29844632937429649</v>
      </c>
      <c r="AE110" s="3">
        <f t="shared" si="23"/>
        <v>-0.45001888836475368</v>
      </c>
      <c r="AF110" s="3">
        <f t="shared" si="24"/>
        <v>-0.2985196048568845</v>
      </c>
    </row>
    <row r="111" spans="1:32" x14ac:dyDescent="0.2">
      <c r="A111" s="30">
        <v>109</v>
      </c>
      <c r="B111" s="9" t="s">
        <v>953</v>
      </c>
      <c r="C111" s="12">
        <v>67887</v>
      </c>
      <c r="D111" s="13" t="s">
        <v>110</v>
      </c>
      <c r="E111" s="17">
        <v>10.731074147399999</v>
      </c>
      <c r="F111" s="17">
        <v>55.929743480100001</v>
      </c>
      <c r="G111" s="14">
        <v>357</v>
      </c>
      <c r="H111" s="17">
        <v>9.44</v>
      </c>
      <c r="I111" s="17">
        <v>9.64</v>
      </c>
      <c r="J111" s="17">
        <v>11.25</v>
      </c>
      <c r="K111" s="17">
        <v>13.32</v>
      </c>
      <c r="L111" s="17">
        <v>14.43</v>
      </c>
      <c r="M111" s="17">
        <f t="shared" si="16"/>
        <v>0.20000000000000107</v>
      </c>
      <c r="N111" s="17">
        <f t="shared" si="17"/>
        <v>1.8100000000000005</v>
      </c>
      <c r="O111" s="17">
        <f t="shared" si="18"/>
        <v>3.8800000000000008</v>
      </c>
      <c r="P111" s="17">
        <f t="shared" si="19"/>
        <v>4.99</v>
      </c>
      <c r="Q111" s="17">
        <f t="shared" si="20"/>
        <v>-0.80549212307136819</v>
      </c>
      <c r="R111" s="17">
        <f t="shared" si="13"/>
        <v>-0.41575403086583074</v>
      </c>
      <c r="S111" s="17">
        <f t="shared" si="14"/>
        <v>0.46519734940895896</v>
      </c>
      <c r="T111" s="17">
        <f t="shared" si="15"/>
        <v>0.25621037771452398</v>
      </c>
      <c r="U111" s="16">
        <v>4</v>
      </c>
      <c r="V111" s="16">
        <v>6</v>
      </c>
      <c r="W111" s="16">
        <v>6</v>
      </c>
      <c r="X111" s="16">
        <v>7</v>
      </c>
      <c r="Y111" s="15">
        <v>0.4</v>
      </c>
      <c r="Z111" s="15">
        <v>0.53</v>
      </c>
      <c r="AA111" s="15">
        <v>0.61799999999999999</v>
      </c>
      <c r="AB111" s="15">
        <v>0.73399999999999999</v>
      </c>
      <c r="AC111" s="3">
        <f t="shared" si="21"/>
        <v>-0.45376902141268183</v>
      </c>
      <c r="AD111" s="3">
        <f t="shared" si="22"/>
        <v>-0.34929567855300009</v>
      </c>
      <c r="AE111" s="3">
        <f t="shared" si="23"/>
        <v>-0.50490720877150408</v>
      </c>
      <c r="AF111" s="3">
        <f t="shared" si="24"/>
        <v>-0.35054511355247775</v>
      </c>
    </row>
    <row r="112" spans="1:32" x14ac:dyDescent="0.2">
      <c r="A112" s="30">
        <v>110</v>
      </c>
      <c r="B112" s="9" t="s">
        <v>1413</v>
      </c>
      <c r="C112" s="12">
        <v>67888</v>
      </c>
      <c r="D112" s="13" t="s">
        <v>111</v>
      </c>
      <c r="E112" s="17">
        <v>9.7405179252800007</v>
      </c>
      <c r="F112" s="17">
        <v>55.351999166699997</v>
      </c>
      <c r="G112" s="14">
        <v>620</v>
      </c>
      <c r="H112" s="17">
        <v>8.41</v>
      </c>
      <c r="I112" s="17">
        <v>8.8800000000000008</v>
      </c>
      <c r="J112" s="17">
        <v>10.32</v>
      </c>
      <c r="K112" s="17">
        <v>12.49</v>
      </c>
      <c r="L112" s="17">
        <v>13.8</v>
      </c>
      <c r="M112" s="17">
        <f t="shared" si="16"/>
        <v>0.47000000000000064</v>
      </c>
      <c r="N112" s="17">
        <f t="shared" si="17"/>
        <v>1.9100000000000001</v>
      </c>
      <c r="O112" s="17">
        <f t="shared" si="18"/>
        <v>4.08</v>
      </c>
      <c r="P112" s="17">
        <f t="shared" si="19"/>
        <v>5.3900000000000006</v>
      </c>
      <c r="Q112" s="17">
        <f t="shared" si="20"/>
        <v>-0.47653234756583823</v>
      </c>
      <c r="R112" s="17">
        <f t="shared" si="13"/>
        <v>-0.27496809895637464</v>
      </c>
      <c r="S112" s="17">
        <f t="shared" si="14"/>
        <v>0.69744822613659896</v>
      </c>
      <c r="T112" s="17">
        <f t="shared" si="15"/>
        <v>0.66108045178347663</v>
      </c>
      <c r="U112" s="16">
        <v>13</v>
      </c>
      <c r="V112" s="16">
        <v>16</v>
      </c>
      <c r="W112" s="16">
        <v>16</v>
      </c>
      <c r="X112" s="16">
        <v>20</v>
      </c>
      <c r="Y112" s="15">
        <v>0.44400000000000001</v>
      </c>
      <c r="Z112" s="15">
        <v>0.57299999999999995</v>
      </c>
      <c r="AA112" s="15">
        <v>0.66333333333300004</v>
      </c>
      <c r="AB112" s="15">
        <v>0.77933333333300003</v>
      </c>
      <c r="AC112" s="3">
        <f t="shared" si="21"/>
        <v>-4.7179271993580379E-2</v>
      </c>
      <c r="AD112" s="3">
        <f t="shared" si="22"/>
        <v>3.6561147545052596E-2</v>
      </c>
      <c r="AE112" s="3">
        <f t="shared" si="23"/>
        <v>-0.13166663002700757</v>
      </c>
      <c r="AF112" s="3">
        <f t="shared" si="24"/>
        <v>2.1848001338103721E-2</v>
      </c>
    </row>
    <row r="113" spans="1:32" x14ac:dyDescent="0.2">
      <c r="A113" s="30">
        <v>111</v>
      </c>
      <c r="B113" s="32" t="s">
        <v>1414</v>
      </c>
      <c r="C113" s="12">
        <v>67889</v>
      </c>
      <c r="D113" s="13" t="s">
        <v>112</v>
      </c>
      <c r="E113" s="17">
        <v>10.1749767375</v>
      </c>
      <c r="F113" s="17">
        <v>55.603945207400002</v>
      </c>
      <c r="G113" s="14">
        <v>243</v>
      </c>
      <c r="H113" s="17">
        <v>8.7899999999999991</v>
      </c>
      <c r="I113" s="17">
        <v>9.16</v>
      </c>
      <c r="J113" s="17">
        <v>10.67</v>
      </c>
      <c r="K113" s="17">
        <v>12.78</v>
      </c>
      <c r="L113" s="17">
        <v>14.04</v>
      </c>
      <c r="M113" s="17">
        <f t="shared" si="16"/>
        <v>0.37000000000000099</v>
      </c>
      <c r="N113" s="17">
        <f t="shared" si="17"/>
        <v>1.8800000000000008</v>
      </c>
      <c r="O113" s="17">
        <f t="shared" si="18"/>
        <v>3.99</v>
      </c>
      <c r="P113" s="17">
        <f t="shared" si="19"/>
        <v>5.25</v>
      </c>
      <c r="Q113" s="17">
        <f t="shared" si="20"/>
        <v>-0.59836930145677503</v>
      </c>
      <c r="R113" s="17">
        <f t="shared" si="13"/>
        <v>-0.31720387852921073</v>
      </c>
      <c r="S113" s="17">
        <f t="shared" si="14"/>
        <v>0.59293533160916068</v>
      </c>
      <c r="T113" s="17">
        <f t="shared" si="15"/>
        <v>0.51937592585934278</v>
      </c>
      <c r="U113" s="16">
        <v>10</v>
      </c>
      <c r="V113" s="16">
        <v>10</v>
      </c>
      <c r="W113" s="16">
        <v>11</v>
      </c>
      <c r="X113" s="16">
        <v>12</v>
      </c>
      <c r="Y113" s="15">
        <v>0.40833333333299998</v>
      </c>
      <c r="Z113" s="15">
        <v>0.53566666666700002</v>
      </c>
      <c r="AA113" s="15">
        <v>0.62466666666699999</v>
      </c>
      <c r="AB113" s="15">
        <v>0.740333333333</v>
      </c>
      <c r="AC113" s="3">
        <f t="shared" si="21"/>
        <v>-0.37676338705608409</v>
      </c>
      <c r="AD113" s="3">
        <f t="shared" si="22"/>
        <v>-0.29844632937429649</v>
      </c>
      <c r="AE113" s="3">
        <f t="shared" si="23"/>
        <v>-0.45001888836475368</v>
      </c>
      <c r="AF113" s="3">
        <f t="shared" si="24"/>
        <v>-0.2985196048568845</v>
      </c>
    </row>
    <row r="114" spans="1:32" x14ac:dyDescent="0.2">
      <c r="A114" s="30">
        <v>112</v>
      </c>
      <c r="B114" s="9" t="s">
        <v>954</v>
      </c>
      <c r="C114" s="12">
        <v>67890</v>
      </c>
      <c r="D114" s="13" t="s">
        <v>113</v>
      </c>
      <c r="E114" s="17">
        <v>10.521785965099999</v>
      </c>
      <c r="F114" s="17">
        <v>54.926569374300001</v>
      </c>
      <c r="G114" s="14">
        <v>710</v>
      </c>
      <c r="H114" s="17">
        <v>9.6300000000000008</v>
      </c>
      <c r="I114" s="17">
        <v>9.76</v>
      </c>
      <c r="J114" s="17">
        <v>11.37</v>
      </c>
      <c r="K114" s="17">
        <v>13.27</v>
      </c>
      <c r="L114" s="17">
        <v>14.46</v>
      </c>
      <c r="M114" s="17">
        <f t="shared" si="16"/>
        <v>0.12999999999999901</v>
      </c>
      <c r="N114" s="17">
        <f t="shared" si="17"/>
        <v>1.7399999999999984</v>
      </c>
      <c r="O114" s="17">
        <f t="shared" si="18"/>
        <v>3.6399999999999988</v>
      </c>
      <c r="P114" s="17">
        <f t="shared" si="19"/>
        <v>4.83</v>
      </c>
      <c r="Q114" s="17">
        <f t="shared" si="20"/>
        <v>-0.89077799079502673</v>
      </c>
      <c r="R114" s="17">
        <f t="shared" si="13"/>
        <v>-0.5143041832024533</v>
      </c>
      <c r="S114" s="17">
        <f t="shared" si="14"/>
        <v>0.18649629733578763</v>
      </c>
      <c r="T114" s="17">
        <f t="shared" si="15"/>
        <v>9.4262348086942949E-2</v>
      </c>
      <c r="U114" s="16">
        <v>21</v>
      </c>
      <c r="V114" s="16">
        <v>24</v>
      </c>
      <c r="W114" s="16">
        <v>29</v>
      </c>
      <c r="X114" s="16">
        <v>31</v>
      </c>
      <c r="Y114" s="15">
        <v>0.443</v>
      </c>
      <c r="Z114" s="15">
        <v>0.57274999999999998</v>
      </c>
      <c r="AA114" s="15">
        <v>0.66274999999999995</v>
      </c>
      <c r="AB114" s="15">
        <v>0.77925</v>
      </c>
      <c r="AC114" s="3">
        <f t="shared" si="21"/>
        <v>-5.6419948116741787E-2</v>
      </c>
      <c r="AD114" s="3">
        <f t="shared" si="22"/>
        <v>3.431779390494788E-2</v>
      </c>
      <c r="AE114" s="3">
        <f t="shared" si="23"/>
        <v>-0.13646935805961441</v>
      </c>
      <c r="AF114" s="3">
        <f t="shared" si="24"/>
        <v>2.1163455173758311E-2</v>
      </c>
    </row>
    <row r="115" spans="1:32" x14ac:dyDescent="0.2">
      <c r="A115" s="30">
        <v>113</v>
      </c>
      <c r="B115" s="9" t="s">
        <v>1415</v>
      </c>
      <c r="C115" s="12">
        <v>67891</v>
      </c>
      <c r="D115" s="13" t="s">
        <v>114</v>
      </c>
      <c r="E115" s="17">
        <v>11.3076617532</v>
      </c>
      <c r="F115" s="17">
        <v>55.839633380400002</v>
      </c>
      <c r="G115" s="14">
        <v>875</v>
      </c>
      <c r="H115" s="17">
        <v>9.34</v>
      </c>
      <c r="I115" s="17">
        <v>9.5299999999999994</v>
      </c>
      <c r="J115" s="17">
        <v>11.19</v>
      </c>
      <c r="K115" s="17">
        <v>13.23</v>
      </c>
      <c r="L115" s="17">
        <v>14.36</v>
      </c>
      <c r="M115" s="17">
        <f t="shared" si="16"/>
        <v>0.1899999999999995</v>
      </c>
      <c r="N115" s="17">
        <f t="shared" si="17"/>
        <v>1.8499999999999996</v>
      </c>
      <c r="O115" s="17">
        <f t="shared" si="18"/>
        <v>3.8900000000000006</v>
      </c>
      <c r="P115" s="17">
        <f t="shared" si="19"/>
        <v>5.0199999999999996</v>
      </c>
      <c r="Q115" s="17">
        <f t="shared" si="20"/>
        <v>-0.81767581846046378</v>
      </c>
      <c r="R115" s="17">
        <f t="shared" si="13"/>
        <v>-0.35943965810204931</v>
      </c>
      <c r="S115" s="17">
        <f t="shared" si="14"/>
        <v>0.47680989324534073</v>
      </c>
      <c r="T115" s="17">
        <f t="shared" si="15"/>
        <v>0.28657563326969476</v>
      </c>
      <c r="U115" s="16">
        <v>13</v>
      </c>
      <c r="V115" s="16">
        <v>16</v>
      </c>
      <c r="W115" s="16">
        <v>18</v>
      </c>
      <c r="X115" s="16">
        <v>21</v>
      </c>
      <c r="Y115" s="15">
        <v>0.4</v>
      </c>
      <c r="Z115" s="15">
        <v>0.53</v>
      </c>
      <c r="AA115" s="15">
        <v>0.61799999999999999</v>
      </c>
      <c r="AB115" s="15">
        <v>0.73399999999999999</v>
      </c>
      <c r="AC115" s="3">
        <f t="shared" si="21"/>
        <v>-0.45376902141268183</v>
      </c>
      <c r="AD115" s="3">
        <f t="shared" si="22"/>
        <v>-0.34929567855300009</v>
      </c>
      <c r="AE115" s="3">
        <f t="shared" si="23"/>
        <v>-0.50490720877150408</v>
      </c>
      <c r="AF115" s="3">
        <f t="shared" si="24"/>
        <v>-0.35054511355247775</v>
      </c>
    </row>
    <row r="116" spans="1:32" x14ac:dyDescent="0.2">
      <c r="A116" s="30">
        <v>114</v>
      </c>
      <c r="B116" s="9" t="s">
        <v>1416</v>
      </c>
      <c r="C116" s="12">
        <v>67892</v>
      </c>
      <c r="D116" s="13" t="s">
        <v>115</v>
      </c>
      <c r="E116" s="17">
        <v>11.282523705699999</v>
      </c>
      <c r="F116" s="17">
        <v>55.191214030899999</v>
      </c>
      <c r="G116" s="14">
        <v>355</v>
      </c>
      <c r="H116" s="17">
        <v>9.61</v>
      </c>
      <c r="I116" s="17">
        <v>9.75</v>
      </c>
      <c r="J116" s="17">
        <v>11.42</v>
      </c>
      <c r="K116" s="17">
        <v>13.33</v>
      </c>
      <c r="L116" s="17">
        <v>14.49</v>
      </c>
      <c r="M116" s="17">
        <f t="shared" si="16"/>
        <v>0.14000000000000057</v>
      </c>
      <c r="N116" s="17">
        <f t="shared" si="17"/>
        <v>1.8100000000000005</v>
      </c>
      <c r="O116" s="17">
        <f t="shared" si="18"/>
        <v>3.7200000000000006</v>
      </c>
      <c r="P116" s="17">
        <f t="shared" si="19"/>
        <v>4.8800000000000008</v>
      </c>
      <c r="Q116" s="17">
        <f t="shared" si="20"/>
        <v>-0.87859429540593115</v>
      </c>
      <c r="R116" s="17">
        <f t="shared" si="13"/>
        <v>-0.41575403086583074</v>
      </c>
      <c r="S116" s="17">
        <f t="shared" si="14"/>
        <v>0.27939664802684611</v>
      </c>
      <c r="T116" s="17">
        <f t="shared" si="15"/>
        <v>0.14487110734556272</v>
      </c>
      <c r="U116" s="16">
        <v>11</v>
      </c>
      <c r="V116" s="16">
        <v>14</v>
      </c>
      <c r="W116" s="16">
        <v>15</v>
      </c>
      <c r="X116" s="16">
        <v>19</v>
      </c>
      <c r="Y116" s="15">
        <v>0.443</v>
      </c>
      <c r="Z116" s="15">
        <v>0.57274999999999998</v>
      </c>
      <c r="AA116" s="15">
        <v>0.66274999999999995</v>
      </c>
      <c r="AB116" s="15">
        <v>0.77925</v>
      </c>
      <c r="AC116" s="3">
        <f t="shared" si="21"/>
        <v>-5.6419948116741787E-2</v>
      </c>
      <c r="AD116" s="3">
        <f t="shared" si="22"/>
        <v>3.431779390494788E-2</v>
      </c>
      <c r="AE116" s="3">
        <f t="shared" si="23"/>
        <v>-0.13646935805961441</v>
      </c>
      <c r="AF116" s="3">
        <f t="shared" si="24"/>
        <v>2.1163455173758311E-2</v>
      </c>
    </row>
    <row r="117" spans="1:32" x14ac:dyDescent="0.2">
      <c r="A117" s="30">
        <v>115</v>
      </c>
      <c r="B117" s="9" t="s">
        <v>1417</v>
      </c>
      <c r="C117" s="12">
        <v>67893</v>
      </c>
      <c r="D117" s="13" t="s">
        <v>116</v>
      </c>
      <c r="E117" s="17">
        <v>11.7053370891</v>
      </c>
      <c r="F117" s="17">
        <v>55.116129306700003</v>
      </c>
      <c r="G117" s="14">
        <v>316</v>
      </c>
      <c r="H117" s="17">
        <v>9.65</v>
      </c>
      <c r="I117" s="17">
        <v>9.8000000000000007</v>
      </c>
      <c r="J117" s="17">
        <v>11.51</v>
      </c>
      <c r="K117" s="17">
        <v>13.36</v>
      </c>
      <c r="L117" s="17">
        <v>14.52</v>
      </c>
      <c r="M117" s="17">
        <f t="shared" si="16"/>
        <v>0.15000000000000036</v>
      </c>
      <c r="N117" s="17">
        <f t="shared" si="17"/>
        <v>1.8599999999999994</v>
      </c>
      <c r="O117" s="17">
        <f t="shared" si="18"/>
        <v>3.7099999999999991</v>
      </c>
      <c r="P117" s="17">
        <f t="shared" si="19"/>
        <v>4.8699999999999992</v>
      </c>
      <c r="Q117" s="17">
        <f t="shared" si="20"/>
        <v>-0.86641060001683767</v>
      </c>
      <c r="R117" s="17">
        <f t="shared" si="13"/>
        <v>-0.34536106491110397</v>
      </c>
      <c r="S117" s="17">
        <f t="shared" si="14"/>
        <v>0.26778410419046228</v>
      </c>
      <c r="T117" s="17">
        <f t="shared" si="15"/>
        <v>0.13474935549383732</v>
      </c>
      <c r="U117" s="16">
        <v>21</v>
      </c>
      <c r="V117" s="16">
        <v>27</v>
      </c>
      <c r="W117" s="16">
        <v>27</v>
      </c>
      <c r="X117" s="16">
        <v>28</v>
      </c>
      <c r="Y117" s="15">
        <v>0.43149999999999999</v>
      </c>
      <c r="Z117" s="15">
        <v>0.624</v>
      </c>
      <c r="AA117" s="15">
        <v>0.65300000000000002</v>
      </c>
      <c r="AB117" s="15">
        <v>0.77049999999999996</v>
      </c>
      <c r="AC117" s="3">
        <f t="shared" si="21"/>
        <v>-0.16268772353309799</v>
      </c>
      <c r="AD117" s="3">
        <f t="shared" si="22"/>
        <v>0.49420529012646514</v>
      </c>
      <c r="AE117" s="3">
        <f t="shared" si="23"/>
        <v>-0.21674352665047253</v>
      </c>
      <c r="AF117" s="3">
        <f t="shared" si="24"/>
        <v>-5.0713892369989272E-2</v>
      </c>
    </row>
    <row r="118" spans="1:32" x14ac:dyDescent="0.2">
      <c r="A118" s="30">
        <v>116</v>
      </c>
      <c r="B118" s="9" t="s">
        <v>955</v>
      </c>
      <c r="C118" s="12">
        <v>67894</v>
      </c>
      <c r="D118" s="13" t="s">
        <v>117</v>
      </c>
      <c r="E118" s="17">
        <v>11.553946975300001</v>
      </c>
      <c r="F118" s="17">
        <v>54.926439865900001</v>
      </c>
      <c r="G118" s="14">
        <v>854</v>
      </c>
      <c r="H118" s="17">
        <v>9.8000000000000007</v>
      </c>
      <c r="I118" s="17">
        <v>9.93</v>
      </c>
      <c r="J118" s="17">
        <v>11.64</v>
      </c>
      <c r="K118" s="17">
        <v>13.45</v>
      </c>
      <c r="L118" s="17">
        <v>14.56</v>
      </c>
      <c r="M118" s="17">
        <f t="shared" si="16"/>
        <v>0.12999999999999901</v>
      </c>
      <c r="N118" s="17">
        <f t="shared" si="17"/>
        <v>1.8399999999999999</v>
      </c>
      <c r="O118" s="17">
        <f t="shared" si="18"/>
        <v>3.6499999999999986</v>
      </c>
      <c r="P118" s="17">
        <f t="shared" si="19"/>
        <v>4.76</v>
      </c>
      <c r="Q118" s="17">
        <f t="shared" si="20"/>
        <v>-0.89077799079502673</v>
      </c>
      <c r="R118" s="17">
        <f t="shared" si="13"/>
        <v>-0.37351825129299465</v>
      </c>
      <c r="S118" s="17">
        <f t="shared" si="14"/>
        <v>0.19810884117216943</v>
      </c>
      <c r="T118" s="17">
        <f t="shared" si="15"/>
        <v>2.341008512487602E-2</v>
      </c>
      <c r="U118" s="16">
        <v>16</v>
      </c>
      <c r="V118" s="16">
        <v>24</v>
      </c>
      <c r="W118" s="16">
        <v>25</v>
      </c>
      <c r="X118" s="16">
        <v>33</v>
      </c>
      <c r="Y118" s="15">
        <v>0.43149999999999999</v>
      </c>
      <c r="Z118" s="15">
        <v>0.624</v>
      </c>
      <c r="AA118" s="15">
        <v>0.65300000000000002</v>
      </c>
      <c r="AB118" s="15">
        <v>0.77049999999999996</v>
      </c>
      <c r="AC118" s="3">
        <f t="shared" si="21"/>
        <v>-0.16268772353309799</v>
      </c>
      <c r="AD118" s="3">
        <f t="shared" si="22"/>
        <v>0.49420529012646514</v>
      </c>
      <c r="AE118" s="3">
        <f t="shared" si="23"/>
        <v>-0.21674352665047253</v>
      </c>
      <c r="AF118" s="3">
        <f t="shared" si="24"/>
        <v>-5.0713892369989272E-2</v>
      </c>
    </row>
    <row r="119" spans="1:32" x14ac:dyDescent="0.2">
      <c r="A119" s="30">
        <v>117</v>
      </c>
      <c r="B119" s="9" t="s">
        <v>1418</v>
      </c>
      <c r="C119" s="12">
        <v>67895</v>
      </c>
      <c r="D119" s="13" t="s">
        <v>118</v>
      </c>
      <c r="E119" s="17">
        <v>12.2014348012</v>
      </c>
      <c r="F119" s="17">
        <v>55.086159341600002</v>
      </c>
      <c r="G119" s="14">
        <v>493</v>
      </c>
      <c r="H119" s="17">
        <v>9.6300000000000008</v>
      </c>
      <c r="I119" s="17">
        <v>9.7799999999999994</v>
      </c>
      <c r="J119" s="17">
        <v>11.55</v>
      </c>
      <c r="K119" s="17">
        <v>13.38</v>
      </c>
      <c r="L119" s="17">
        <v>14.49</v>
      </c>
      <c r="M119" s="17">
        <f t="shared" si="16"/>
        <v>0.14999999999999858</v>
      </c>
      <c r="N119" s="17">
        <f t="shared" si="17"/>
        <v>1.92</v>
      </c>
      <c r="O119" s="17">
        <f t="shared" si="18"/>
        <v>3.75</v>
      </c>
      <c r="P119" s="17">
        <f t="shared" si="19"/>
        <v>4.8599999999999994</v>
      </c>
      <c r="Q119" s="17">
        <f t="shared" si="20"/>
        <v>-0.86641060001683978</v>
      </c>
      <c r="R119" s="17">
        <f t="shared" si="13"/>
        <v>-0.2608895057654293</v>
      </c>
      <c r="S119" s="17">
        <f t="shared" si="14"/>
        <v>0.31423427953599148</v>
      </c>
      <c r="T119" s="17">
        <f t="shared" si="15"/>
        <v>0.12462760364211373</v>
      </c>
      <c r="U119" s="16">
        <v>15</v>
      </c>
      <c r="V119" s="16">
        <v>20</v>
      </c>
      <c r="W119" s="16">
        <v>20</v>
      </c>
      <c r="X119" s="16">
        <v>24</v>
      </c>
      <c r="Y119" s="15">
        <v>0.43149999999999999</v>
      </c>
      <c r="Z119" s="15">
        <v>0.624</v>
      </c>
      <c r="AA119" s="15">
        <v>0.65300000000000002</v>
      </c>
      <c r="AB119" s="15">
        <v>0.77049999999999996</v>
      </c>
      <c r="AC119" s="3">
        <f t="shared" si="21"/>
        <v>-0.16268772353309799</v>
      </c>
      <c r="AD119" s="3">
        <f t="shared" si="22"/>
        <v>0.49420529012646514</v>
      </c>
      <c r="AE119" s="3">
        <f t="shared" si="23"/>
        <v>-0.21674352665047253</v>
      </c>
      <c r="AF119" s="3">
        <f t="shared" si="24"/>
        <v>-5.0713892369989272E-2</v>
      </c>
    </row>
    <row r="120" spans="1:32" x14ac:dyDescent="0.2">
      <c r="A120" s="30">
        <v>118</v>
      </c>
      <c r="B120" s="9" t="s">
        <v>956</v>
      </c>
      <c r="C120" s="12">
        <v>67896</v>
      </c>
      <c r="D120" s="13" t="s">
        <v>119</v>
      </c>
      <c r="E120" s="17">
        <v>11.0006330786</v>
      </c>
      <c r="F120" s="17">
        <v>54.835567244400004</v>
      </c>
      <c r="G120" s="14">
        <v>171</v>
      </c>
      <c r="H120" s="17">
        <v>9.9</v>
      </c>
      <c r="I120" s="17">
        <v>10.01</v>
      </c>
      <c r="J120" s="17">
        <v>11.69</v>
      </c>
      <c r="K120" s="17">
        <v>13.5</v>
      </c>
      <c r="L120" s="17">
        <v>14.62</v>
      </c>
      <c r="M120" s="17">
        <f t="shared" si="16"/>
        <v>0.10999999999999943</v>
      </c>
      <c r="N120" s="17">
        <f t="shared" si="17"/>
        <v>1.7899999999999991</v>
      </c>
      <c r="O120" s="17">
        <f t="shared" si="18"/>
        <v>3.5999999999999996</v>
      </c>
      <c r="P120" s="17">
        <f t="shared" si="19"/>
        <v>4.7199999999999989</v>
      </c>
      <c r="Q120" s="17">
        <f t="shared" si="20"/>
        <v>-0.91514538157321368</v>
      </c>
      <c r="R120" s="17">
        <f t="shared" si="13"/>
        <v>-0.44391121724772398</v>
      </c>
      <c r="S120" s="17">
        <f t="shared" si="14"/>
        <v>0.14004612199026045</v>
      </c>
      <c r="T120" s="17">
        <f t="shared" si="15"/>
        <v>-1.7076922282020141E-2</v>
      </c>
      <c r="U120" s="16">
        <v>10</v>
      </c>
      <c r="V120" s="16">
        <v>12</v>
      </c>
      <c r="W120" s="16">
        <v>12</v>
      </c>
      <c r="X120" s="16">
        <v>13</v>
      </c>
      <c r="Y120" s="15">
        <v>0.443</v>
      </c>
      <c r="Z120" s="15">
        <v>0.57274999999999998</v>
      </c>
      <c r="AA120" s="15">
        <v>0.66274999999999995</v>
      </c>
      <c r="AB120" s="15">
        <v>0.77925</v>
      </c>
      <c r="AC120" s="3">
        <f t="shared" si="21"/>
        <v>-5.6419948116741787E-2</v>
      </c>
      <c r="AD120" s="3">
        <f t="shared" si="22"/>
        <v>3.431779390494788E-2</v>
      </c>
      <c r="AE120" s="3">
        <f t="shared" si="23"/>
        <v>-0.13646935805961441</v>
      </c>
      <c r="AF120" s="3">
        <f t="shared" si="24"/>
        <v>2.1163455173758311E-2</v>
      </c>
    </row>
    <row r="121" spans="1:32" x14ac:dyDescent="0.2">
      <c r="A121" s="30">
        <v>119</v>
      </c>
      <c r="B121" s="9" t="s">
        <v>957</v>
      </c>
      <c r="C121" s="12">
        <v>67898</v>
      </c>
      <c r="D121" s="13" t="s">
        <v>120</v>
      </c>
      <c r="E121" s="17">
        <v>11.724688825499999</v>
      </c>
      <c r="F121" s="17">
        <v>54.6252806432</v>
      </c>
      <c r="G121" s="14">
        <v>624</v>
      </c>
      <c r="H121" s="17">
        <v>9.89</v>
      </c>
      <c r="I121" s="17">
        <v>10.01</v>
      </c>
      <c r="J121" s="17">
        <v>11.77</v>
      </c>
      <c r="K121" s="17">
        <v>13.51</v>
      </c>
      <c r="L121" s="17">
        <v>14.62</v>
      </c>
      <c r="M121" s="17">
        <f t="shared" si="16"/>
        <v>0.11999999999999922</v>
      </c>
      <c r="N121" s="17">
        <f t="shared" si="17"/>
        <v>1.879999999999999</v>
      </c>
      <c r="O121" s="17">
        <f t="shared" si="18"/>
        <v>3.6199999999999992</v>
      </c>
      <c r="P121" s="17">
        <f t="shared" si="19"/>
        <v>4.7299999999999986</v>
      </c>
      <c r="Q121" s="17">
        <f t="shared" si="20"/>
        <v>-0.9029616861841202</v>
      </c>
      <c r="R121" s="17">
        <f t="shared" si="13"/>
        <v>-0.31720387852921322</v>
      </c>
      <c r="S121" s="17">
        <f t="shared" si="14"/>
        <v>0.16327120966302405</v>
      </c>
      <c r="T121" s="17">
        <f t="shared" si="15"/>
        <v>-6.9551704302965502E-3</v>
      </c>
      <c r="U121" s="16">
        <v>23</v>
      </c>
      <c r="V121" s="16">
        <v>25</v>
      </c>
      <c r="W121" s="16">
        <v>25</v>
      </c>
      <c r="X121" s="16">
        <v>27</v>
      </c>
      <c r="Y121" s="15">
        <v>0.43149999999999999</v>
      </c>
      <c r="Z121" s="15">
        <v>0.624</v>
      </c>
      <c r="AA121" s="15">
        <v>0.65300000000000002</v>
      </c>
      <c r="AB121" s="15">
        <v>0.77049999999999996</v>
      </c>
      <c r="AC121" s="3">
        <f t="shared" si="21"/>
        <v>-0.16268772353309799</v>
      </c>
      <c r="AD121" s="3">
        <f t="shared" si="22"/>
        <v>0.49420529012646514</v>
      </c>
      <c r="AE121" s="3">
        <f t="shared" si="23"/>
        <v>-0.21674352665047253</v>
      </c>
      <c r="AF121" s="3">
        <f t="shared" si="24"/>
        <v>-5.0713892369989272E-2</v>
      </c>
    </row>
    <row r="122" spans="1:32" x14ac:dyDescent="0.2">
      <c r="A122" s="30">
        <v>120</v>
      </c>
      <c r="B122" s="9" t="s">
        <v>958</v>
      </c>
      <c r="C122" s="12">
        <v>67900</v>
      </c>
      <c r="D122" s="13" t="s">
        <v>121</v>
      </c>
      <c r="E122" s="17">
        <v>8.4780289264600004</v>
      </c>
      <c r="F122" s="17">
        <v>55.264615234700003</v>
      </c>
      <c r="G122" s="14">
        <v>2544</v>
      </c>
      <c r="H122" s="17">
        <v>9.3800000000000008</v>
      </c>
      <c r="I122" s="17">
        <v>9.5399999999999991</v>
      </c>
      <c r="J122" s="17">
        <v>11.06</v>
      </c>
      <c r="K122" s="17">
        <v>13.12</v>
      </c>
      <c r="L122" s="17">
        <v>14.1</v>
      </c>
      <c r="M122" s="17">
        <f t="shared" si="16"/>
        <v>0.15999999999999837</v>
      </c>
      <c r="N122" s="17">
        <f t="shared" si="17"/>
        <v>1.6799999999999997</v>
      </c>
      <c r="O122" s="17">
        <f t="shared" si="18"/>
        <v>3.7399999999999984</v>
      </c>
      <c r="P122" s="17">
        <f t="shared" si="19"/>
        <v>4.7199999999999989</v>
      </c>
      <c r="Q122" s="17">
        <f t="shared" si="20"/>
        <v>-0.85422690462774631</v>
      </c>
      <c r="R122" s="17">
        <f t="shared" si="13"/>
        <v>-0.59877574234812547</v>
      </c>
      <c r="S122" s="17">
        <f t="shared" si="14"/>
        <v>0.30262173569960765</v>
      </c>
      <c r="T122" s="17">
        <f t="shared" si="15"/>
        <v>-1.7076922282020141E-2</v>
      </c>
      <c r="U122" s="16">
        <v>110</v>
      </c>
      <c r="V122" s="16">
        <v>214</v>
      </c>
      <c r="W122" s="16">
        <v>224</v>
      </c>
      <c r="X122" s="16">
        <v>301</v>
      </c>
      <c r="Y122" s="15">
        <v>0.45266666666700001</v>
      </c>
      <c r="Z122" s="15">
        <v>0.58133333333299997</v>
      </c>
      <c r="AA122" s="15">
        <v>0.67100000000000004</v>
      </c>
      <c r="AB122" s="15">
        <v>0.78666666666700003</v>
      </c>
      <c r="AC122" s="3">
        <f t="shared" si="21"/>
        <v>3.2906587743565315E-2</v>
      </c>
      <c r="AD122" s="3">
        <f t="shared" si="22"/>
        <v>0.11133960221222697</v>
      </c>
      <c r="AE122" s="3">
        <f t="shared" si="23"/>
        <v>-6.8545061559656298E-2</v>
      </c>
      <c r="AF122" s="3">
        <f t="shared" si="24"/>
        <v>8.2088064046911088E-2</v>
      </c>
    </row>
    <row r="123" spans="1:32" x14ac:dyDescent="0.2">
      <c r="A123" s="30">
        <v>121</v>
      </c>
      <c r="B123" s="9" t="s">
        <v>927</v>
      </c>
      <c r="C123" s="12">
        <v>67923</v>
      </c>
      <c r="D123" s="13" t="s">
        <v>122</v>
      </c>
      <c r="E123" s="17">
        <v>4.5563567149199997</v>
      </c>
      <c r="F123" s="17">
        <v>43.507500474399997</v>
      </c>
      <c r="G123" s="14">
        <v>721</v>
      </c>
      <c r="H123" s="17">
        <v>15.5</v>
      </c>
      <c r="I123" s="17">
        <v>15.69</v>
      </c>
      <c r="J123" s="17">
        <v>17.559999999999999</v>
      </c>
      <c r="K123" s="17">
        <v>19.28</v>
      </c>
      <c r="L123" s="17">
        <v>20.89</v>
      </c>
      <c r="M123" s="17">
        <f t="shared" si="16"/>
        <v>0.1899999999999995</v>
      </c>
      <c r="N123" s="17">
        <f t="shared" si="17"/>
        <v>2.0599999999999987</v>
      </c>
      <c r="O123" s="17">
        <f t="shared" si="18"/>
        <v>3.7800000000000011</v>
      </c>
      <c r="P123" s="17">
        <f t="shared" si="19"/>
        <v>5.3900000000000006</v>
      </c>
      <c r="Q123" s="17">
        <f t="shared" si="20"/>
        <v>-0.81767581846046378</v>
      </c>
      <c r="R123" s="17">
        <f t="shared" si="13"/>
        <v>-6.378920109219173E-2</v>
      </c>
      <c r="S123" s="17">
        <f t="shared" si="14"/>
        <v>0.34907191104513896</v>
      </c>
      <c r="T123" s="17">
        <f t="shared" si="15"/>
        <v>0.66108045178347663</v>
      </c>
      <c r="U123" s="16">
        <v>177</v>
      </c>
      <c r="V123" s="16">
        <v>196</v>
      </c>
      <c r="W123" s="16">
        <v>207</v>
      </c>
      <c r="X123" s="16">
        <v>213</v>
      </c>
      <c r="Y123" s="15">
        <v>0.41599999999999998</v>
      </c>
      <c r="Z123" s="15">
        <v>0.53200000000000003</v>
      </c>
      <c r="AA123" s="15">
        <v>0.63</v>
      </c>
      <c r="AB123" s="15">
        <v>0.71899999999999997</v>
      </c>
      <c r="AC123" s="3">
        <f t="shared" si="21"/>
        <v>-0.3059182034420998</v>
      </c>
      <c r="AD123" s="3">
        <f t="shared" si="22"/>
        <v>-0.33134884943216036</v>
      </c>
      <c r="AE123" s="3">
        <f t="shared" si="23"/>
        <v>-0.40610823204429325</v>
      </c>
      <c r="AF123" s="3">
        <f t="shared" si="24"/>
        <v>-0.47376342362747326</v>
      </c>
    </row>
    <row r="124" spans="1:32" x14ac:dyDescent="0.2">
      <c r="A124" s="30">
        <v>122</v>
      </c>
      <c r="B124" s="9" t="s">
        <v>959</v>
      </c>
      <c r="C124" s="12">
        <v>67926</v>
      </c>
      <c r="D124" s="13" t="s">
        <v>123</v>
      </c>
      <c r="E124" s="17">
        <v>-1.23652895469</v>
      </c>
      <c r="F124" s="17">
        <v>49.325928415900002</v>
      </c>
      <c r="G124" s="14">
        <v>105</v>
      </c>
      <c r="H124" s="17">
        <v>12.78</v>
      </c>
      <c r="I124" s="17">
        <v>12.03</v>
      </c>
      <c r="J124" s="17">
        <v>13.55</v>
      </c>
      <c r="K124" s="17">
        <v>15.36</v>
      </c>
      <c r="L124" s="17">
        <v>16.670000000000002</v>
      </c>
      <c r="M124" s="17">
        <f t="shared" si="16"/>
        <v>-0.75</v>
      </c>
      <c r="N124" s="17">
        <f t="shared" si="17"/>
        <v>0.77000000000000135</v>
      </c>
      <c r="O124" s="17">
        <f t="shared" si="18"/>
        <v>2.58</v>
      </c>
      <c r="P124" s="17">
        <f t="shared" si="19"/>
        <v>3.8900000000000023</v>
      </c>
      <c r="Q124" s="17">
        <f t="shared" si="20"/>
        <v>-1.962943185035273</v>
      </c>
      <c r="R124" s="17">
        <f t="shared" si="13"/>
        <v>-1.8799277227241784</v>
      </c>
      <c r="S124" s="17">
        <f t="shared" si="14"/>
        <v>-1.0444333493207072</v>
      </c>
      <c r="T124" s="17">
        <f t="shared" si="15"/>
        <v>-0.85718232597509258</v>
      </c>
      <c r="U124" s="16">
        <v>5</v>
      </c>
      <c r="V124" s="16">
        <v>9</v>
      </c>
      <c r="W124" s="16">
        <v>10</v>
      </c>
      <c r="X124" s="16">
        <v>13</v>
      </c>
      <c r="Y124" s="15">
        <v>0.432</v>
      </c>
      <c r="Z124" s="15">
        <v>0.55200000000000005</v>
      </c>
      <c r="AA124" s="15">
        <v>0.64700000000000002</v>
      </c>
      <c r="AB124" s="15">
        <v>0.748</v>
      </c>
      <c r="AC124" s="3">
        <f t="shared" si="21"/>
        <v>-0.15806738547151727</v>
      </c>
      <c r="AD124" s="3">
        <f t="shared" si="22"/>
        <v>-0.15188055822376331</v>
      </c>
      <c r="AE124" s="3">
        <f t="shared" si="23"/>
        <v>-0.26614301501407794</v>
      </c>
      <c r="AF124" s="3">
        <f t="shared" si="24"/>
        <v>-0.23554135748248201</v>
      </c>
    </row>
    <row r="125" spans="1:32" x14ac:dyDescent="0.2">
      <c r="A125" s="30">
        <v>123</v>
      </c>
      <c r="B125" s="9" t="s">
        <v>960</v>
      </c>
      <c r="C125" s="12">
        <v>67927</v>
      </c>
      <c r="D125" s="13" t="s">
        <v>124</v>
      </c>
      <c r="E125" s="17">
        <v>-2.7866155773800001</v>
      </c>
      <c r="F125" s="17">
        <v>47.571679271999997</v>
      </c>
      <c r="G125" s="14">
        <v>275</v>
      </c>
      <c r="H125" s="17">
        <v>13.58</v>
      </c>
      <c r="I125" s="17">
        <v>13.21</v>
      </c>
      <c r="J125" s="17">
        <v>14.61</v>
      </c>
      <c r="K125" s="17">
        <v>15.92</v>
      </c>
      <c r="L125" s="17">
        <v>17.22</v>
      </c>
      <c r="M125" s="17">
        <f t="shared" si="16"/>
        <v>-0.36999999999999922</v>
      </c>
      <c r="N125" s="17">
        <f t="shared" si="17"/>
        <v>1.0299999999999994</v>
      </c>
      <c r="O125" s="17">
        <f t="shared" si="18"/>
        <v>2.34</v>
      </c>
      <c r="P125" s="17">
        <f t="shared" si="19"/>
        <v>3.6399999999999988</v>
      </c>
      <c r="Q125" s="17">
        <f t="shared" si="20"/>
        <v>-1.4999627602497108</v>
      </c>
      <c r="R125" s="17">
        <f t="shared" si="13"/>
        <v>-1.5138842997595938</v>
      </c>
      <c r="S125" s="17">
        <f t="shared" si="14"/>
        <v>-1.3231344013938764</v>
      </c>
      <c r="T125" s="17">
        <f t="shared" si="15"/>
        <v>-1.1102261222681913</v>
      </c>
      <c r="U125" s="16">
        <v>13</v>
      </c>
      <c r="V125" s="16">
        <v>18</v>
      </c>
      <c r="W125" s="16">
        <v>23</v>
      </c>
      <c r="X125" s="16">
        <v>27</v>
      </c>
      <c r="Y125" s="15">
        <v>0.41266666666700003</v>
      </c>
      <c r="Z125" s="15">
        <v>0.52533333333300003</v>
      </c>
      <c r="AA125" s="15">
        <v>0.62533333333300001</v>
      </c>
      <c r="AB125" s="15">
        <v>0.72066666666699997</v>
      </c>
      <c r="AC125" s="3">
        <f t="shared" si="21"/>
        <v>-0.33672045718289051</v>
      </c>
      <c r="AD125" s="3">
        <f t="shared" si="22"/>
        <v>-0.39117161317128379</v>
      </c>
      <c r="AE125" s="3">
        <f t="shared" si="23"/>
        <v>-0.44453005632984183</v>
      </c>
      <c r="AF125" s="3">
        <f t="shared" si="24"/>
        <v>-0.46007250028306895</v>
      </c>
    </row>
    <row r="126" spans="1:32" x14ac:dyDescent="0.2">
      <c r="A126" s="30">
        <v>124</v>
      </c>
      <c r="B126" s="9" t="s">
        <v>1419</v>
      </c>
      <c r="C126" s="12">
        <v>67931</v>
      </c>
      <c r="D126" s="13" t="s">
        <v>125</v>
      </c>
      <c r="E126" s="17">
        <v>9.53526838246</v>
      </c>
      <c r="F126" s="17">
        <v>-0.52480023225399997</v>
      </c>
      <c r="G126" s="14">
        <v>118</v>
      </c>
      <c r="H126" s="17">
        <v>24.86</v>
      </c>
      <c r="I126" s="17">
        <v>26.23</v>
      </c>
      <c r="J126" s="17">
        <v>27.36</v>
      </c>
      <c r="K126" s="17">
        <v>28.77</v>
      </c>
      <c r="L126" s="17">
        <v>30.02</v>
      </c>
      <c r="M126" s="17">
        <f t="shared" si="16"/>
        <v>1.370000000000001</v>
      </c>
      <c r="N126" s="17">
        <f t="shared" si="17"/>
        <v>2.5</v>
      </c>
      <c r="O126" s="17">
        <f t="shared" si="18"/>
        <v>3.91</v>
      </c>
      <c r="P126" s="17">
        <f t="shared" si="19"/>
        <v>5.16</v>
      </c>
      <c r="Q126" s="17">
        <f t="shared" si="20"/>
        <v>0.62000023745259714</v>
      </c>
      <c r="R126" s="17">
        <f t="shared" si="13"/>
        <v>0.5556688993094191</v>
      </c>
      <c r="S126" s="17">
        <f t="shared" si="14"/>
        <v>0.50003498091810428</v>
      </c>
      <c r="T126" s="17">
        <f t="shared" si="15"/>
        <v>0.42828015919382861</v>
      </c>
      <c r="U126" s="16">
        <v>1</v>
      </c>
      <c r="V126" s="16">
        <v>1</v>
      </c>
      <c r="W126" s="16">
        <v>1</v>
      </c>
      <c r="X126" s="16">
        <v>1</v>
      </c>
      <c r="Y126" s="15">
        <v>0.45800000000000002</v>
      </c>
      <c r="Z126" s="15">
        <v>0.59299999999999997</v>
      </c>
      <c r="AA126" s="15">
        <v>0.74099999999999999</v>
      </c>
      <c r="AB126" s="15">
        <v>0.84199999999999997</v>
      </c>
      <c r="AC126" s="3">
        <f t="shared" si="21"/>
        <v>8.2190193730679345E-2</v>
      </c>
      <c r="AD126" s="3">
        <f t="shared" si="22"/>
        <v>0.21602943875344965</v>
      </c>
      <c r="AE126" s="3">
        <f t="shared" si="23"/>
        <v>0.50778230268240587</v>
      </c>
      <c r="AF126" s="3">
        <f t="shared" si="24"/>
        <v>0.53662671898748859</v>
      </c>
    </row>
    <row r="127" spans="1:32" x14ac:dyDescent="0.2">
      <c r="A127" s="30">
        <v>125</v>
      </c>
      <c r="B127" s="9" t="s">
        <v>961</v>
      </c>
      <c r="C127" s="12">
        <v>67932</v>
      </c>
      <c r="D127" s="13" t="s">
        <v>126</v>
      </c>
      <c r="E127" s="17">
        <v>9.6001817820100008</v>
      </c>
      <c r="F127" s="17">
        <v>-2.1224821792199999</v>
      </c>
      <c r="G127" s="14">
        <v>150</v>
      </c>
      <c r="H127" s="17">
        <v>25.5</v>
      </c>
      <c r="I127" s="17">
        <v>26.83</v>
      </c>
      <c r="J127" s="17">
        <v>27.85</v>
      </c>
      <c r="K127" s="17">
        <v>29.22</v>
      </c>
      <c r="L127" s="17">
        <v>30.35</v>
      </c>
      <c r="M127" s="17">
        <f t="shared" si="16"/>
        <v>1.3299999999999983</v>
      </c>
      <c r="N127" s="17">
        <f t="shared" si="17"/>
        <v>2.3500000000000014</v>
      </c>
      <c r="O127" s="17">
        <f t="shared" si="18"/>
        <v>3.7199999999999989</v>
      </c>
      <c r="P127" s="17">
        <f t="shared" si="19"/>
        <v>4.8500000000000014</v>
      </c>
      <c r="Q127" s="17">
        <f t="shared" si="20"/>
        <v>0.57126545589621891</v>
      </c>
      <c r="R127" s="17">
        <f t="shared" si="13"/>
        <v>0.34449000144523623</v>
      </c>
      <c r="S127" s="17">
        <f t="shared" si="14"/>
        <v>0.27939664802684405</v>
      </c>
      <c r="T127" s="17">
        <f t="shared" si="15"/>
        <v>0.11450585179039192</v>
      </c>
      <c r="U127" s="16">
        <v>0</v>
      </c>
      <c r="V127" s="16">
        <v>0</v>
      </c>
      <c r="W127" s="16">
        <v>0</v>
      </c>
      <c r="X127" s="16">
        <v>0</v>
      </c>
      <c r="Y127" s="15">
        <v>0.46200000000000002</v>
      </c>
      <c r="Z127" s="15">
        <v>0.6</v>
      </c>
      <c r="AA127" s="15">
        <v>0.75</v>
      </c>
      <c r="AB127" s="15">
        <v>0.85199999999999998</v>
      </c>
      <c r="AC127" s="3">
        <f t="shared" si="21"/>
        <v>0.11915289822332498</v>
      </c>
      <c r="AD127" s="3">
        <f t="shared" si="22"/>
        <v>0.27884334067638861</v>
      </c>
      <c r="AE127" s="3">
        <f t="shared" si="23"/>
        <v>0.58188153522781394</v>
      </c>
      <c r="AF127" s="3">
        <f t="shared" si="24"/>
        <v>0.61877225903748556</v>
      </c>
    </row>
    <row r="128" spans="1:32" x14ac:dyDescent="0.2">
      <c r="A128" s="30">
        <v>126</v>
      </c>
      <c r="B128" s="9" t="s">
        <v>1420</v>
      </c>
      <c r="C128" s="12">
        <v>67933</v>
      </c>
      <c r="D128" s="13" t="s">
        <v>127</v>
      </c>
      <c r="E128" s="17">
        <v>10.2375380973</v>
      </c>
      <c r="F128" s="17">
        <v>-2.82594326767</v>
      </c>
      <c r="G128" s="14">
        <v>252</v>
      </c>
      <c r="H128" s="17">
        <v>25.17</v>
      </c>
      <c r="I128" s="17">
        <v>26.54</v>
      </c>
      <c r="J128" s="17">
        <v>27.61</v>
      </c>
      <c r="K128" s="17">
        <v>28.99</v>
      </c>
      <c r="L128" s="17">
        <v>30.15</v>
      </c>
      <c r="M128" s="17">
        <f t="shared" si="16"/>
        <v>1.3699999999999974</v>
      </c>
      <c r="N128" s="17">
        <f t="shared" si="17"/>
        <v>2.4399999999999977</v>
      </c>
      <c r="O128" s="17">
        <f t="shared" si="18"/>
        <v>3.8199999999999967</v>
      </c>
      <c r="P128" s="17">
        <f t="shared" si="19"/>
        <v>4.9799999999999969</v>
      </c>
      <c r="Q128" s="17">
        <f t="shared" si="20"/>
        <v>0.62000023745259281</v>
      </c>
      <c r="R128" s="17">
        <f t="shared" si="13"/>
        <v>0.47119734016374198</v>
      </c>
      <c r="S128" s="17">
        <f t="shared" si="14"/>
        <v>0.395522086390662</v>
      </c>
      <c r="T128" s="17">
        <f t="shared" si="15"/>
        <v>0.24608862586279681</v>
      </c>
      <c r="U128" s="16">
        <v>0</v>
      </c>
      <c r="V128" s="16">
        <v>2</v>
      </c>
      <c r="W128" s="16">
        <v>2</v>
      </c>
      <c r="X128" s="16">
        <v>2</v>
      </c>
      <c r="Y128" s="15">
        <v>0.47199999999999998</v>
      </c>
      <c r="Z128" s="15">
        <v>0.61199999999999999</v>
      </c>
      <c r="AA128" s="15">
        <v>0.76500000000000001</v>
      </c>
      <c r="AB128" s="15">
        <v>0.86799999999999999</v>
      </c>
      <c r="AC128" s="3">
        <f t="shared" si="21"/>
        <v>0.21155965945493854</v>
      </c>
      <c r="AD128" s="3">
        <f t="shared" si="22"/>
        <v>0.38652431540142684</v>
      </c>
      <c r="AE128" s="3">
        <f t="shared" si="23"/>
        <v>0.70538025613682753</v>
      </c>
      <c r="AF128" s="3">
        <f t="shared" si="24"/>
        <v>0.75020512311748078</v>
      </c>
    </row>
    <row r="129" spans="1:32" x14ac:dyDescent="0.2">
      <c r="A129" s="30">
        <v>127</v>
      </c>
      <c r="B129" s="9" t="s">
        <v>962</v>
      </c>
      <c r="C129" s="12">
        <v>67934</v>
      </c>
      <c r="D129" s="13" t="s">
        <v>128</v>
      </c>
      <c r="E129" s="17">
        <v>8.3939173078299998</v>
      </c>
      <c r="F129" s="17">
        <v>53.816696195200002</v>
      </c>
      <c r="G129" s="14">
        <v>1003</v>
      </c>
      <c r="H129" s="17">
        <v>10.17</v>
      </c>
      <c r="I129" s="17">
        <v>10.15</v>
      </c>
      <c r="J129" s="17">
        <v>11.62</v>
      </c>
      <c r="K129" s="17">
        <v>13.49</v>
      </c>
      <c r="L129" s="17">
        <v>14.74</v>
      </c>
      <c r="M129" s="17">
        <f t="shared" si="16"/>
        <v>-1.9999999999999574E-2</v>
      </c>
      <c r="N129" s="17">
        <f t="shared" si="17"/>
        <v>1.4499999999999993</v>
      </c>
      <c r="O129" s="17">
        <f t="shared" si="18"/>
        <v>3.3200000000000003</v>
      </c>
      <c r="P129" s="17">
        <f t="shared" si="19"/>
        <v>4.57</v>
      </c>
      <c r="Q129" s="17">
        <f t="shared" si="20"/>
        <v>-1.0735334216314307</v>
      </c>
      <c r="R129" s="17">
        <f t="shared" si="13"/>
        <v>-0.9225833857398763</v>
      </c>
      <c r="S129" s="17">
        <f t="shared" si="14"/>
        <v>-0.18510510542843595</v>
      </c>
      <c r="T129" s="17">
        <f t="shared" si="15"/>
        <v>-0.16890320005787579</v>
      </c>
      <c r="U129" s="16">
        <v>26</v>
      </c>
      <c r="V129" s="16">
        <v>62</v>
      </c>
      <c r="W129" s="16">
        <v>62</v>
      </c>
      <c r="X129" s="16">
        <v>91</v>
      </c>
      <c r="Y129" s="15">
        <v>0.47599999999999998</v>
      </c>
      <c r="Z129" s="15">
        <v>0.60599999999999998</v>
      </c>
      <c r="AA129" s="15">
        <v>0.69599999999999995</v>
      </c>
      <c r="AB129" s="15">
        <v>0.81200000000000006</v>
      </c>
      <c r="AC129" s="3">
        <f t="shared" si="21"/>
        <v>0.24852236394758417</v>
      </c>
      <c r="AD129" s="3">
        <f t="shared" si="22"/>
        <v>0.33268382803890773</v>
      </c>
      <c r="AE129" s="3">
        <f t="shared" si="23"/>
        <v>0.13728613995536532</v>
      </c>
      <c r="AF129" s="3">
        <f t="shared" si="24"/>
        <v>0.29019009883749863</v>
      </c>
    </row>
    <row r="130" spans="1:32" x14ac:dyDescent="0.2">
      <c r="A130" s="30">
        <v>128</v>
      </c>
      <c r="B130" s="9" t="s">
        <v>1421</v>
      </c>
      <c r="C130" s="12">
        <v>67935</v>
      </c>
      <c r="D130" s="13" t="s">
        <v>129</v>
      </c>
      <c r="E130" s="17">
        <v>8.2556906551800004</v>
      </c>
      <c r="F130" s="17">
        <v>53.589897950800001</v>
      </c>
      <c r="G130" s="14">
        <v>1297</v>
      </c>
      <c r="H130" s="17">
        <v>10.06</v>
      </c>
      <c r="I130" s="17">
        <v>10.050000000000001</v>
      </c>
      <c r="J130" s="17">
        <v>11.51</v>
      </c>
      <c r="K130" s="17">
        <v>13.44</v>
      </c>
      <c r="L130" s="17">
        <v>14.74</v>
      </c>
      <c r="M130" s="17">
        <f t="shared" si="16"/>
        <v>-9.9999999999997868E-3</v>
      </c>
      <c r="N130" s="17">
        <f t="shared" si="17"/>
        <v>1.4499999999999993</v>
      </c>
      <c r="O130" s="17">
        <f t="shared" si="18"/>
        <v>3.379999999999999</v>
      </c>
      <c r="P130" s="17">
        <f t="shared" si="19"/>
        <v>4.68</v>
      </c>
      <c r="Q130" s="17">
        <f t="shared" si="20"/>
        <v>-1.0613497262423375</v>
      </c>
      <c r="R130" s="17">
        <f t="shared" si="13"/>
        <v>-0.9225833857398763</v>
      </c>
      <c r="S130" s="17">
        <f t="shared" si="14"/>
        <v>-0.11542984241014519</v>
      </c>
      <c r="T130" s="17">
        <f t="shared" si="15"/>
        <v>-5.7563929688914502E-2</v>
      </c>
      <c r="U130" s="16">
        <v>36</v>
      </c>
      <c r="V130" s="16">
        <v>75</v>
      </c>
      <c r="W130" s="16">
        <v>75</v>
      </c>
      <c r="X130" s="16">
        <v>104</v>
      </c>
      <c r="Y130" s="15">
        <v>0.47599999999999998</v>
      </c>
      <c r="Z130" s="15">
        <v>0.60599999999999998</v>
      </c>
      <c r="AA130" s="15">
        <v>0.69599999999999995</v>
      </c>
      <c r="AB130" s="15">
        <v>0.81200000000000006</v>
      </c>
      <c r="AC130" s="3">
        <f t="shared" si="21"/>
        <v>0.24852236394758417</v>
      </c>
      <c r="AD130" s="3">
        <f t="shared" si="22"/>
        <v>0.33268382803890773</v>
      </c>
      <c r="AE130" s="3">
        <f t="shared" si="23"/>
        <v>0.13728613995536532</v>
      </c>
      <c r="AF130" s="3">
        <f t="shared" si="24"/>
        <v>0.29019009883749863</v>
      </c>
    </row>
    <row r="131" spans="1:32" x14ac:dyDescent="0.2">
      <c r="A131" s="30">
        <v>129</v>
      </c>
      <c r="B131" s="9" t="s">
        <v>963</v>
      </c>
      <c r="C131" s="12">
        <v>67936</v>
      </c>
      <c r="D131" s="13" t="s">
        <v>130</v>
      </c>
      <c r="E131" s="17">
        <v>7.2389020214900004</v>
      </c>
      <c r="F131" s="17">
        <v>53.639715668699999</v>
      </c>
      <c r="G131" s="14">
        <v>2777</v>
      </c>
      <c r="H131" s="17">
        <v>10.41</v>
      </c>
      <c r="I131" s="17">
        <v>10.33</v>
      </c>
      <c r="J131" s="17">
        <v>11.72</v>
      </c>
      <c r="K131" s="17">
        <v>13.67</v>
      </c>
      <c r="L131" s="17">
        <v>14.96</v>
      </c>
      <c r="M131" s="17">
        <f t="shared" si="16"/>
        <v>-8.0000000000000071E-2</v>
      </c>
      <c r="N131" s="17">
        <f t="shared" si="17"/>
        <v>1.3100000000000005</v>
      </c>
      <c r="O131" s="17">
        <f t="shared" si="18"/>
        <v>3.26</v>
      </c>
      <c r="P131" s="17">
        <f t="shared" si="19"/>
        <v>4.5500000000000007</v>
      </c>
      <c r="Q131" s="17">
        <f t="shared" si="20"/>
        <v>-1.1466355939659938</v>
      </c>
      <c r="R131" s="17">
        <f t="shared" ref="R131:R194" si="25">(N131-N$764)/N$767</f>
        <v>-1.1196836904131138</v>
      </c>
      <c r="S131" s="17">
        <f t="shared" ref="S131:S194" si="26">(O131-O$764)/O$767</f>
        <v>-0.25478036844672874</v>
      </c>
      <c r="T131" s="17">
        <f t="shared" ref="T131:T194" si="27">(P131-P$764)/P$767</f>
        <v>-0.18914670376132298</v>
      </c>
      <c r="U131" s="16">
        <v>80</v>
      </c>
      <c r="V131" s="16">
        <v>174</v>
      </c>
      <c r="W131" s="16">
        <v>180</v>
      </c>
      <c r="X131" s="16">
        <v>300</v>
      </c>
      <c r="Y131" s="15">
        <v>0.47449999999999998</v>
      </c>
      <c r="Z131" s="15">
        <v>0.60199999999999998</v>
      </c>
      <c r="AA131" s="15">
        <v>0.69199999999999995</v>
      </c>
      <c r="AB131" s="15">
        <v>0.80800000000000005</v>
      </c>
      <c r="AC131" s="3">
        <f t="shared" si="21"/>
        <v>0.23466134976284206</v>
      </c>
      <c r="AD131" s="3">
        <f t="shared" si="22"/>
        <v>0.29679016979722833</v>
      </c>
      <c r="AE131" s="3">
        <f t="shared" si="23"/>
        <v>0.10435314771296171</v>
      </c>
      <c r="AF131" s="3">
        <f t="shared" si="24"/>
        <v>0.25733188281749986</v>
      </c>
    </row>
    <row r="132" spans="1:32" x14ac:dyDescent="0.2">
      <c r="A132" s="30">
        <v>130</v>
      </c>
      <c r="B132" s="9" t="s">
        <v>964</v>
      </c>
      <c r="C132" s="12">
        <v>67937</v>
      </c>
      <c r="D132" s="13" t="s">
        <v>131</v>
      </c>
      <c r="E132" s="17">
        <v>9.2435400597299999</v>
      </c>
      <c r="F132" s="17">
        <v>53.805942695200002</v>
      </c>
      <c r="G132" s="14">
        <v>271</v>
      </c>
      <c r="H132" s="17">
        <v>9.5399999999999991</v>
      </c>
      <c r="I132" s="17">
        <v>9.67</v>
      </c>
      <c r="J132" s="17">
        <v>11.21</v>
      </c>
      <c r="K132" s="17">
        <v>13.04</v>
      </c>
      <c r="L132" s="17">
        <v>14.49</v>
      </c>
      <c r="M132" s="17">
        <f t="shared" ref="M132:M195" si="28">I132-H132</f>
        <v>0.13000000000000078</v>
      </c>
      <c r="N132" s="17">
        <f t="shared" ref="N132:N195" si="29">J132-H132</f>
        <v>1.6700000000000017</v>
      </c>
      <c r="O132" s="17">
        <f t="shared" ref="O132:O195" si="30">K132-H132</f>
        <v>3.5</v>
      </c>
      <c r="P132" s="17">
        <f t="shared" ref="P132:P195" si="31">L132-H132</f>
        <v>4.9500000000000011</v>
      </c>
      <c r="Q132" s="17">
        <f t="shared" ref="Q132:Q195" si="32">(M132-M$764)/M$767</f>
        <v>-0.89077799079502462</v>
      </c>
      <c r="R132" s="17">
        <f t="shared" si="25"/>
        <v>-0.61285433553906832</v>
      </c>
      <c r="S132" s="17">
        <f t="shared" si="26"/>
        <v>2.3920683626440467E-2</v>
      </c>
      <c r="T132" s="17">
        <f t="shared" si="27"/>
        <v>0.21572337030762964</v>
      </c>
      <c r="U132" s="16">
        <v>9</v>
      </c>
      <c r="V132" s="16">
        <v>9</v>
      </c>
      <c r="W132" s="16">
        <v>12</v>
      </c>
      <c r="X132" s="16">
        <v>18</v>
      </c>
      <c r="Y132" s="15">
        <v>0.48949999999999999</v>
      </c>
      <c r="Z132" s="15">
        <v>0.61899999999999999</v>
      </c>
      <c r="AA132" s="15">
        <v>0.71099999999999997</v>
      </c>
      <c r="AB132" s="15">
        <v>0.82750000000000001</v>
      </c>
      <c r="AC132" s="3">
        <f t="shared" ref="AC132:AC195" si="33">(Y132-Y$764)/Y$767</f>
        <v>0.37327149161026318</v>
      </c>
      <c r="AD132" s="3">
        <f t="shared" ref="AD132:AD195" si="34">(Z132-Z$764)/Z$767</f>
        <v>0.44933821732436585</v>
      </c>
      <c r="AE132" s="3">
        <f t="shared" ref="AE132:AE195" si="35">(AA132-AA$764)/AA$767</f>
        <v>0.26078486086437885</v>
      </c>
      <c r="AF132" s="3">
        <f t="shared" ref="AF132:AF195" si="36">(AB132-AB$764)/AB$767</f>
        <v>0.4175156859149935</v>
      </c>
    </row>
    <row r="133" spans="1:32" x14ac:dyDescent="0.2">
      <c r="A133" s="30">
        <v>131</v>
      </c>
      <c r="B133" s="9" t="s">
        <v>1422</v>
      </c>
      <c r="C133" s="12">
        <v>67951</v>
      </c>
      <c r="D133" s="13" t="s">
        <v>132</v>
      </c>
      <c r="E133" s="17">
        <v>12.6514319856</v>
      </c>
      <c r="F133" s="17">
        <v>54.386470783199997</v>
      </c>
      <c r="G133" s="14">
        <v>265</v>
      </c>
      <c r="H133" s="17">
        <v>9.5500000000000007</v>
      </c>
      <c r="I133" s="17">
        <v>9.73</v>
      </c>
      <c r="J133" s="17">
        <v>11.6</v>
      </c>
      <c r="K133" s="17">
        <v>13.31</v>
      </c>
      <c r="L133" s="17">
        <v>14.51</v>
      </c>
      <c r="M133" s="17">
        <f t="shared" si="28"/>
        <v>0.17999999999999972</v>
      </c>
      <c r="N133" s="17">
        <f t="shared" si="29"/>
        <v>2.0499999999999989</v>
      </c>
      <c r="O133" s="17">
        <f t="shared" si="30"/>
        <v>3.76</v>
      </c>
      <c r="P133" s="17">
        <f t="shared" si="31"/>
        <v>4.9599999999999991</v>
      </c>
      <c r="Q133" s="17">
        <f t="shared" si="32"/>
        <v>-0.82985951384955725</v>
      </c>
      <c r="R133" s="17">
        <f t="shared" si="25"/>
        <v>-7.7867794283137101E-2</v>
      </c>
      <c r="S133" s="17">
        <f t="shared" si="26"/>
        <v>0.32584682337237331</v>
      </c>
      <c r="T133" s="17">
        <f t="shared" si="27"/>
        <v>0.22584512215935143</v>
      </c>
      <c r="U133" s="16">
        <v>14</v>
      </c>
      <c r="V133" s="16">
        <v>14</v>
      </c>
      <c r="W133" s="16">
        <v>15</v>
      </c>
      <c r="X133" s="16">
        <v>17</v>
      </c>
      <c r="Y133" s="15">
        <v>0.44</v>
      </c>
      <c r="Z133" s="15">
        <v>0.57799999999999996</v>
      </c>
      <c r="AA133" s="15">
        <v>0.67</v>
      </c>
      <c r="AB133" s="15">
        <v>0.78600000000000003</v>
      </c>
      <c r="AC133" s="3">
        <f t="shared" si="33"/>
        <v>-8.4141976486226011E-2</v>
      </c>
      <c r="AD133" s="3">
        <f t="shared" si="34"/>
        <v>8.1428220347151858E-2</v>
      </c>
      <c r="AE133" s="3">
        <f t="shared" si="35"/>
        <v>-7.6778309620257196E-2</v>
      </c>
      <c r="AF133" s="3">
        <f t="shared" si="36"/>
        <v>7.6611694707506492E-2</v>
      </c>
    </row>
    <row r="134" spans="1:32" x14ac:dyDescent="0.2">
      <c r="A134" s="30">
        <v>132</v>
      </c>
      <c r="B134" s="9" t="s">
        <v>965</v>
      </c>
      <c r="C134" s="12">
        <v>67962</v>
      </c>
      <c r="D134" s="13" t="s">
        <v>133</v>
      </c>
      <c r="E134" s="17">
        <v>8.4285581450000002</v>
      </c>
      <c r="F134" s="17">
        <v>53.934565034999999</v>
      </c>
      <c r="G134" s="14">
        <v>376</v>
      </c>
      <c r="H134" s="17">
        <v>10.220000000000001</v>
      </c>
      <c r="I134" s="17">
        <v>10.19</v>
      </c>
      <c r="J134" s="17">
        <v>11.68</v>
      </c>
      <c r="K134" s="17">
        <v>13.53</v>
      </c>
      <c r="L134" s="17">
        <v>14.74</v>
      </c>
      <c r="M134" s="17">
        <f t="shared" si="28"/>
        <v>-3.0000000000001137E-2</v>
      </c>
      <c r="N134" s="17">
        <f t="shared" si="29"/>
        <v>1.4599999999999991</v>
      </c>
      <c r="O134" s="17">
        <f t="shared" si="30"/>
        <v>3.3099999999999987</v>
      </c>
      <c r="P134" s="17">
        <f t="shared" si="31"/>
        <v>4.5199999999999996</v>
      </c>
      <c r="Q134" s="17">
        <f t="shared" si="32"/>
        <v>-1.0857171170205264</v>
      </c>
      <c r="R134" s="17">
        <f t="shared" si="25"/>
        <v>-0.90850479254893091</v>
      </c>
      <c r="S134" s="17">
        <f t="shared" si="26"/>
        <v>-0.1967176492648198</v>
      </c>
      <c r="T134" s="17">
        <f t="shared" si="27"/>
        <v>-0.21951195931649556</v>
      </c>
      <c r="U134" s="16">
        <v>4</v>
      </c>
      <c r="V134" s="16">
        <v>21</v>
      </c>
      <c r="W134" s="16">
        <v>21</v>
      </c>
      <c r="X134" s="16">
        <v>31</v>
      </c>
      <c r="Y134" s="15">
        <v>0.47599999999999998</v>
      </c>
      <c r="Z134" s="15">
        <v>0.60599999999999998</v>
      </c>
      <c r="AA134" s="15">
        <v>0.69599999999999995</v>
      </c>
      <c r="AB134" s="15">
        <v>0.81200000000000006</v>
      </c>
      <c r="AC134" s="3">
        <f t="shared" si="33"/>
        <v>0.24852236394758417</v>
      </c>
      <c r="AD134" s="3">
        <f t="shared" si="34"/>
        <v>0.33268382803890773</v>
      </c>
      <c r="AE134" s="3">
        <f t="shared" si="35"/>
        <v>0.13728613995536532</v>
      </c>
      <c r="AF134" s="3">
        <f t="shared" si="36"/>
        <v>0.29019009883749863</v>
      </c>
    </row>
    <row r="135" spans="1:32" x14ac:dyDescent="0.2">
      <c r="A135" s="30">
        <v>133</v>
      </c>
      <c r="B135" s="9" t="s">
        <v>1423</v>
      </c>
      <c r="C135" s="12">
        <v>67964</v>
      </c>
      <c r="D135" s="13" t="s">
        <v>134</v>
      </c>
      <c r="E135" s="17">
        <v>9.8068469703899996</v>
      </c>
      <c r="F135" s="17">
        <v>53.543026892199997</v>
      </c>
      <c r="G135" s="14">
        <v>19</v>
      </c>
      <c r="H135" s="17">
        <v>9.41</v>
      </c>
      <c r="I135" s="17">
        <v>9.52</v>
      </c>
      <c r="J135" s="17">
        <v>11.16</v>
      </c>
      <c r="K135" s="17">
        <v>13.08</v>
      </c>
      <c r="L135" s="17">
        <v>14.45</v>
      </c>
      <c r="M135" s="17">
        <f t="shared" si="28"/>
        <v>0.10999999999999943</v>
      </c>
      <c r="N135" s="17">
        <f t="shared" si="29"/>
        <v>1.75</v>
      </c>
      <c r="O135" s="17">
        <f t="shared" si="30"/>
        <v>3.67</v>
      </c>
      <c r="P135" s="17">
        <f t="shared" si="31"/>
        <v>5.0399999999999991</v>
      </c>
      <c r="Q135" s="17">
        <f t="shared" si="32"/>
        <v>-0.91514538157321368</v>
      </c>
      <c r="R135" s="17">
        <f t="shared" si="25"/>
        <v>-0.50022559001150546</v>
      </c>
      <c r="S135" s="17">
        <f t="shared" si="26"/>
        <v>0.22133392884493508</v>
      </c>
      <c r="T135" s="17">
        <f t="shared" si="27"/>
        <v>0.30681913697314195</v>
      </c>
      <c r="U135" s="16">
        <v>5</v>
      </c>
      <c r="V135" s="16">
        <v>5</v>
      </c>
      <c r="W135" s="16">
        <v>5</v>
      </c>
      <c r="X135" s="16">
        <v>5</v>
      </c>
      <c r="Y135" s="15">
        <v>0.46300000000000002</v>
      </c>
      <c r="Z135" s="15">
        <v>0.59399999999999997</v>
      </c>
      <c r="AA135" s="15">
        <v>0.68500000000000005</v>
      </c>
      <c r="AB135" s="15">
        <v>0.80200000000000005</v>
      </c>
      <c r="AC135" s="3">
        <f t="shared" si="33"/>
        <v>0.12839357434648638</v>
      </c>
      <c r="AD135" s="3">
        <f t="shared" si="34"/>
        <v>0.22500285331386952</v>
      </c>
      <c r="AE135" s="3">
        <f t="shared" si="35"/>
        <v>4.6720411288756321E-2</v>
      </c>
      <c r="AF135" s="3">
        <f t="shared" si="36"/>
        <v>0.20804455878750167</v>
      </c>
    </row>
    <row r="136" spans="1:32" x14ac:dyDescent="0.2">
      <c r="A136" s="30">
        <v>134</v>
      </c>
      <c r="B136" s="9" t="s">
        <v>966</v>
      </c>
      <c r="C136" s="12">
        <v>67970</v>
      </c>
      <c r="D136" s="13" t="s">
        <v>135</v>
      </c>
      <c r="E136" s="17">
        <v>0.85710025972199999</v>
      </c>
      <c r="F136" s="17">
        <v>5.9063420873099997</v>
      </c>
      <c r="G136" s="14">
        <v>426</v>
      </c>
      <c r="H136" s="17">
        <v>26.9</v>
      </c>
      <c r="I136" s="17">
        <v>28.33</v>
      </c>
      <c r="J136" s="17">
        <v>29.34</v>
      </c>
      <c r="K136" s="17">
        <v>30.48</v>
      </c>
      <c r="L136" s="17">
        <v>31.7</v>
      </c>
      <c r="M136" s="17">
        <f t="shared" si="28"/>
        <v>1.4299999999999997</v>
      </c>
      <c r="N136" s="17">
        <f t="shared" si="29"/>
        <v>2.4400000000000013</v>
      </c>
      <c r="O136" s="17">
        <f t="shared" si="30"/>
        <v>3.5800000000000018</v>
      </c>
      <c r="P136" s="17">
        <f t="shared" si="31"/>
        <v>4.8000000000000007</v>
      </c>
      <c r="Q136" s="17">
        <f t="shared" si="32"/>
        <v>0.69310240978715787</v>
      </c>
      <c r="R136" s="17">
        <f t="shared" si="25"/>
        <v>0.47119734016374698</v>
      </c>
      <c r="S136" s="17">
        <f t="shared" si="26"/>
        <v>0.11682103431749893</v>
      </c>
      <c r="T136" s="17">
        <f t="shared" si="27"/>
        <v>6.3897092531772184E-2</v>
      </c>
      <c r="U136" s="16">
        <v>33</v>
      </c>
      <c r="V136" s="16">
        <v>45</v>
      </c>
      <c r="W136" s="16">
        <v>62</v>
      </c>
      <c r="X136" s="16">
        <v>70</v>
      </c>
      <c r="Y136" s="15">
        <v>0.46800000000000003</v>
      </c>
      <c r="Z136" s="15">
        <v>0.59799999999999998</v>
      </c>
      <c r="AA136" s="15">
        <v>0.72599999999999998</v>
      </c>
      <c r="AB136" s="15">
        <v>0.82599999999999996</v>
      </c>
      <c r="AC136" s="3">
        <f t="shared" si="33"/>
        <v>0.17459695496229341</v>
      </c>
      <c r="AD136" s="3">
        <f t="shared" si="34"/>
        <v>0.26089651155554894</v>
      </c>
      <c r="AE136" s="3">
        <f t="shared" si="35"/>
        <v>0.38428358177339234</v>
      </c>
      <c r="AF136" s="3">
        <f t="shared" si="36"/>
        <v>0.40519385490749349</v>
      </c>
    </row>
    <row r="137" spans="1:32" x14ac:dyDescent="0.2">
      <c r="A137" s="30">
        <v>135</v>
      </c>
      <c r="B137" s="9" t="s">
        <v>967</v>
      </c>
      <c r="C137" s="12">
        <v>67971</v>
      </c>
      <c r="D137" s="13" t="s">
        <v>136</v>
      </c>
      <c r="E137" s="17">
        <v>26.086596599300002</v>
      </c>
      <c r="F137" s="17">
        <v>40.812543043799998</v>
      </c>
      <c r="G137" s="14">
        <v>91</v>
      </c>
      <c r="H137" s="17">
        <v>16</v>
      </c>
      <c r="I137" s="17">
        <v>17.5</v>
      </c>
      <c r="J137" s="17">
        <v>18.07</v>
      </c>
      <c r="K137" s="17">
        <v>19.21</v>
      </c>
      <c r="L137" s="17">
        <v>21.79</v>
      </c>
      <c r="M137" s="17">
        <f t="shared" si="28"/>
        <v>1.5</v>
      </c>
      <c r="N137" s="17">
        <f t="shared" si="29"/>
        <v>2.0700000000000003</v>
      </c>
      <c r="O137" s="17">
        <f t="shared" si="30"/>
        <v>3.2100000000000009</v>
      </c>
      <c r="P137" s="17">
        <f t="shared" si="31"/>
        <v>5.7899999999999991</v>
      </c>
      <c r="Q137" s="17">
        <f t="shared" si="32"/>
        <v>0.7783882775108143</v>
      </c>
      <c r="R137" s="17">
        <f t="shared" si="25"/>
        <v>-4.9710607901243875E-2</v>
      </c>
      <c r="S137" s="17">
        <f t="shared" si="26"/>
        <v>-0.31284308762863772</v>
      </c>
      <c r="T137" s="17">
        <f t="shared" si="27"/>
        <v>1.0659505258524273</v>
      </c>
      <c r="U137" s="16">
        <v>18</v>
      </c>
      <c r="V137" s="16">
        <v>23</v>
      </c>
      <c r="W137" s="16">
        <v>24</v>
      </c>
      <c r="X137" s="16">
        <v>31</v>
      </c>
      <c r="Y137" s="15">
        <v>0.41799999999999998</v>
      </c>
      <c r="Z137" s="15">
        <v>0.51649999999999996</v>
      </c>
      <c r="AA137" s="15">
        <v>0.61499999999999999</v>
      </c>
      <c r="AB137" s="15">
        <v>0.70699999999999996</v>
      </c>
      <c r="AC137" s="3">
        <f t="shared" si="33"/>
        <v>-0.287436851195777</v>
      </c>
      <c r="AD137" s="3">
        <f t="shared" si="34"/>
        <v>-0.4704367751186686</v>
      </c>
      <c r="AE137" s="3">
        <f t="shared" si="35"/>
        <v>-0.52960695295330673</v>
      </c>
      <c r="AF137" s="3">
        <f t="shared" si="36"/>
        <v>-0.57233807168746964</v>
      </c>
    </row>
    <row r="138" spans="1:32" x14ac:dyDescent="0.2">
      <c r="A138" s="30">
        <v>136</v>
      </c>
      <c r="B138" s="9" t="s">
        <v>968</v>
      </c>
      <c r="C138" s="12">
        <v>67972</v>
      </c>
      <c r="D138" s="13" t="s">
        <v>137</v>
      </c>
      <c r="E138" s="17">
        <v>25.155415723000001</v>
      </c>
      <c r="F138" s="17">
        <v>41.007211816800002</v>
      </c>
      <c r="G138" s="14">
        <v>133</v>
      </c>
      <c r="H138" s="17">
        <v>14.85</v>
      </c>
      <c r="I138" s="17">
        <v>16.53</v>
      </c>
      <c r="J138" s="17">
        <v>17.149999999999999</v>
      </c>
      <c r="K138" s="17">
        <v>18.54</v>
      </c>
      <c r="L138" s="17">
        <v>20.92</v>
      </c>
      <c r="M138" s="17">
        <f t="shared" si="28"/>
        <v>1.6800000000000015</v>
      </c>
      <c r="N138" s="17">
        <f t="shared" si="29"/>
        <v>2.2999999999999989</v>
      </c>
      <c r="O138" s="17">
        <f t="shared" si="30"/>
        <v>3.6899999999999995</v>
      </c>
      <c r="P138" s="17">
        <f t="shared" si="31"/>
        <v>6.0700000000000021</v>
      </c>
      <c r="Q138" s="17">
        <f t="shared" si="32"/>
        <v>0.99769479451450316</v>
      </c>
      <c r="R138" s="17">
        <f t="shared" si="25"/>
        <v>0.2740970354905044</v>
      </c>
      <c r="S138" s="17">
        <f t="shared" si="26"/>
        <v>0.24455901651769868</v>
      </c>
      <c r="T138" s="17">
        <f t="shared" si="27"/>
        <v>1.349359577700697</v>
      </c>
      <c r="U138" s="16">
        <v>7</v>
      </c>
      <c r="V138" s="16">
        <v>8</v>
      </c>
      <c r="W138" s="16">
        <v>9</v>
      </c>
      <c r="X138" s="16">
        <v>11</v>
      </c>
      <c r="Y138" s="15">
        <v>0.214</v>
      </c>
      <c r="Z138" s="15">
        <v>0.311</v>
      </c>
      <c r="AA138" s="15">
        <v>0.40799999999999997</v>
      </c>
      <c r="AB138" s="15">
        <v>0.5</v>
      </c>
      <c r="AC138" s="3">
        <f t="shared" si="33"/>
        <v>-2.1725347803207025</v>
      </c>
      <c r="AD138" s="3">
        <f t="shared" si="34"/>
        <v>-2.3144734672849463</v>
      </c>
      <c r="AE138" s="3">
        <f t="shared" si="35"/>
        <v>-2.2338893014976917</v>
      </c>
      <c r="AF138" s="3">
        <f t="shared" si="36"/>
        <v>-2.272750750722405</v>
      </c>
    </row>
    <row r="139" spans="1:32" x14ac:dyDescent="0.2">
      <c r="A139" s="30">
        <v>137</v>
      </c>
      <c r="B139" s="9" t="s">
        <v>969</v>
      </c>
      <c r="C139" s="12">
        <v>67974</v>
      </c>
      <c r="D139" s="13" t="s">
        <v>138</v>
      </c>
      <c r="E139" s="17">
        <v>24.798678817500001</v>
      </c>
      <c r="F139" s="17">
        <v>40.8935326215</v>
      </c>
      <c r="G139" s="14">
        <v>11</v>
      </c>
      <c r="H139" s="17">
        <v>16.510000000000002</v>
      </c>
      <c r="I139" s="17">
        <v>18.059999999999999</v>
      </c>
      <c r="J139" s="17">
        <v>18.73</v>
      </c>
      <c r="K139" s="17">
        <v>20.010000000000002</v>
      </c>
      <c r="L139" s="17">
        <v>22.27</v>
      </c>
      <c r="M139" s="17">
        <f t="shared" si="28"/>
        <v>1.5499999999999972</v>
      </c>
      <c r="N139" s="17">
        <f t="shared" si="29"/>
        <v>2.2199999999999989</v>
      </c>
      <c r="O139" s="17">
        <f t="shared" si="30"/>
        <v>3.5</v>
      </c>
      <c r="P139" s="17">
        <f t="shared" si="31"/>
        <v>5.759999999999998</v>
      </c>
      <c r="Q139" s="17">
        <f t="shared" si="32"/>
        <v>0.83930675445627945</v>
      </c>
      <c r="R139" s="17">
        <f t="shared" si="25"/>
        <v>0.16146828996293905</v>
      </c>
      <c r="S139" s="17">
        <f t="shared" si="26"/>
        <v>2.3920683626440467E-2</v>
      </c>
      <c r="T139" s="17">
        <f t="shared" si="27"/>
        <v>1.0355852702972548</v>
      </c>
      <c r="U139" s="16">
        <v>0</v>
      </c>
      <c r="V139" s="16">
        <v>0</v>
      </c>
      <c r="W139" s="16">
        <v>0</v>
      </c>
      <c r="X139" s="16">
        <v>0</v>
      </c>
      <c r="Y139" s="15">
        <v>0.214</v>
      </c>
      <c r="Z139" s="15">
        <v>0.311</v>
      </c>
      <c r="AA139" s="15">
        <v>0.40799999999999997</v>
      </c>
      <c r="AB139" s="15">
        <v>0.5</v>
      </c>
      <c r="AC139" s="3">
        <f t="shared" si="33"/>
        <v>-2.1725347803207025</v>
      </c>
      <c r="AD139" s="3">
        <f t="shared" si="34"/>
        <v>-2.3144734672849463</v>
      </c>
      <c r="AE139" s="3">
        <f t="shared" si="35"/>
        <v>-2.2338893014976917</v>
      </c>
      <c r="AF139" s="3">
        <f t="shared" si="36"/>
        <v>-2.272750750722405</v>
      </c>
    </row>
    <row r="140" spans="1:32" x14ac:dyDescent="0.2">
      <c r="A140" s="30">
        <v>138</v>
      </c>
      <c r="B140" s="9" t="s">
        <v>970</v>
      </c>
      <c r="C140" s="12">
        <v>67977</v>
      </c>
      <c r="D140" s="13" t="s">
        <v>139</v>
      </c>
      <c r="E140" s="17">
        <v>22.700733599500001</v>
      </c>
      <c r="F140" s="17">
        <v>40.544413637300003</v>
      </c>
      <c r="G140" s="14">
        <v>101</v>
      </c>
      <c r="H140" s="17">
        <v>14.9</v>
      </c>
      <c r="I140" s="17">
        <v>16.79</v>
      </c>
      <c r="J140" s="17">
        <v>17.760000000000002</v>
      </c>
      <c r="K140" s="17">
        <v>19.22</v>
      </c>
      <c r="L140" s="17">
        <v>21.66</v>
      </c>
      <c r="M140" s="17">
        <f t="shared" si="28"/>
        <v>1.8899999999999988</v>
      </c>
      <c r="N140" s="17">
        <f t="shared" si="29"/>
        <v>2.8600000000000012</v>
      </c>
      <c r="O140" s="17">
        <f t="shared" si="30"/>
        <v>4.3199999999999985</v>
      </c>
      <c r="P140" s="17">
        <f t="shared" si="31"/>
        <v>6.76</v>
      </c>
      <c r="Q140" s="17">
        <f t="shared" si="32"/>
        <v>1.2535523976854679</v>
      </c>
      <c r="R140" s="17">
        <f t="shared" si="25"/>
        <v>1.0624982541834647</v>
      </c>
      <c r="S140" s="17">
        <f t="shared" si="26"/>
        <v>0.97614927820976605</v>
      </c>
      <c r="T140" s="17">
        <f t="shared" si="27"/>
        <v>2.0477604554696374</v>
      </c>
      <c r="U140" s="16">
        <v>10</v>
      </c>
      <c r="V140" s="16">
        <v>10</v>
      </c>
      <c r="W140" s="16">
        <v>11</v>
      </c>
      <c r="X140" s="16">
        <v>12</v>
      </c>
      <c r="Y140" s="15">
        <v>0.50700000000000001</v>
      </c>
      <c r="Z140" s="15">
        <v>0.60599999999999998</v>
      </c>
      <c r="AA140" s="15">
        <v>0.70399999999999996</v>
      </c>
      <c r="AB140" s="15">
        <v>0.79349999999999998</v>
      </c>
      <c r="AC140" s="3">
        <f t="shared" si="33"/>
        <v>0.53498332376558788</v>
      </c>
      <c r="AD140" s="3">
        <f t="shared" si="34"/>
        <v>0.33268382803890773</v>
      </c>
      <c r="AE140" s="3">
        <f t="shared" si="35"/>
        <v>0.20315212444017253</v>
      </c>
      <c r="AF140" s="3">
        <f t="shared" si="36"/>
        <v>0.13822084974500376</v>
      </c>
    </row>
    <row r="141" spans="1:32" x14ac:dyDescent="0.2">
      <c r="A141" s="30">
        <v>139</v>
      </c>
      <c r="B141" s="9" t="s">
        <v>971</v>
      </c>
      <c r="C141" s="12">
        <v>67979</v>
      </c>
      <c r="D141" s="13" t="s">
        <v>140</v>
      </c>
      <c r="E141" s="17">
        <v>20.922327848799998</v>
      </c>
      <c r="F141" s="17">
        <v>39.078593188500001</v>
      </c>
      <c r="G141" s="14">
        <v>309</v>
      </c>
      <c r="H141" s="17">
        <v>15.41</v>
      </c>
      <c r="I141" s="17">
        <v>16.989999999999998</v>
      </c>
      <c r="J141" s="17">
        <v>18.059999999999999</v>
      </c>
      <c r="K141" s="17">
        <v>19.420000000000002</v>
      </c>
      <c r="L141" s="17">
        <v>21.68</v>
      </c>
      <c r="M141" s="17">
        <f t="shared" si="28"/>
        <v>1.5799999999999983</v>
      </c>
      <c r="N141" s="17">
        <f t="shared" si="29"/>
        <v>2.6499999999999986</v>
      </c>
      <c r="O141" s="17">
        <f t="shared" si="30"/>
        <v>4.0100000000000016</v>
      </c>
      <c r="P141" s="17">
        <f t="shared" si="31"/>
        <v>6.27</v>
      </c>
      <c r="Q141" s="17">
        <f t="shared" si="32"/>
        <v>0.87585784062356198</v>
      </c>
      <c r="R141" s="17">
        <f t="shared" si="25"/>
        <v>0.76684779717360207</v>
      </c>
      <c r="S141" s="17">
        <f t="shared" si="26"/>
        <v>0.61616041928192633</v>
      </c>
      <c r="T141" s="17">
        <f t="shared" si="27"/>
        <v>1.5517946147351707</v>
      </c>
      <c r="U141" s="16">
        <v>33</v>
      </c>
      <c r="V141" s="16">
        <v>33</v>
      </c>
      <c r="W141" s="16">
        <v>35</v>
      </c>
      <c r="X141" s="16">
        <v>35</v>
      </c>
      <c r="Y141" s="15">
        <v>0.48099999999999998</v>
      </c>
      <c r="Z141" s="15">
        <v>0.59299999999999997</v>
      </c>
      <c r="AA141" s="15">
        <v>0.69733333333299996</v>
      </c>
      <c r="AB141" s="15">
        <v>0.79466666666700003</v>
      </c>
      <c r="AC141" s="3">
        <f t="shared" si="33"/>
        <v>0.29472574456339123</v>
      </c>
      <c r="AD141" s="3">
        <f t="shared" si="34"/>
        <v>0.21602943875344965</v>
      </c>
      <c r="AE141" s="3">
        <f t="shared" si="35"/>
        <v>0.14826380403342215</v>
      </c>
      <c r="AF141" s="3">
        <f t="shared" si="36"/>
        <v>0.14780449608690865</v>
      </c>
    </row>
    <row r="142" spans="1:32" x14ac:dyDescent="0.2">
      <c r="A142" s="30">
        <v>140</v>
      </c>
      <c r="B142" s="9" t="s">
        <v>972</v>
      </c>
      <c r="C142" s="12">
        <v>67980</v>
      </c>
      <c r="D142" s="13" t="s">
        <v>141</v>
      </c>
      <c r="E142" s="17">
        <v>21.270355200499999</v>
      </c>
      <c r="F142" s="17">
        <v>38.353576852899998</v>
      </c>
      <c r="G142" s="14">
        <v>392</v>
      </c>
      <c r="H142" s="17">
        <v>16.66</v>
      </c>
      <c r="I142" s="17">
        <v>18.23</v>
      </c>
      <c r="J142" s="17">
        <v>19.41</v>
      </c>
      <c r="K142" s="17">
        <v>20.7</v>
      </c>
      <c r="L142" s="17">
        <v>22.98</v>
      </c>
      <c r="M142" s="17">
        <f t="shared" si="28"/>
        <v>1.5700000000000003</v>
      </c>
      <c r="N142" s="17">
        <f t="shared" si="29"/>
        <v>2.75</v>
      </c>
      <c r="O142" s="17">
        <f t="shared" si="30"/>
        <v>4.0399999999999991</v>
      </c>
      <c r="P142" s="17">
        <f t="shared" si="31"/>
        <v>6.32</v>
      </c>
      <c r="Q142" s="17">
        <f t="shared" si="32"/>
        <v>0.86367414523447072</v>
      </c>
      <c r="R142" s="17">
        <f t="shared" si="25"/>
        <v>0.90763372908306073</v>
      </c>
      <c r="S142" s="17">
        <f t="shared" si="26"/>
        <v>0.65099805079106965</v>
      </c>
      <c r="T142" s="17">
        <f t="shared" si="27"/>
        <v>1.6024033739937904</v>
      </c>
      <c r="U142" s="16">
        <v>22</v>
      </c>
      <c r="V142" s="16">
        <v>27</v>
      </c>
      <c r="W142" s="16">
        <v>28</v>
      </c>
      <c r="X142" s="16">
        <v>29</v>
      </c>
      <c r="Y142" s="15">
        <v>0.47799999999999998</v>
      </c>
      <c r="Z142" s="15">
        <v>0.59050000000000002</v>
      </c>
      <c r="AA142" s="15">
        <v>0.69499999999999995</v>
      </c>
      <c r="AB142" s="15">
        <v>0.79249999999999998</v>
      </c>
      <c r="AC142" s="3">
        <f t="shared" si="33"/>
        <v>0.267003716193907</v>
      </c>
      <c r="AD142" s="3">
        <f t="shared" si="34"/>
        <v>0.19359590235240054</v>
      </c>
      <c r="AE142" s="3">
        <f t="shared" si="35"/>
        <v>0.1290528918947644</v>
      </c>
      <c r="AF142" s="3">
        <f t="shared" si="36"/>
        <v>0.13000629574000408</v>
      </c>
    </row>
    <row r="143" spans="1:32" x14ac:dyDescent="0.2">
      <c r="A143" s="30">
        <v>141</v>
      </c>
      <c r="B143" s="9" t="s">
        <v>973</v>
      </c>
      <c r="C143" s="12">
        <v>67981</v>
      </c>
      <c r="D143" s="13" t="s">
        <v>142</v>
      </c>
      <c r="E143" s="17">
        <v>21.355695341000001</v>
      </c>
      <c r="F143" s="17">
        <v>38.098066379700001</v>
      </c>
      <c r="G143" s="14">
        <v>65</v>
      </c>
      <c r="H143" s="17">
        <v>17.04</v>
      </c>
      <c r="I143" s="17">
        <v>18.600000000000001</v>
      </c>
      <c r="J143" s="17">
        <v>19.77</v>
      </c>
      <c r="K143" s="17">
        <v>21.06</v>
      </c>
      <c r="L143" s="17">
        <v>23.3</v>
      </c>
      <c r="M143" s="17">
        <f t="shared" si="28"/>
        <v>1.5600000000000023</v>
      </c>
      <c r="N143" s="17">
        <f t="shared" si="29"/>
        <v>2.7300000000000004</v>
      </c>
      <c r="O143" s="17">
        <f t="shared" si="30"/>
        <v>4.0199999999999996</v>
      </c>
      <c r="P143" s="17">
        <f t="shared" si="31"/>
        <v>6.2600000000000016</v>
      </c>
      <c r="Q143" s="17">
        <f t="shared" si="32"/>
        <v>0.85149044984537936</v>
      </c>
      <c r="R143" s="17">
        <f t="shared" si="25"/>
        <v>0.87947654270116993</v>
      </c>
      <c r="S143" s="17">
        <f t="shared" si="26"/>
        <v>0.6277729631183061</v>
      </c>
      <c r="T143" s="17">
        <f t="shared" si="27"/>
        <v>1.5416728628834488</v>
      </c>
      <c r="U143" s="16">
        <v>4</v>
      </c>
      <c r="V143" s="16">
        <v>5</v>
      </c>
      <c r="W143" s="16">
        <v>5</v>
      </c>
      <c r="X143" s="16">
        <v>6</v>
      </c>
      <c r="Y143" s="15">
        <v>0.47799999999999998</v>
      </c>
      <c r="Z143" s="15">
        <v>0.59050000000000002</v>
      </c>
      <c r="AA143" s="15">
        <v>0.69499999999999995</v>
      </c>
      <c r="AB143" s="15">
        <v>0.79249999999999998</v>
      </c>
      <c r="AC143" s="3">
        <f t="shared" si="33"/>
        <v>0.267003716193907</v>
      </c>
      <c r="AD143" s="3">
        <f t="shared" si="34"/>
        <v>0.19359590235240054</v>
      </c>
      <c r="AE143" s="3">
        <f t="shared" si="35"/>
        <v>0.1290528918947644</v>
      </c>
      <c r="AF143" s="3">
        <f t="shared" si="36"/>
        <v>0.13000629574000408</v>
      </c>
    </row>
    <row r="144" spans="1:32" x14ac:dyDescent="0.2">
      <c r="A144" s="30">
        <v>142</v>
      </c>
      <c r="B144" s="9" t="s">
        <v>974</v>
      </c>
      <c r="C144" s="12">
        <v>67984</v>
      </c>
      <c r="D144" s="13" t="s">
        <v>143</v>
      </c>
      <c r="E144" s="17">
        <v>-14.932535161300001</v>
      </c>
      <c r="F144" s="17">
        <v>10.923720107999999</v>
      </c>
      <c r="G144" s="14">
        <v>292</v>
      </c>
      <c r="H144" s="17">
        <v>25.95</v>
      </c>
      <c r="I144" s="17">
        <v>27.15</v>
      </c>
      <c r="J144" s="17">
        <v>28.14</v>
      </c>
      <c r="K144" s="17">
        <v>28.84</v>
      </c>
      <c r="L144" s="17">
        <v>29.59</v>
      </c>
      <c r="M144" s="17">
        <f t="shared" si="28"/>
        <v>1.1999999999999993</v>
      </c>
      <c r="N144" s="17">
        <f t="shared" si="29"/>
        <v>2.1900000000000013</v>
      </c>
      <c r="O144" s="17">
        <f t="shared" si="30"/>
        <v>2.8900000000000006</v>
      </c>
      <c r="P144" s="17">
        <f t="shared" si="31"/>
        <v>3.6400000000000006</v>
      </c>
      <c r="Q144" s="17">
        <f t="shared" si="32"/>
        <v>0.4128774158380018</v>
      </c>
      <c r="R144" s="17">
        <f t="shared" si="25"/>
        <v>0.11923251039010546</v>
      </c>
      <c r="S144" s="17">
        <f t="shared" si="26"/>
        <v>-0.68444449039286337</v>
      </c>
      <c r="T144" s="17">
        <f t="shared" si="27"/>
        <v>-1.1102261222681895</v>
      </c>
      <c r="U144" s="16">
        <v>2</v>
      </c>
      <c r="V144" s="16">
        <v>4</v>
      </c>
      <c r="W144" s="16">
        <v>5</v>
      </c>
      <c r="X144" s="16">
        <v>12</v>
      </c>
      <c r="Y144" s="15">
        <v>0.45100000000000001</v>
      </c>
      <c r="Z144" s="15">
        <v>0.57499999999999996</v>
      </c>
      <c r="AA144" s="15">
        <v>0.68600000000000005</v>
      </c>
      <c r="AB144" s="15">
        <v>0.77900000000000003</v>
      </c>
      <c r="AC144" s="3">
        <f t="shared" si="33"/>
        <v>1.7505460868549479E-2</v>
      </c>
      <c r="AD144" s="3">
        <f t="shared" si="34"/>
        <v>5.4507976665892306E-2</v>
      </c>
      <c r="AE144" s="3">
        <f t="shared" si="35"/>
        <v>5.4953659349357219E-2</v>
      </c>
      <c r="AF144" s="3">
        <f t="shared" si="36"/>
        <v>1.9109816672508613E-2</v>
      </c>
    </row>
    <row r="145" spans="1:32" x14ac:dyDescent="0.2">
      <c r="A145" s="30">
        <v>143</v>
      </c>
      <c r="B145" s="9" t="s">
        <v>975</v>
      </c>
      <c r="C145" s="12">
        <v>67985</v>
      </c>
      <c r="D145" s="13" t="s">
        <v>144</v>
      </c>
      <c r="E145" s="17">
        <v>-14.558366253499999</v>
      </c>
      <c r="F145" s="17">
        <v>10.4489003884</v>
      </c>
      <c r="G145" s="14">
        <v>118</v>
      </c>
      <c r="H145" s="17">
        <v>25.98</v>
      </c>
      <c r="I145" s="17">
        <v>27.15</v>
      </c>
      <c r="J145" s="17">
        <v>28.1</v>
      </c>
      <c r="K145" s="17">
        <v>28.78</v>
      </c>
      <c r="L145" s="17">
        <v>29.48</v>
      </c>
      <c r="M145" s="17">
        <f t="shared" si="28"/>
        <v>1.1699999999999982</v>
      </c>
      <c r="N145" s="17">
        <f t="shared" si="29"/>
        <v>2.120000000000001</v>
      </c>
      <c r="O145" s="17">
        <f t="shared" si="30"/>
        <v>2.8000000000000007</v>
      </c>
      <c r="P145" s="17">
        <f t="shared" si="31"/>
        <v>3.5</v>
      </c>
      <c r="Q145" s="17">
        <f t="shared" si="32"/>
        <v>0.37632632967071922</v>
      </c>
      <c r="R145" s="17">
        <f t="shared" si="25"/>
        <v>2.0682358053485429E-2</v>
      </c>
      <c r="S145" s="17">
        <f t="shared" si="26"/>
        <v>-0.78895738492030154</v>
      </c>
      <c r="T145" s="17">
        <f t="shared" si="27"/>
        <v>-1.2519306481923234</v>
      </c>
      <c r="U145" s="16">
        <v>3</v>
      </c>
      <c r="V145" s="16">
        <v>5</v>
      </c>
      <c r="W145" s="16">
        <v>6</v>
      </c>
      <c r="X145" s="16">
        <v>7</v>
      </c>
      <c r="Y145" s="15">
        <v>0.46400000000000002</v>
      </c>
      <c r="Z145" s="15">
        <v>0.59</v>
      </c>
      <c r="AA145" s="15">
        <v>0.70199999999999996</v>
      </c>
      <c r="AB145" s="15">
        <v>0.79600000000000004</v>
      </c>
      <c r="AC145" s="3">
        <f t="shared" si="33"/>
        <v>0.13763425046964778</v>
      </c>
      <c r="AD145" s="3">
        <f t="shared" si="34"/>
        <v>0.18910919507219009</v>
      </c>
      <c r="AE145" s="3">
        <f t="shared" si="35"/>
        <v>0.18668562831897073</v>
      </c>
      <c r="AF145" s="3">
        <f t="shared" si="36"/>
        <v>0.15875723475750347</v>
      </c>
    </row>
    <row r="146" spans="1:32" x14ac:dyDescent="0.2">
      <c r="A146" s="30">
        <v>144</v>
      </c>
      <c r="B146" s="9" t="s">
        <v>976</v>
      </c>
      <c r="C146" s="12">
        <v>67986</v>
      </c>
      <c r="D146" s="13" t="s">
        <v>145</v>
      </c>
      <c r="E146" s="17">
        <v>-14.153117223900001</v>
      </c>
      <c r="F146" s="17">
        <v>10.128586998299999</v>
      </c>
      <c r="G146" s="14">
        <v>103</v>
      </c>
      <c r="H146" s="17">
        <v>25.93</v>
      </c>
      <c r="I146" s="17">
        <v>27.13</v>
      </c>
      <c r="J146" s="17">
        <v>28.14</v>
      </c>
      <c r="K146" s="17">
        <v>28.88</v>
      </c>
      <c r="L146" s="17">
        <v>29.59</v>
      </c>
      <c r="M146" s="17">
        <f t="shared" si="28"/>
        <v>1.1999999999999993</v>
      </c>
      <c r="N146" s="17">
        <f t="shared" si="29"/>
        <v>2.2100000000000009</v>
      </c>
      <c r="O146" s="17">
        <f t="shared" si="30"/>
        <v>2.9499999999999993</v>
      </c>
      <c r="P146" s="17">
        <f t="shared" si="31"/>
        <v>3.66</v>
      </c>
      <c r="Q146" s="17">
        <f t="shared" si="32"/>
        <v>0.4128774158380018</v>
      </c>
      <c r="R146" s="17">
        <f t="shared" si="25"/>
        <v>0.14738969677199618</v>
      </c>
      <c r="S146" s="17">
        <f t="shared" si="26"/>
        <v>-0.61476922737457262</v>
      </c>
      <c r="T146" s="17">
        <f t="shared" si="27"/>
        <v>-1.0899826185647423</v>
      </c>
      <c r="U146" s="16">
        <v>2</v>
      </c>
      <c r="V146" s="16">
        <v>2</v>
      </c>
      <c r="W146" s="16">
        <v>2</v>
      </c>
      <c r="X146" s="16">
        <v>4</v>
      </c>
      <c r="Y146" s="15">
        <v>0.45400000000000001</v>
      </c>
      <c r="Z146" s="15">
        <v>0.57799999999999996</v>
      </c>
      <c r="AA146" s="15">
        <v>0.69</v>
      </c>
      <c r="AB146" s="15">
        <v>0.78200000000000003</v>
      </c>
      <c r="AC146" s="3">
        <f t="shared" si="33"/>
        <v>4.5227489238033707E-2</v>
      </c>
      <c r="AD146" s="3">
        <f t="shared" si="34"/>
        <v>8.1428220347151858E-2</v>
      </c>
      <c r="AE146" s="3">
        <f t="shared" si="35"/>
        <v>8.7886651591759915E-2</v>
      </c>
      <c r="AF146" s="3">
        <f t="shared" si="36"/>
        <v>4.3753478687507709E-2</v>
      </c>
    </row>
    <row r="147" spans="1:32" x14ac:dyDescent="0.2">
      <c r="A147" s="30">
        <v>145</v>
      </c>
      <c r="B147" s="9" t="s">
        <v>1424</v>
      </c>
      <c r="C147" s="12">
        <v>67987</v>
      </c>
      <c r="D147" s="13" t="s">
        <v>146</v>
      </c>
      <c r="E147" s="17">
        <v>-13.7212206961</v>
      </c>
      <c r="F147" s="17">
        <v>9.8051970838700004</v>
      </c>
      <c r="G147" s="14">
        <v>166</v>
      </c>
      <c r="H147" s="17">
        <v>26.07</v>
      </c>
      <c r="I147" s="17">
        <v>27.29</v>
      </c>
      <c r="J147" s="17">
        <v>28.21</v>
      </c>
      <c r="K147" s="17">
        <v>28.86</v>
      </c>
      <c r="L147" s="17">
        <v>29.62</v>
      </c>
      <c r="M147" s="17">
        <f t="shared" si="28"/>
        <v>1.2199999999999989</v>
      </c>
      <c r="N147" s="17">
        <f t="shared" si="29"/>
        <v>2.1400000000000006</v>
      </c>
      <c r="O147" s="17">
        <f t="shared" si="30"/>
        <v>2.7899999999999991</v>
      </c>
      <c r="P147" s="17">
        <f t="shared" si="31"/>
        <v>3.5500000000000007</v>
      </c>
      <c r="Q147" s="17">
        <f t="shared" si="32"/>
        <v>0.4372448066161887</v>
      </c>
      <c r="R147" s="17">
        <f t="shared" si="25"/>
        <v>4.883954443537615E-2</v>
      </c>
      <c r="S147" s="17">
        <f t="shared" si="26"/>
        <v>-0.80056992875668542</v>
      </c>
      <c r="T147" s="17">
        <f t="shared" si="27"/>
        <v>-1.2013218889337036</v>
      </c>
      <c r="U147" s="16">
        <v>5</v>
      </c>
      <c r="V147" s="16">
        <v>8</v>
      </c>
      <c r="W147" s="16">
        <v>9</v>
      </c>
      <c r="X147" s="16">
        <v>14</v>
      </c>
      <c r="Y147" s="15">
        <v>0.45400000000000001</v>
      </c>
      <c r="Z147" s="15">
        <v>0.57799999999999996</v>
      </c>
      <c r="AA147" s="15">
        <v>0.69</v>
      </c>
      <c r="AB147" s="15">
        <v>0.78200000000000003</v>
      </c>
      <c r="AC147" s="3">
        <f t="shared" si="33"/>
        <v>4.5227489238033707E-2</v>
      </c>
      <c r="AD147" s="3">
        <f t="shared" si="34"/>
        <v>8.1428220347151858E-2</v>
      </c>
      <c r="AE147" s="3">
        <f t="shared" si="35"/>
        <v>8.7886651591759915E-2</v>
      </c>
      <c r="AF147" s="3">
        <f t="shared" si="36"/>
        <v>4.3753478687507709E-2</v>
      </c>
    </row>
    <row r="148" spans="1:32" x14ac:dyDescent="0.2">
      <c r="A148" s="30">
        <v>146</v>
      </c>
      <c r="B148" s="9" t="s">
        <v>1301</v>
      </c>
      <c r="C148" s="12">
        <v>68005</v>
      </c>
      <c r="D148" s="13" t="s">
        <v>147</v>
      </c>
      <c r="E148" s="17">
        <v>85.375840690100006</v>
      </c>
      <c r="F148" s="17">
        <v>19.710126470300001</v>
      </c>
      <c r="G148" s="14">
        <v>1402</v>
      </c>
      <c r="H148" s="17">
        <v>26.24</v>
      </c>
      <c r="I148" s="17">
        <v>28.3</v>
      </c>
      <c r="J148" s="17">
        <v>29.03</v>
      </c>
      <c r="K148" s="17">
        <v>30.17</v>
      </c>
      <c r="L148" s="17">
        <v>32.08</v>
      </c>
      <c r="M148" s="17">
        <f t="shared" si="28"/>
        <v>2.0600000000000023</v>
      </c>
      <c r="N148" s="17">
        <f t="shared" si="29"/>
        <v>2.7900000000000027</v>
      </c>
      <c r="O148" s="17">
        <f t="shared" si="30"/>
        <v>3.9300000000000033</v>
      </c>
      <c r="P148" s="17">
        <f t="shared" si="31"/>
        <v>5.84</v>
      </c>
      <c r="Q148" s="17">
        <f t="shared" si="32"/>
        <v>1.4606752193000654</v>
      </c>
      <c r="R148" s="17">
        <f t="shared" si="25"/>
        <v>0.96394810184684709</v>
      </c>
      <c r="S148" s="17">
        <f t="shared" si="26"/>
        <v>0.52326006859087204</v>
      </c>
      <c r="T148" s="17">
        <f t="shared" si="27"/>
        <v>1.1165592851110471</v>
      </c>
      <c r="U148" s="16">
        <v>2</v>
      </c>
      <c r="V148" s="16">
        <v>79</v>
      </c>
      <c r="W148" s="16">
        <v>734</v>
      </c>
      <c r="X148" s="16">
        <v>771</v>
      </c>
      <c r="Y148" s="15">
        <v>0.38600000000000001</v>
      </c>
      <c r="Z148" s="15">
        <v>0.48799999999999999</v>
      </c>
      <c r="AA148" s="15">
        <v>0.6</v>
      </c>
      <c r="AB148" s="15">
        <v>0.70799999999999996</v>
      </c>
      <c r="AC148" s="3">
        <f t="shared" si="33"/>
        <v>-0.58313848713694161</v>
      </c>
      <c r="AD148" s="3">
        <f t="shared" si="34"/>
        <v>-0.72617909009063397</v>
      </c>
      <c r="AE148" s="3">
        <f t="shared" si="35"/>
        <v>-0.65310567386232032</v>
      </c>
      <c r="AF148" s="3">
        <f t="shared" si="36"/>
        <v>-0.56412351768246993</v>
      </c>
    </row>
    <row r="149" spans="1:32" x14ac:dyDescent="0.2">
      <c r="A149" s="30">
        <v>147</v>
      </c>
      <c r="B149" s="9" t="s">
        <v>1302</v>
      </c>
      <c r="C149" s="12">
        <v>68011</v>
      </c>
      <c r="D149" s="13" t="s">
        <v>148</v>
      </c>
      <c r="E149" s="17">
        <v>104.322123557</v>
      </c>
      <c r="F149" s="17">
        <v>-1.4305236855500001</v>
      </c>
      <c r="G149" s="14">
        <v>56</v>
      </c>
      <c r="H149" s="17">
        <v>25.7</v>
      </c>
      <c r="I149" s="17">
        <v>27.13</v>
      </c>
      <c r="J149" s="17">
        <v>28.31</v>
      </c>
      <c r="K149" s="17">
        <v>29.58</v>
      </c>
      <c r="L149" s="17">
        <v>30.96</v>
      </c>
      <c r="M149" s="17">
        <f t="shared" si="28"/>
        <v>1.4299999999999997</v>
      </c>
      <c r="N149" s="17">
        <f t="shared" si="29"/>
        <v>2.6099999999999994</v>
      </c>
      <c r="O149" s="17">
        <f t="shared" si="30"/>
        <v>3.879999999999999</v>
      </c>
      <c r="P149" s="17">
        <f t="shared" si="31"/>
        <v>5.2600000000000016</v>
      </c>
      <c r="Q149" s="17">
        <f t="shared" si="32"/>
        <v>0.69310240978715787</v>
      </c>
      <c r="R149" s="17">
        <f t="shared" si="25"/>
        <v>0.71053342440982059</v>
      </c>
      <c r="S149" s="17">
        <f t="shared" si="26"/>
        <v>0.46519734940895685</v>
      </c>
      <c r="T149" s="17">
        <f t="shared" si="27"/>
        <v>0.52949767771106815</v>
      </c>
      <c r="U149" s="16">
        <v>3</v>
      </c>
      <c r="V149" s="16">
        <v>4</v>
      </c>
      <c r="W149" s="16">
        <v>4</v>
      </c>
      <c r="X149" s="16">
        <v>6</v>
      </c>
      <c r="Y149" s="15">
        <v>0.442</v>
      </c>
      <c r="Z149" s="15">
        <v>0.56000000000000005</v>
      </c>
      <c r="AA149" s="15">
        <v>0.68300000000000005</v>
      </c>
      <c r="AB149" s="15">
        <v>0.78100000000000003</v>
      </c>
      <c r="AC149" s="3">
        <f t="shared" si="33"/>
        <v>-6.5660624239903195E-2</v>
      </c>
      <c r="AD149" s="3">
        <f t="shared" si="34"/>
        <v>-8.0093241740404497E-2</v>
      </c>
      <c r="AE149" s="3">
        <f t="shared" si="35"/>
        <v>3.0253915167554518E-2</v>
      </c>
      <c r="AF149" s="3">
        <f t="shared" si="36"/>
        <v>3.5538924682508008E-2</v>
      </c>
    </row>
    <row r="150" spans="1:32" x14ac:dyDescent="0.2">
      <c r="A150" s="30">
        <v>148</v>
      </c>
      <c r="B150" s="9" t="s">
        <v>977</v>
      </c>
      <c r="C150" s="12">
        <v>68015</v>
      </c>
      <c r="D150" s="13" t="s">
        <v>149</v>
      </c>
      <c r="E150" s="17">
        <v>57.082749937999999</v>
      </c>
      <c r="F150" s="17">
        <v>26.354086088399999</v>
      </c>
      <c r="G150" s="14">
        <v>136</v>
      </c>
      <c r="H150" s="17">
        <v>26.26</v>
      </c>
      <c r="I150" s="17">
        <v>27.76</v>
      </c>
      <c r="J150" s="17">
        <v>28.51</v>
      </c>
      <c r="K150" s="17">
        <v>29.92</v>
      </c>
      <c r="L150" s="17">
        <v>32.090000000000003</v>
      </c>
      <c r="M150" s="17">
        <f t="shared" si="28"/>
        <v>1.5</v>
      </c>
      <c r="N150" s="17">
        <f t="shared" si="29"/>
        <v>2.25</v>
      </c>
      <c r="O150" s="17">
        <f t="shared" si="30"/>
        <v>3.66</v>
      </c>
      <c r="P150" s="17">
        <f t="shared" si="31"/>
        <v>5.8300000000000018</v>
      </c>
      <c r="Q150" s="17">
        <f t="shared" si="32"/>
        <v>0.7783882775108143</v>
      </c>
      <c r="R150" s="17">
        <f t="shared" si="25"/>
        <v>0.20370406953577763</v>
      </c>
      <c r="S150" s="17">
        <f t="shared" si="26"/>
        <v>0.20972138500855328</v>
      </c>
      <c r="T150" s="17">
        <f t="shared" si="27"/>
        <v>1.1064375332593255</v>
      </c>
      <c r="U150" s="16">
        <v>5</v>
      </c>
      <c r="V150" s="16">
        <v>9</v>
      </c>
      <c r="W150" s="16">
        <v>11</v>
      </c>
      <c r="X150" s="16">
        <v>12</v>
      </c>
      <c r="Y150" s="15">
        <v>0.36599999999999999</v>
      </c>
      <c r="Z150" s="15">
        <v>0.49</v>
      </c>
      <c r="AA150" s="15">
        <v>0.62</v>
      </c>
      <c r="AB150" s="15">
        <v>0.73099999999999998</v>
      </c>
      <c r="AC150" s="3">
        <f t="shared" si="33"/>
        <v>-0.76795200960016974</v>
      </c>
      <c r="AD150" s="3">
        <f t="shared" si="34"/>
        <v>-0.70823226096979419</v>
      </c>
      <c r="AE150" s="3">
        <f t="shared" si="35"/>
        <v>-0.48844071265030226</v>
      </c>
      <c r="AF150" s="3">
        <f t="shared" si="36"/>
        <v>-0.37518877556747687</v>
      </c>
    </row>
    <row r="151" spans="1:32" x14ac:dyDescent="0.2">
      <c r="A151" s="30">
        <v>149</v>
      </c>
      <c r="B151" s="9" t="s">
        <v>978</v>
      </c>
      <c r="C151" s="12">
        <v>68017</v>
      </c>
      <c r="D151" s="13" t="s">
        <v>150</v>
      </c>
      <c r="E151" s="17">
        <v>-6.3651851135099999</v>
      </c>
      <c r="F151" s="17">
        <v>52.356095977800003</v>
      </c>
      <c r="G151" s="14">
        <v>25</v>
      </c>
      <c r="H151" s="17">
        <v>10.38</v>
      </c>
      <c r="I151" s="17">
        <v>10.14</v>
      </c>
      <c r="J151" s="17">
        <v>11.41</v>
      </c>
      <c r="K151" s="17">
        <v>12.88</v>
      </c>
      <c r="L151" s="17">
        <v>14.1</v>
      </c>
      <c r="M151" s="17">
        <f t="shared" si="28"/>
        <v>-0.24000000000000021</v>
      </c>
      <c r="N151" s="17">
        <f t="shared" si="29"/>
        <v>1.0299999999999994</v>
      </c>
      <c r="O151" s="17">
        <f t="shared" si="30"/>
        <v>2.5</v>
      </c>
      <c r="P151" s="17">
        <f t="shared" si="31"/>
        <v>3.7199999999999989</v>
      </c>
      <c r="Q151" s="17">
        <f t="shared" si="32"/>
        <v>-1.3415747201914936</v>
      </c>
      <c r="R151" s="17">
        <f t="shared" si="25"/>
        <v>-1.5138842997595938</v>
      </c>
      <c r="S151" s="17">
        <f t="shared" si="26"/>
        <v>-1.1373337000117636</v>
      </c>
      <c r="T151" s="17">
        <f t="shared" si="27"/>
        <v>-1.0292521074544008</v>
      </c>
      <c r="U151" s="16">
        <v>0</v>
      </c>
      <c r="V151" s="16">
        <v>0</v>
      </c>
      <c r="W151" s="16">
        <v>0</v>
      </c>
      <c r="X151" s="16">
        <v>0</v>
      </c>
      <c r="Y151" s="15">
        <v>0.47199999999999998</v>
      </c>
      <c r="Z151" s="15">
        <v>0.58599999999999997</v>
      </c>
      <c r="AA151" s="15">
        <v>0.67200000000000004</v>
      </c>
      <c r="AB151" s="15">
        <v>0.76800000000000002</v>
      </c>
      <c r="AC151" s="3">
        <f t="shared" si="33"/>
        <v>0.21155965945493854</v>
      </c>
      <c r="AD151" s="3">
        <f t="shared" si="34"/>
        <v>0.1532155368305107</v>
      </c>
      <c r="AE151" s="3">
        <f t="shared" si="35"/>
        <v>-6.0311813499055393E-2</v>
      </c>
      <c r="AF151" s="3">
        <f t="shared" si="36"/>
        <v>-7.1250277382488056E-2</v>
      </c>
    </row>
    <row r="152" spans="1:32" x14ac:dyDescent="0.2">
      <c r="A152" s="30">
        <v>150</v>
      </c>
      <c r="B152" s="9" t="s">
        <v>979</v>
      </c>
      <c r="C152" s="12">
        <v>68024</v>
      </c>
      <c r="D152" s="13" t="s">
        <v>151</v>
      </c>
      <c r="E152" s="17">
        <v>-6.1419949213100002</v>
      </c>
      <c r="F152" s="17">
        <v>53.371895083600002</v>
      </c>
      <c r="G152" s="14">
        <v>44</v>
      </c>
      <c r="H152" s="17">
        <v>9.19</v>
      </c>
      <c r="I152" s="17">
        <v>8.9600000000000009</v>
      </c>
      <c r="J152" s="17">
        <v>10.36</v>
      </c>
      <c r="K152" s="17">
        <v>11.83</v>
      </c>
      <c r="L152" s="17">
        <v>12.9</v>
      </c>
      <c r="M152" s="17">
        <f t="shared" si="28"/>
        <v>-0.22999999999999865</v>
      </c>
      <c r="N152" s="17">
        <f t="shared" si="29"/>
        <v>1.17</v>
      </c>
      <c r="O152" s="17">
        <f t="shared" si="30"/>
        <v>2.6400000000000006</v>
      </c>
      <c r="P152" s="17">
        <f t="shared" si="31"/>
        <v>3.7100000000000009</v>
      </c>
      <c r="Q152" s="17">
        <f t="shared" si="32"/>
        <v>-1.3293910248023979</v>
      </c>
      <c r="R152" s="17">
        <f t="shared" si="25"/>
        <v>-1.3167839950863538</v>
      </c>
      <c r="S152" s="17">
        <f t="shared" si="26"/>
        <v>-0.97475808630241445</v>
      </c>
      <c r="T152" s="17">
        <f t="shared" si="27"/>
        <v>-1.0393738593061226</v>
      </c>
      <c r="U152" s="16">
        <v>1</v>
      </c>
      <c r="V152" s="16">
        <v>1</v>
      </c>
      <c r="W152" s="16">
        <v>1</v>
      </c>
      <c r="X152" s="16">
        <v>1</v>
      </c>
      <c r="Y152" s="15">
        <v>0.41499999999999998</v>
      </c>
      <c r="Z152" s="15">
        <v>0.52849999999999997</v>
      </c>
      <c r="AA152" s="15">
        <v>0.61099999999999999</v>
      </c>
      <c r="AB152" s="15">
        <v>0.70550000000000002</v>
      </c>
      <c r="AC152" s="3">
        <f t="shared" si="33"/>
        <v>-0.31515887956526123</v>
      </c>
      <c r="AD152" s="3">
        <f t="shared" si="34"/>
        <v>-0.36275580039363037</v>
      </c>
      <c r="AE152" s="3">
        <f t="shared" si="35"/>
        <v>-0.56253994519571038</v>
      </c>
      <c r="AF152" s="3">
        <f t="shared" si="36"/>
        <v>-0.5846599026949687</v>
      </c>
    </row>
    <row r="153" spans="1:32" x14ac:dyDescent="0.2">
      <c r="A153" s="30">
        <v>151</v>
      </c>
      <c r="B153" s="9" t="s">
        <v>980</v>
      </c>
      <c r="C153" s="12">
        <v>68025</v>
      </c>
      <c r="D153" s="13" t="s">
        <v>152</v>
      </c>
      <c r="E153" s="17">
        <v>-6.1343872676200002</v>
      </c>
      <c r="F153" s="17">
        <v>53.504979793499999</v>
      </c>
      <c r="G153" s="14">
        <v>9</v>
      </c>
      <c r="H153" s="17">
        <v>9.33</v>
      </c>
      <c r="I153" s="17">
        <v>9.09</v>
      </c>
      <c r="J153" s="17">
        <v>10.47</v>
      </c>
      <c r="K153" s="17">
        <v>11.96</v>
      </c>
      <c r="L153" s="17">
        <v>13.02</v>
      </c>
      <c r="M153" s="17">
        <f t="shared" si="28"/>
        <v>-0.24000000000000021</v>
      </c>
      <c r="N153" s="17">
        <f t="shared" si="29"/>
        <v>1.1400000000000006</v>
      </c>
      <c r="O153" s="17">
        <f t="shared" si="30"/>
        <v>2.6300000000000008</v>
      </c>
      <c r="P153" s="17">
        <f t="shared" si="31"/>
        <v>3.6899999999999995</v>
      </c>
      <c r="Q153" s="17">
        <f t="shared" si="32"/>
        <v>-1.3415747201914936</v>
      </c>
      <c r="R153" s="17">
        <f t="shared" si="25"/>
        <v>-1.3590197746591899</v>
      </c>
      <c r="S153" s="17">
        <f t="shared" si="26"/>
        <v>-0.98637063013879622</v>
      </c>
      <c r="T153" s="17">
        <f t="shared" si="27"/>
        <v>-1.0596173630095715</v>
      </c>
      <c r="U153" s="16">
        <v>2</v>
      </c>
      <c r="V153" s="16">
        <v>2</v>
      </c>
      <c r="W153" s="16">
        <v>2</v>
      </c>
      <c r="X153" s="16">
        <v>2</v>
      </c>
      <c r="Y153" s="15">
        <v>0.34399999999999997</v>
      </c>
      <c r="Z153" s="15">
        <v>0.45800000000000002</v>
      </c>
      <c r="AA153" s="15">
        <v>0.54</v>
      </c>
      <c r="AB153" s="15">
        <v>0.63200000000000001</v>
      </c>
      <c r="AC153" s="3">
        <f t="shared" si="33"/>
        <v>-0.97124688430972073</v>
      </c>
      <c r="AD153" s="3">
        <f t="shared" si="34"/>
        <v>-0.99538152690322901</v>
      </c>
      <c r="AE153" s="3">
        <f t="shared" si="35"/>
        <v>-1.1471005574983735</v>
      </c>
      <c r="AF153" s="3">
        <f t="shared" si="36"/>
        <v>-1.188429622062446</v>
      </c>
    </row>
    <row r="154" spans="1:32" x14ac:dyDescent="0.2">
      <c r="A154" s="30">
        <v>152</v>
      </c>
      <c r="B154" s="9" t="s">
        <v>981</v>
      </c>
      <c r="C154" s="12">
        <v>68030</v>
      </c>
      <c r="D154" s="13" t="s">
        <v>153</v>
      </c>
      <c r="E154" s="17">
        <v>-9.8106289006100003</v>
      </c>
      <c r="F154" s="17">
        <v>52.2570543693</v>
      </c>
      <c r="G154" s="14">
        <v>29</v>
      </c>
      <c r="H154" s="17">
        <v>11.07</v>
      </c>
      <c r="I154" s="17">
        <v>10.66</v>
      </c>
      <c r="J154" s="17">
        <v>11.96</v>
      </c>
      <c r="K154" s="17">
        <v>12.89</v>
      </c>
      <c r="L154" s="17">
        <v>14.07</v>
      </c>
      <c r="M154" s="17">
        <f t="shared" si="28"/>
        <v>-0.41000000000000014</v>
      </c>
      <c r="N154" s="17">
        <f t="shared" si="29"/>
        <v>0.89000000000000057</v>
      </c>
      <c r="O154" s="17">
        <f t="shared" si="30"/>
        <v>1.8200000000000003</v>
      </c>
      <c r="P154" s="17">
        <f t="shared" si="31"/>
        <v>3</v>
      </c>
      <c r="Q154" s="17">
        <f t="shared" si="32"/>
        <v>-1.5486975418060867</v>
      </c>
      <c r="R154" s="17">
        <f t="shared" si="25"/>
        <v>-1.7109846044328314</v>
      </c>
      <c r="S154" s="17">
        <f t="shared" si="26"/>
        <v>-1.9269866808857421</v>
      </c>
      <c r="T154" s="17">
        <f t="shared" si="27"/>
        <v>-1.7580182407785137</v>
      </c>
      <c r="U154" s="16">
        <v>2</v>
      </c>
      <c r="V154" s="16">
        <v>2</v>
      </c>
      <c r="W154" s="16">
        <v>2</v>
      </c>
      <c r="X154" s="16">
        <v>2</v>
      </c>
      <c r="Y154" s="15">
        <v>0.47199999999999998</v>
      </c>
      <c r="Z154" s="15">
        <v>0.58599999999999997</v>
      </c>
      <c r="AA154" s="15">
        <v>0.66400000000000003</v>
      </c>
      <c r="AB154" s="15">
        <v>0.76700000000000002</v>
      </c>
      <c r="AC154" s="3">
        <f t="shared" si="33"/>
        <v>0.21155965945493854</v>
      </c>
      <c r="AD154" s="3">
        <f t="shared" si="34"/>
        <v>0.1532155368305107</v>
      </c>
      <c r="AE154" s="3">
        <f t="shared" si="35"/>
        <v>-0.12617779798386261</v>
      </c>
      <c r="AF154" s="3">
        <f t="shared" si="36"/>
        <v>-7.946483138748775E-2</v>
      </c>
    </row>
    <row r="155" spans="1:32" x14ac:dyDescent="0.2">
      <c r="A155" s="30">
        <v>153</v>
      </c>
      <c r="B155" s="9" t="s">
        <v>982</v>
      </c>
      <c r="C155" s="12">
        <v>68031</v>
      </c>
      <c r="D155" s="13" t="s">
        <v>154</v>
      </c>
      <c r="E155" s="17">
        <v>-9.9457037862199993</v>
      </c>
      <c r="F155" s="17">
        <v>52.128401437299999</v>
      </c>
      <c r="G155" s="14">
        <v>42</v>
      </c>
      <c r="H155" s="17">
        <v>11.21</v>
      </c>
      <c r="I155" s="17">
        <v>10.81</v>
      </c>
      <c r="J155" s="17">
        <v>12.1</v>
      </c>
      <c r="K155" s="17">
        <v>13.01</v>
      </c>
      <c r="L155" s="17">
        <v>14.19</v>
      </c>
      <c r="M155" s="17">
        <f t="shared" si="28"/>
        <v>-0.40000000000000036</v>
      </c>
      <c r="N155" s="17">
        <f t="shared" si="29"/>
        <v>0.88999999999999879</v>
      </c>
      <c r="O155" s="17">
        <f t="shared" si="30"/>
        <v>1.7999999999999989</v>
      </c>
      <c r="P155" s="17">
        <f t="shared" si="31"/>
        <v>2.9799999999999986</v>
      </c>
      <c r="Q155" s="17">
        <f t="shared" si="32"/>
        <v>-1.5365138464169932</v>
      </c>
      <c r="R155" s="17">
        <f t="shared" si="25"/>
        <v>-1.7109846044328341</v>
      </c>
      <c r="S155" s="17">
        <f t="shared" si="26"/>
        <v>-1.9502117685585079</v>
      </c>
      <c r="T155" s="17">
        <f t="shared" si="27"/>
        <v>-1.7782617444819626</v>
      </c>
      <c r="U155" s="16">
        <v>1</v>
      </c>
      <c r="V155" s="16">
        <v>1</v>
      </c>
      <c r="W155" s="16">
        <v>1</v>
      </c>
      <c r="X155" s="16">
        <v>1</v>
      </c>
      <c r="Y155" s="15">
        <v>0.47199999999999998</v>
      </c>
      <c r="Z155" s="15">
        <v>0.58599999999999997</v>
      </c>
      <c r="AA155" s="15">
        <v>0.66400000000000003</v>
      </c>
      <c r="AB155" s="15">
        <v>0.76700000000000002</v>
      </c>
      <c r="AC155" s="3">
        <f t="shared" si="33"/>
        <v>0.21155965945493854</v>
      </c>
      <c r="AD155" s="3">
        <f t="shared" si="34"/>
        <v>0.1532155368305107</v>
      </c>
      <c r="AE155" s="3">
        <f t="shared" si="35"/>
        <v>-0.12617779798386261</v>
      </c>
      <c r="AF155" s="3">
        <f t="shared" si="36"/>
        <v>-7.946483138748775E-2</v>
      </c>
    </row>
    <row r="156" spans="1:32" x14ac:dyDescent="0.2">
      <c r="A156" s="30">
        <v>154</v>
      </c>
      <c r="B156" s="9" t="s">
        <v>1425</v>
      </c>
      <c r="C156" s="12">
        <v>68039</v>
      </c>
      <c r="D156" s="13" t="s">
        <v>155</v>
      </c>
      <c r="E156" s="17">
        <v>12.256201835000001</v>
      </c>
      <c r="F156" s="17">
        <v>44.607744567700003</v>
      </c>
      <c r="G156" s="14">
        <v>8</v>
      </c>
      <c r="H156" s="17">
        <v>15.25</v>
      </c>
      <c r="I156" s="17">
        <v>15.77</v>
      </c>
      <c r="J156" s="17">
        <v>17.579999999999998</v>
      </c>
      <c r="K156" s="17">
        <v>19.71</v>
      </c>
      <c r="L156" s="17">
        <v>21.22</v>
      </c>
      <c r="M156" s="17">
        <f t="shared" si="28"/>
        <v>0.51999999999999957</v>
      </c>
      <c r="N156" s="17">
        <f t="shared" si="29"/>
        <v>2.3299999999999983</v>
      </c>
      <c r="O156" s="17">
        <f t="shared" si="30"/>
        <v>4.4600000000000009</v>
      </c>
      <c r="P156" s="17">
        <f t="shared" si="31"/>
        <v>5.9699999999999989</v>
      </c>
      <c r="Q156" s="17">
        <f t="shared" si="32"/>
        <v>-0.41561387062037092</v>
      </c>
      <c r="R156" s="17">
        <f t="shared" si="25"/>
        <v>0.31633281506334049</v>
      </c>
      <c r="S156" s="17">
        <f t="shared" si="26"/>
        <v>1.1387248919191173</v>
      </c>
      <c r="T156" s="17">
        <f t="shared" si="27"/>
        <v>1.2481420591834556</v>
      </c>
      <c r="U156" s="16">
        <v>0</v>
      </c>
      <c r="V156" s="16">
        <v>0</v>
      </c>
      <c r="W156" s="16">
        <v>0</v>
      </c>
      <c r="X156" s="16">
        <v>0</v>
      </c>
      <c r="Y156" s="15">
        <v>0.47125</v>
      </c>
      <c r="Z156" s="15">
        <v>0.57150000000000001</v>
      </c>
      <c r="AA156" s="15">
        <v>0.66600000000000004</v>
      </c>
      <c r="AB156" s="15">
        <v>0.75624999999999998</v>
      </c>
      <c r="AC156" s="3">
        <f t="shared" si="33"/>
        <v>0.20462915236256773</v>
      </c>
      <c r="AD156" s="3">
        <f t="shared" si="34"/>
        <v>2.3101025704423316E-2</v>
      </c>
      <c r="AE156" s="3">
        <f t="shared" si="35"/>
        <v>-0.1097113018626608</v>
      </c>
      <c r="AF156" s="3">
        <f t="shared" si="36"/>
        <v>-0.16777128694123472</v>
      </c>
    </row>
    <row r="157" spans="1:32" x14ac:dyDescent="0.2">
      <c r="A157" s="30">
        <v>155</v>
      </c>
      <c r="B157" s="9" t="s">
        <v>983</v>
      </c>
      <c r="C157" s="12">
        <v>68044</v>
      </c>
      <c r="D157" s="13" t="s">
        <v>156</v>
      </c>
      <c r="E157" s="17">
        <v>11.2071259036</v>
      </c>
      <c r="F157" s="17">
        <v>42.480193568600001</v>
      </c>
      <c r="G157" s="14">
        <v>8</v>
      </c>
      <c r="H157" s="17">
        <v>16.190000000000001</v>
      </c>
      <c r="I157" s="17">
        <v>16.86</v>
      </c>
      <c r="J157" s="17">
        <v>18.45</v>
      </c>
      <c r="K157" s="17">
        <v>20.32</v>
      </c>
      <c r="L157" s="17">
        <v>21.8</v>
      </c>
      <c r="M157" s="17">
        <f t="shared" si="28"/>
        <v>0.66999999999999815</v>
      </c>
      <c r="N157" s="17">
        <f t="shared" si="29"/>
        <v>2.259999999999998</v>
      </c>
      <c r="O157" s="17">
        <f t="shared" si="30"/>
        <v>4.129999999999999</v>
      </c>
      <c r="P157" s="17">
        <f t="shared" si="31"/>
        <v>5.6099999999999994</v>
      </c>
      <c r="Q157" s="17">
        <f t="shared" si="32"/>
        <v>-0.23285843978396684</v>
      </c>
      <c r="R157" s="17">
        <f t="shared" si="25"/>
        <v>0.21778266272672048</v>
      </c>
      <c r="S157" s="17">
        <f t="shared" si="26"/>
        <v>0.75551094531850793</v>
      </c>
      <c r="T157" s="17">
        <f t="shared" si="27"/>
        <v>0.88375899252139922</v>
      </c>
      <c r="U157" s="16">
        <v>1</v>
      </c>
      <c r="V157" s="16">
        <v>1</v>
      </c>
      <c r="W157" s="16">
        <v>1</v>
      </c>
      <c r="X157" s="16">
        <v>1</v>
      </c>
      <c r="Y157" s="15">
        <v>0.43099999999999999</v>
      </c>
      <c r="Z157" s="15">
        <v>0.54900000000000004</v>
      </c>
      <c r="AA157" s="15">
        <v>0.64800000000000002</v>
      </c>
      <c r="AB157" s="15">
        <v>0.748</v>
      </c>
      <c r="AC157" s="3">
        <f t="shared" si="33"/>
        <v>-0.16730806159467868</v>
      </c>
      <c r="AD157" s="3">
        <f t="shared" si="34"/>
        <v>-0.17880080190502287</v>
      </c>
      <c r="AE157" s="3">
        <f t="shared" si="35"/>
        <v>-0.257909766953477</v>
      </c>
      <c r="AF157" s="3">
        <f t="shared" si="36"/>
        <v>-0.23554135748248201</v>
      </c>
    </row>
    <row r="158" spans="1:32" x14ac:dyDescent="0.2">
      <c r="A158" s="30">
        <v>156</v>
      </c>
      <c r="B158" s="9" t="s">
        <v>1426</v>
      </c>
      <c r="C158" s="12">
        <v>68052</v>
      </c>
      <c r="D158" s="13" t="s">
        <v>157</v>
      </c>
      <c r="E158" s="17">
        <v>8.5596305703599995</v>
      </c>
      <c r="F158" s="17">
        <v>39.8256794407</v>
      </c>
      <c r="G158" s="14">
        <v>8</v>
      </c>
      <c r="H158" s="17">
        <v>16.399999999999999</v>
      </c>
      <c r="I158" s="17">
        <v>17.59</v>
      </c>
      <c r="J158" s="17">
        <v>19.04</v>
      </c>
      <c r="K158" s="17">
        <v>20.95</v>
      </c>
      <c r="L158" s="17">
        <v>22.45</v>
      </c>
      <c r="M158" s="17">
        <f t="shared" si="28"/>
        <v>1.1900000000000013</v>
      </c>
      <c r="N158" s="17">
        <f t="shared" si="29"/>
        <v>2.6400000000000006</v>
      </c>
      <c r="O158" s="17">
        <f t="shared" si="30"/>
        <v>4.5500000000000007</v>
      </c>
      <c r="P158" s="17">
        <f t="shared" si="31"/>
        <v>6.0500000000000007</v>
      </c>
      <c r="Q158" s="17">
        <f t="shared" si="32"/>
        <v>0.4006937204489105</v>
      </c>
      <c r="R158" s="17">
        <f t="shared" si="25"/>
        <v>0.75276920398265923</v>
      </c>
      <c r="S158" s="17">
        <f t="shared" si="26"/>
        <v>1.2432377864465556</v>
      </c>
      <c r="T158" s="17">
        <f t="shared" si="27"/>
        <v>1.3291160739972481</v>
      </c>
      <c r="U158" s="16">
        <v>0</v>
      </c>
      <c r="V158" s="16">
        <v>0</v>
      </c>
      <c r="W158" s="16">
        <v>0</v>
      </c>
      <c r="X158" s="16">
        <v>2</v>
      </c>
      <c r="Y158" s="15">
        <v>0.46600000000000003</v>
      </c>
      <c r="Z158" s="15">
        <v>0.58799999999999997</v>
      </c>
      <c r="AA158" s="15">
        <v>0.69199999999999995</v>
      </c>
      <c r="AB158" s="15">
        <v>0.79200000000000004</v>
      </c>
      <c r="AC158" s="3">
        <f t="shared" si="33"/>
        <v>0.15611560271597061</v>
      </c>
      <c r="AD158" s="3">
        <f t="shared" si="34"/>
        <v>0.1711623659513504</v>
      </c>
      <c r="AE158" s="3">
        <f t="shared" si="35"/>
        <v>0.10435314771296171</v>
      </c>
      <c r="AF158" s="3">
        <f t="shared" si="36"/>
        <v>0.12589901873750467</v>
      </c>
    </row>
    <row r="159" spans="1:32" x14ac:dyDescent="0.2">
      <c r="A159" s="30">
        <v>157</v>
      </c>
      <c r="B159" s="9" t="s">
        <v>984</v>
      </c>
      <c r="C159" s="12">
        <v>68053</v>
      </c>
      <c r="D159" s="13" t="s">
        <v>158</v>
      </c>
      <c r="E159" s="17">
        <v>9.1598914894700005</v>
      </c>
      <c r="F159" s="17">
        <v>39.230384515300003</v>
      </c>
      <c r="G159" s="14">
        <v>13</v>
      </c>
      <c r="H159" s="17">
        <v>15.94</v>
      </c>
      <c r="I159" s="17">
        <v>17.239999999999998</v>
      </c>
      <c r="J159" s="17">
        <v>19.079999999999998</v>
      </c>
      <c r="K159" s="17">
        <v>20.76</v>
      </c>
      <c r="L159" s="17">
        <v>22.32</v>
      </c>
      <c r="M159" s="17">
        <f t="shared" si="28"/>
        <v>1.2999999999999989</v>
      </c>
      <c r="N159" s="17">
        <f t="shared" si="29"/>
        <v>3.1399999999999988</v>
      </c>
      <c r="O159" s="17">
        <f t="shared" si="30"/>
        <v>4.8200000000000021</v>
      </c>
      <c r="P159" s="17">
        <f t="shared" si="31"/>
        <v>6.3800000000000008</v>
      </c>
      <c r="Q159" s="17">
        <f t="shared" si="32"/>
        <v>0.5347143697289386</v>
      </c>
      <c r="R159" s="17">
        <f t="shared" si="25"/>
        <v>1.4566988635299398</v>
      </c>
      <c r="S159" s="17">
        <f t="shared" si="26"/>
        <v>1.5567764700288722</v>
      </c>
      <c r="T159" s="17">
        <f t="shared" si="27"/>
        <v>1.6631338851041337</v>
      </c>
      <c r="U159" s="16">
        <v>1</v>
      </c>
      <c r="V159" s="16">
        <v>1</v>
      </c>
      <c r="W159" s="16">
        <v>3</v>
      </c>
      <c r="X159" s="16">
        <v>3</v>
      </c>
      <c r="Y159" s="15">
        <v>0.45100000000000001</v>
      </c>
      <c r="Z159" s="15">
        <v>0.57299999999999995</v>
      </c>
      <c r="AA159" s="15">
        <v>0.67900000000000005</v>
      </c>
      <c r="AB159" s="15">
        <v>0.77900000000000003</v>
      </c>
      <c r="AC159" s="3">
        <f t="shared" si="33"/>
        <v>1.7505460868549479E-2</v>
      </c>
      <c r="AD159" s="3">
        <f t="shared" si="34"/>
        <v>3.6561147545052596E-2</v>
      </c>
      <c r="AE159" s="3">
        <f t="shared" si="35"/>
        <v>-2.6790770748490881E-3</v>
      </c>
      <c r="AF159" s="3">
        <f t="shared" si="36"/>
        <v>1.9109816672508613E-2</v>
      </c>
    </row>
    <row r="160" spans="1:32" x14ac:dyDescent="0.2">
      <c r="A160" s="30">
        <v>158</v>
      </c>
      <c r="B160" s="9" t="s">
        <v>985</v>
      </c>
      <c r="C160" s="12">
        <v>68054</v>
      </c>
      <c r="D160" s="13" t="s">
        <v>159</v>
      </c>
      <c r="E160" s="17">
        <v>9.0420266666700009</v>
      </c>
      <c r="F160" s="17">
        <v>39.235306666699998</v>
      </c>
      <c r="G160" s="14">
        <v>30</v>
      </c>
      <c r="H160" s="17">
        <v>15.77</v>
      </c>
      <c r="I160" s="17">
        <v>17.100000000000001</v>
      </c>
      <c r="J160" s="17">
        <v>18.93</v>
      </c>
      <c r="K160" s="17">
        <v>20.67</v>
      </c>
      <c r="L160" s="17">
        <v>22.24</v>
      </c>
      <c r="M160" s="17">
        <f t="shared" si="28"/>
        <v>1.3300000000000018</v>
      </c>
      <c r="N160" s="17">
        <f t="shared" si="29"/>
        <v>3.16</v>
      </c>
      <c r="O160" s="17">
        <f t="shared" si="30"/>
        <v>4.9000000000000021</v>
      </c>
      <c r="P160" s="17">
        <f t="shared" si="31"/>
        <v>6.4699999999999989</v>
      </c>
      <c r="Q160" s="17">
        <f t="shared" si="32"/>
        <v>0.57126545589622324</v>
      </c>
      <c r="R160" s="17">
        <f t="shared" si="25"/>
        <v>1.4848560499118331</v>
      </c>
      <c r="S160" s="17">
        <f t="shared" si="26"/>
        <v>1.6496768207199286</v>
      </c>
      <c r="T160" s="17">
        <f t="shared" si="27"/>
        <v>1.7542296517696461</v>
      </c>
      <c r="U160" s="16">
        <v>2</v>
      </c>
      <c r="V160" s="16">
        <v>2</v>
      </c>
      <c r="W160" s="16">
        <v>2</v>
      </c>
      <c r="X160" s="16">
        <v>2</v>
      </c>
      <c r="Y160" s="15">
        <v>0.45100000000000001</v>
      </c>
      <c r="Z160" s="15">
        <v>0.57299999999999995</v>
      </c>
      <c r="AA160" s="15">
        <v>0.67900000000000005</v>
      </c>
      <c r="AB160" s="15">
        <v>0.77900000000000003</v>
      </c>
      <c r="AC160" s="3">
        <f t="shared" si="33"/>
        <v>1.7505460868549479E-2</v>
      </c>
      <c r="AD160" s="3">
        <f t="shared" si="34"/>
        <v>3.6561147545052596E-2</v>
      </c>
      <c r="AE160" s="3">
        <f t="shared" si="35"/>
        <v>-2.6790770748490881E-3</v>
      </c>
      <c r="AF160" s="3">
        <f t="shared" si="36"/>
        <v>1.9109816672508613E-2</v>
      </c>
    </row>
    <row r="161" spans="1:32" x14ac:dyDescent="0.2">
      <c r="A161" s="30">
        <v>159</v>
      </c>
      <c r="B161" s="9" t="s">
        <v>986</v>
      </c>
      <c r="C161" s="12">
        <v>68056</v>
      </c>
      <c r="D161" s="13" t="s">
        <v>160</v>
      </c>
      <c r="E161" s="17">
        <v>13.471746742400001</v>
      </c>
      <c r="F161" s="17">
        <v>45.716998197199999</v>
      </c>
      <c r="G161" s="14">
        <v>5</v>
      </c>
      <c r="H161" s="17">
        <v>13.76</v>
      </c>
      <c r="I161" s="17">
        <v>14.52</v>
      </c>
      <c r="J161" s="17">
        <v>16.05</v>
      </c>
      <c r="K161" s="17">
        <v>18.21</v>
      </c>
      <c r="L161" s="17">
        <v>19.670000000000002</v>
      </c>
      <c r="M161" s="17">
        <f t="shared" si="28"/>
        <v>0.75999999999999979</v>
      </c>
      <c r="N161" s="17">
        <f t="shared" si="29"/>
        <v>2.2900000000000009</v>
      </c>
      <c r="O161" s="17">
        <f t="shared" si="30"/>
        <v>4.4500000000000011</v>
      </c>
      <c r="P161" s="17">
        <f t="shared" si="31"/>
        <v>5.9100000000000019</v>
      </c>
      <c r="Q161" s="17">
        <f t="shared" si="32"/>
        <v>-0.12320518128212135</v>
      </c>
      <c r="R161" s="17">
        <f t="shared" si="25"/>
        <v>0.26001844229956156</v>
      </c>
      <c r="S161" s="17">
        <f t="shared" si="26"/>
        <v>1.1271123480827356</v>
      </c>
      <c r="T161" s="17">
        <f t="shared" si="27"/>
        <v>1.187411548073116</v>
      </c>
      <c r="U161" s="16">
        <v>1</v>
      </c>
      <c r="V161" s="16">
        <v>1</v>
      </c>
      <c r="W161" s="16">
        <v>2</v>
      </c>
      <c r="X161" s="16">
        <v>2</v>
      </c>
      <c r="Y161" s="15">
        <v>0.39900000000000002</v>
      </c>
      <c r="Z161" s="15">
        <v>0.49</v>
      </c>
      <c r="AA161" s="15">
        <v>0.59</v>
      </c>
      <c r="AB161" s="15">
        <v>0.67400000000000004</v>
      </c>
      <c r="AC161" s="3">
        <f t="shared" si="33"/>
        <v>-0.46300969753584326</v>
      </c>
      <c r="AD161" s="3">
        <f t="shared" si="34"/>
        <v>-0.70823226096979419</v>
      </c>
      <c r="AE161" s="3">
        <f t="shared" si="35"/>
        <v>-0.73543815446832927</v>
      </c>
      <c r="AF161" s="3">
        <f t="shared" si="36"/>
        <v>-0.84341835385245867</v>
      </c>
    </row>
    <row r="162" spans="1:32" x14ac:dyDescent="0.2">
      <c r="A162" s="30">
        <v>160</v>
      </c>
      <c r="B162" s="9" t="s">
        <v>1427</v>
      </c>
      <c r="C162" s="12">
        <v>68057</v>
      </c>
      <c r="D162" s="13" t="s">
        <v>161</v>
      </c>
      <c r="E162" s="17">
        <v>8.4860266663299999</v>
      </c>
      <c r="F162" s="17">
        <v>39.957036666699999</v>
      </c>
      <c r="G162" s="14">
        <v>12</v>
      </c>
      <c r="H162" s="17">
        <v>16.420000000000002</v>
      </c>
      <c r="I162" s="17">
        <v>17.54</v>
      </c>
      <c r="J162" s="17">
        <v>18.96</v>
      </c>
      <c r="K162" s="17">
        <v>20.86</v>
      </c>
      <c r="L162" s="17">
        <v>22.35</v>
      </c>
      <c r="M162" s="17">
        <f t="shared" si="28"/>
        <v>1.1199999999999974</v>
      </c>
      <c r="N162" s="17">
        <f t="shared" si="29"/>
        <v>2.5399999999999991</v>
      </c>
      <c r="O162" s="17">
        <f t="shared" si="30"/>
        <v>4.4399999999999977</v>
      </c>
      <c r="P162" s="17">
        <f t="shared" si="31"/>
        <v>5.93</v>
      </c>
      <c r="Q162" s="17">
        <f t="shared" si="32"/>
        <v>0.31540785272524979</v>
      </c>
      <c r="R162" s="17">
        <f t="shared" si="25"/>
        <v>0.61198327207320058</v>
      </c>
      <c r="S162" s="17">
        <f t="shared" si="26"/>
        <v>1.1154998042463498</v>
      </c>
      <c r="T162" s="17">
        <f t="shared" si="27"/>
        <v>1.2076550517765612</v>
      </c>
      <c r="U162" s="16">
        <v>0</v>
      </c>
      <c r="V162" s="16">
        <v>0</v>
      </c>
      <c r="W162" s="16">
        <v>0</v>
      </c>
      <c r="X162" s="16">
        <v>0</v>
      </c>
      <c r="Y162" s="15">
        <v>0.47399999999999998</v>
      </c>
      <c r="Z162" s="15">
        <v>0.59399999999999997</v>
      </c>
      <c r="AA162" s="15">
        <v>0.7</v>
      </c>
      <c r="AB162" s="15">
        <v>0.79900000000000004</v>
      </c>
      <c r="AC162" s="3">
        <f t="shared" si="33"/>
        <v>0.23004101170126137</v>
      </c>
      <c r="AD162" s="3">
        <f t="shared" si="34"/>
        <v>0.22500285331386952</v>
      </c>
      <c r="AE162" s="3">
        <f t="shared" si="35"/>
        <v>0.17021913219776894</v>
      </c>
      <c r="AF162" s="3">
        <f t="shared" si="36"/>
        <v>0.18340089677250257</v>
      </c>
    </row>
    <row r="163" spans="1:32" x14ac:dyDescent="0.2">
      <c r="A163" s="30">
        <v>161</v>
      </c>
      <c r="B163" s="9" t="s">
        <v>1428</v>
      </c>
      <c r="C163" s="12">
        <v>68058</v>
      </c>
      <c r="D163" s="13" t="s">
        <v>162</v>
      </c>
      <c r="E163" s="17">
        <v>8.5156339297399999</v>
      </c>
      <c r="F163" s="17">
        <v>39.730257649599999</v>
      </c>
      <c r="G163" s="14">
        <v>48</v>
      </c>
      <c r="H163" s="17">
        <v>16.7</v>
      </c>
      <c r="I163" s="17">
        <v>17.89</v>
      </c>
      <c r="J163" s="17">
        <v>19.329999999999998</v>
      </c>
      <c r="K163" s="17">
        <v>21.2</v>
      </c>
      <c r="L163" s="17">
        <v>22.67</v>
      </c>
      <c r="M163" s="17">
        <f t="shared" si="28"/>
        <v>1.1900000000000013</v>
      </c>
      <c r="N163" s="17">
        <f t="shared" si="29"/>
        <v>2.629999999999999</v>
      </c>
      <c r="O163" s="17">
        <f t="shared" si="30"/>
        <v>4.5</v>
      </c>
      <c r="P163" s="17">
        <f t="shared" si="31"/>
        <v>5.9700000000000024</v>
      </c>
      <c r="Q163" s="17">
        <f t="shared" si="32"/>
        <v>0.4006937204489105</v>
      </c>
      <c r="R163" s="17">
        <f t="shared" si="25"/>
        <v>0.73869061079171139</v>
      </c>
      <c r="S163" s="17">
        <f t="shared" si="26"/>
        <v>1.1851750672646446</v>
      </c>
      <c r="T163" s="17">
        <f t="shared" si="27"/>
        <v>1.2481420591834593</v>
      </c>
      <c r="U163" s="16">
        <v>0</v>
      </c>
      <c r="V163" s="16">
        <v>0</v>
      </c>
      <c r="W163" s="16">
        <v>0</v>
      </c>
      <c r="X163" s="16">
        <v>0</v>
      </c>
      <c r="Y163" s="15">
        <v>0.46600000000000003</v>
      </c>
      <c r="Z163" s="15">
        <v>0.58799999999999997</v>
      </c>
      <c r="AA163" s="15">
        <v>0.69199999999999995</v>
      </c>
      <c r="AB163" s="15">
        <v>0.79200000000000004</v>
      </c>
      <c r="AC163" s="3">
        <f t="shared" si="33"/>
        <v>0.15611560271597061</v>
      </c>
      <c r="AD163" s="3">
        <f t="shared" si="34"/>
        <v>0.1711623659513504</v>
      </c>
      <c r="AE163" s="3">
        <f t="shared" si="35"/>
        <v>0.10435314771296171</v>
      </c>
      <c r="AF163" s="3">
        <f t="shared" si="36"/>
        <v>0.12589901873750467</v>
      </c>
    </row>
    <row r="164" spans="1:32" x14ac:dyDescent="0.2">
      <c r="A164" s="30">
        <v>162</v>
      </c>
      <c r="B164" s="9" t="s">
        <v>987</v>
      </c>
      <c r="C164" s="12">
        <v>68061</v>
      </c>
      <c r="D164" s="13" t="s">
        <v>163</v>
      </c>
      <c r="E164" s="17">
        <v>13.124019135099999</v>
      </c>
      <c r="F164" s="17">
        <v>45.723804438999998</v>
      </c>
      <c r="G164" s="14">
        <v>65</v>
      </c>
      <c r="H164" s="17">
        <v>15.26</v>
      </c>
      <c r="I164" s="17">
        <v>15.98</v>
      </c>
      <c r="J164" s="17">
        <v>17.52</v>
      </c>
      <c r="K164" s="17">
        <v>19.64</v>
      </c>
      <c r="L164" s="17">
        <v>21.02</v>
      </c>
      <c r="M164" s="17">
        <f t="shared" si="28"/>
        <v>0.72000000000000064</v>
      </c>
      <c r="N164" s="17">
        <f t="shared" si="29"/>
        <v>2.2599999999999998</v>
      </c>
      <c r="O164" s="17">
        <f t="shared" si="30"/>
        <v>4.3800000000000008</v>
      </c>
      <c r="P164" s="17">
        <f t="shared" si="31"/>
        <v>5.76</v>
      </c>
      <c r="Q164" s="17">
        <f t="shared" si="32"/>
        <v>-0.17193996283849519</v>
      </c>
      <c r="R164" s="17">
        <f t="shared" si="25"/>
        <v>0.21778266272672298</v>
      </c>
      <c r="S164" s="17">
        <f t="shared" si="26"/>
        <v>1.0458245412280609</v>
      </c>
      <c r="T164" s="17">
        <f t="shared" si="27"/>
        <v>1.0355852702972566</v>
      </c>
      <c r="U164" s="16">
        <v>4</v>
      </c>
      <c r="V164" s="16">
        <v>4</v>
      </c>
      <c r="W164" s="16">
        <v>4</v>
      </c>
      <c r="X164" s="16">
        <v>4</v>
      </c>
      <c r="Y164" s="15">
        <v>0.39900000000000002</v>
      </c>
      <c r="Z164" s="15">
        <v>0.49</v>
      </c>
      <c r="AA164" s="15">
        <v>0.59</v>
      </c>
      <c r="AB164" s="15">
        <v>0.67400000000000004</v>
      </c>
      <c r="AC164" s="3">
        <f t="shared" si="33"/>
        <v>-0.46300969753584326</v>
      </c>
      <c r="AD164" s="3">
        <f t="shared" si="34"/>
        <v>-0.70823226096979419</v>
      </c>
      <c r="AE164" s="3">
        <f t="shared" si="35"/>
        <v>-0.73543815446832927</v>
      </c>
      <c r="AF164" s="3">
        <f t="shared" si="36"/>
        <v>-0.84341835385245867</v>
      </c>
    </row>
    <row r="165" spans="1:32" x14ac:dyDescent="0.2">
      <c r="A165" s="30">
        <v>163</v>
      </c>
      <c r="B165" s="9" t="s">
        <v>988</v>
      </c>
      <c r="C165" s="12">
        <v>68062</v>
      </c>
      <c r="D165" s="13" t="s">
        <v>164</v>
      </c>
      <c r="E165" s="17">
        <v>16.0413904157</v>
      </c>
      <c r="F165" s="17">
        <v>41.3996126722</v>
      </c>
      <c r="G165" s="14">
        <v>77</v>
      </c>
      <c r="H165" s="17">
        <v>15.35</v>
      </c>
      <c r="I165" s="17">
        <v>16.61</v>
      </c>
      <c r="J165" s="17">
        <v>18.64</v>
      </c>
      <c r="K165" s="17">
        <v>20.2</v>
      </c>
      <c r="L165" s="17">
        <v>22.03</v>
      </c>
      <c r="M165" s="17">
        <f t="shared" si="28"/>
        <v>1.2599999999999998</v>
      </c>
      <c r="N165" s="17">
        <f t="shared" si="29"/>
        <v>3.2900000000000009</v>
      </c>
      <c r="O165" s="17">
        <f t="shared" si="30"/>
        <v>4.8499999999999996</v>
      </c>
      <c r="P165" s="17">
        <f t="shared" si="31"/>
        <v>6.6800000000000015</v>
      </c>
      <c r="Q165" s="17">
        <f t="shared" si="32"/>
        <v>0.4859795881725647</v>
      </c>
      <c r="R165" s="17">
        <f t="shared" si="25"/>
        <v>1.6678777613941276</v>
      </c>
      <c r="S165" s="17">
        <f t="shared" si="26"/>
        <v>1.5916141015380156</v>
      </c>
      <c r="T165" s="17">
        <f t="shared" si="27"/>
        <v>1.9667864406558486</v>
      </c>
      <c r="U165" s="16">
        <v>10</v>
      </c>
      <c r="V165" s="16">
        <v>13</v>
      </c>
      <c r="W165" s="16">
        <v>13</v>
      </c>
      <c r="X165" s="16">
        <v>13</v>
      </c>
      <c r="Y165" s="15">
        <v>0.42599999999999999</v>
      </c>
      <c r="Z165" s="15">
        <v>0.53600000000000003</v>
      </c>
      <c r="AA165" s="15">
        <v>0.63600000000000001</v>
      </c>
      <c r="AB165" s="15">
        <v>0.73399999999999999</v>
      </c>
      <c r="AC165" s="3">
        <f t="shared" si="33"/>
        <v>-0.21351144221048574</v>
      </c>
      <c r="AD165" s="3">
        <f t="shared" si="34"/>
        <v>-0.29545519119048097</v>
      </c>
      <c r="AE165" s="3">
        <f t="shared" si="35"/>
        <v>-0.35670874368068783</v>
      </c>
      <c r="AF165" s="3">
        <f t="shared" si="36"/>
        <v>-0.35054511355247775</v>
      </c>
    </row>
    <row r="166" spans="1:32" x14ac:dyDescent="0.2">
      <c r="A166" s="30">
        <v>164</v>
      </c>
      <c r="B166" s="9" t="s">
        <v>989</v>
      </c>
      <c r="C166" s="12">
        <v>68065</v>
      </c>
      <c r="D166" s="13" t="s">
        <v>165</v>
      </c>
      <c r="E166" s="17">
        <v>12.355669066100001</v>
      </c>
      <c r="F166" s="17">
        <v>44.803444828099998</v>
      </c>
      <c r="G166" s="14">
        <v>29</v>
      </c>
      <c r="H166" s="17">
        <v>15.7</v>
      </c>
      <c r="I166" s="17">
        <v>16.239999999999998</v>
      </c>
      <c r="J166" s="17">
        <v>17.97</v>
      </c>
      <c r="K166" s="17">
        <v>20.03</v>
      </c>
      <c r="L166" s="17">
        <v>21.45</v>
      </c>
      <c r="M166" s="17">
        <f t="shared" si="28"/>
        <v>0.53999999999999915</v>
      </c>
      <c r="N166" s="17">
        <f t="shared" si="29"/>
        <v>2.2699999999999996</v>
      </c>
      <c r="O166" s="17">
        <f t="shared" si="30"/>
        <v>4.3300000000000018</v>
      </c>
      <c r="P166" s="17">
        <f t="shared" si="31"/>
        <v>5.75</v>
      </c>
      <c r="Q166" s="17">
        <f t="shared" si="32"/>
        <v>-0.39124647984218397</v>
      </c>
      <c r="R166" s="17">
        <f t="shared" si="25"/>
        <v>0.23186125591766835</v>
      </c>
      <c r="S166" s="17">
        <f t="shared" si="26"/>
        <v>0.98776182204615204</v>
      </c>
      <c r="T166" s="17">
        <f t="shared" si="27"/>
        <v>1.025463518445533</v>
      </c>
      <c r="U166" s="16">
        <v>2</v>
      </c>
      <c r="V166" s="16">
        <v>4</v>
      </c>
      <c r="W166" s="16">
        <v>4</v>
      </c>
      <c r="X166" s="16">
        <v>4</v>
      </c>
      <c r="Y166" s="15">
        <v>0.47125</v>
      </c>
      <c r="Z166" s="15">
        <v>0.57150000000000001</v>
      </c>
      <c r="AA166" s="15">
        <v>0.66600000000000004</v>
      </c>
      <c r="AB166" s="15">
        <v>0.75624999999999998</v>
      </c>
      <c r="AC166" s="3">
        <f t="shared" si="33"/>
        <v>0.20462915236256773</v>
      </c>
      <c r="AD166" s="3">
        <f t="shared" si="34"/>
        <v>2.3101025704423316E-2</v>
      </c>
      <c r="AE166" s="3">
        <f t="shared" si="35"/>
        <v>-0.1097113018626608</v>
      </c>
      <c r="AF166" s="3">
        <f t="shared" si="36"/>
        <v>-0.16777128694123472</v>
      </c>
    </row>
    <row r="167" spans="1:32" x14ac:dyDescent="0.2">
      <c r="A167" s="30">
        <v>165</v>
      </c>
      <c r="B167" s="9" t="s">
        <v>990</v>
      </c>
      <c r="C167" s="12">
        <v>68066</v>
      </c>
      <c r="D167" s="13" t="s">
        <v>166</v>
      </c>
      <c r="E167" s="17">
        <v>12.2309783449</v>
      </c>
      <c r="F167" s="17">
        <v>44.790808023899999</v>
      </c>
      <c r="G167" s="14">
        <v>40</v>
      </c>
      <c r="H167" s="17">
        <v>15.32</v>
      </c>
      <c r="I167" s="17">
        <v>15.84</v>
      </c>
      <c r="J167" s="17">
        <v>17.649999999999999</v>
      </c>
      <c r="K167" s="17">
        <v>19.84</v>
      </c>
      <c r="L167" s="17">
        <v>21.27</v>
      </c>
      <c r="M167" s="17">
        <f t="shared" si="28"/>
        <v>0.51999999999999957</v>
      </c>
      <c r="N167" s="17">
        <f t="shared" si="29"/>
        <v>2.3299999999999983</v>
      </c>
      <c r="O167" s="17">
        <f t="shared" si="30"/>
        <v>4.5199999999999996</v>
      </c>
      <c r="P167" s="17">
        <f t="shared" si="31"/>
        <v>5.9499999999999993</v>
      </c>
      <c r="Q167" s="17">
        <f t="shared" si="32"/>
        <v>-0.41561387062037092</v>
      </c>
      <c r="R167" s="17">
        <f t="shared" si="25"/>
        <v>0.31633281506334049</v>
      </c>
      <c r="S167" s="17">
        <f t="shared" si="26"/>
        <v>1.2084001549374082</v>
      </c>
      <c r="T167" s="17">
        <f t="shared" si="27"/>
        <v>1.2278985554800084</v>
      </c>
      <c r="U167" s="16">
        <v>6</v>
      </c>
      <c r="V167" s="16">
        <v>6</v>
      </c>
      <c r="W167" s="16">
        <v>6</v>
      </c>
      <c r="X167" s="16">
        <v>6</v>
      </c>
      <c r="Y167" s="15">
        <v>0.47125</v>
      </c>
      <c r="Z167" s="15">
        <v>0.57150000000000001</v>
      </c>
      <c r="AA167" s="15">
        <v>0.66600000000000004</v>
      </c>
      <c r="AB167" s="15">
        <v>0.75624999999999998</v>
      </c>
      <c r="AC167" s="3">
        <f t="shared" si="33"/>
        <v>0.20462915236256773</v>
      </c>
      <c r="AD167" s="3">
        <f t="shared" si="34"/>
        <v>2.3101025704423316E-2</v>
      </c>
      <c r="AE167" s="3">
        <f t="shared" si="35"/>
        <v>-0.1097113018626608</v>
      </c>
      <c r="AF167" s="3">
        <f t="shared" si="36"/>
        <v>-0.16777128694123472</v>
      </c>
    </row>
    <row r="168" spans="1:32" x14ac:dyDescent="0.2">
      <c r="A168" s="30">
        <v>166</v>
      </c>
      <c r="B168" s="9" t="s">
        <v>991</v>
      </c>
      <c r="C168" s="12">
        <v>68067</v>
      </c>
      <c r="D168" s="13" t="s">
        <v>167</v>
      </c>
      <c r="E168" s="17">
        <v>12.175235777199999</v>
      </c>
      <c r="F168" s="17">
        <v>44.608307081</v>
      </c>
      <c r="G168" s="14">
        <v>170</v>
      </c>
      <c r="H168" s="17">
        <v>14.99</v>
      </c>
      <c r="I168" s="17">
        <v>15.5</v>
      </c>
      <c r="J168" s="17">
        <v>17.350000000000001</v>
      </c>
      <c r="K168" s="17">
        <v>19.55</v>
      </c>
      <c r="L168" s="17">
        <v>21.06</v>
      </c>
      <c r="M168" s="17">
        <f t="shared" si="28"/>
        <v>0.50999999999999979</v>
      </c>
      <c r="N168" s="17">
        <f t="shared" si="29"/>
        <v>2.3600000000000012</v>
      </c>
      <c r="O168" s="17">
        <f t="shared" si="30"/>
        <v>4.5600000000000005</v>
      </c>
      <c r="P168" s="17">
        <f t="shared" si="31"/>
        <v>6.0699999999999985</v>
      </c>
      <c r="Q168" s="17">
        <f t="shared" si="32"/>
        <v>-0.42779756600946439</v>
      </c>
      <c r="R168" s="17">
        <f t="shared" si="25"/>
        <v>0.35856859463618157</v>
      </c>
      <c r="S168" s="17">
        <f t="shared" si="26"/>
        <v>1.2548503302829375</v>
      </c>
      <c r="T168" s="17">
        <f t="shared" si="27"/>
        <v>1.3493595777006933</v>
      </c>
      <c r="U168" s="16">
        <v>10</v>
      </c>
      <c r="V168" s="16">
        <v>10</v>
      </c>
      <c r="W168" s="16">
        <v>10</v>
      </c>
      <c r="X168" s="16">
        <v>10</v>
      </c>
      <c r="Y168" s="15">
        <v>0.47125</v>
      </c>
      <c r="Z168" s="15">
        <v>0.57150000000000001</v>
      </c>
      <c r="AA168" s="15">
        <v>0.66600000000000004</v>
      </c>
      <c r="AB168" s="15">
        <v>0.75624999999999998</v>
      </c>
      <c r="AC168" s="3">
        <f t="shared" si="33"/>
        <v>0.20462915236256773</v>
      </c>
      <c r="AD168" s="3">
        <f t="shared" si="34"/>
        <v>2.3101025704423316E-2</v>
      </c>
      <c r="AE168" s="3">
        <f t="shared" si="35"/>
        <v>-0.1097113018626608</v>
      </c>
      <c r="AF168" s="3">
        <f t="shared" si="36"/>
        <v>-0.16777128694123472</v>
      </c>
    </row>
    <row r="169" spans="1:32" x14ac:dyDescent="0.2">
      <c r="A169" s="30">
        <v>167</v>
      </c>
      <c r="B169" s="9" t="s">
        <v>992</v>
      </c>
      <c r="C169" s="12">
        <v>68068</v>
      </c>
      <c r="D169" s="13" t="s">
        <v>168</v>
      </c>
      <c r="E169" s="17">
        <v>12.257988663100001</v>
      </c>
      <c r="F169" s="17">
        <v>44.507417868399997</v>
      </c>
      <c r="G169" s="14">
        <v>18</v>
      </c>
      <c r="H169" s="17">
        <v>15.08</v>
      </c>
      <c r="I169" s="17">
        <v>15.61</v>
      </c>
      <c r="J169" s="17">
        <v>17.43</v>
      </c>
      <c r="K169" s="17">
        <v>19.53</v>
      </c>
      <c r="L169" s="17">
        <v>21.1</v>
      </c>
      <c r="M169" s="17">
        <f t="shared" si="28"/>
        <v>0.52999999999999936</v>
      </c>
      <c r="N169" s="17">
        <f t="shared" si="29"/>
        <v>2.3499999999999996</v>
      </c>
      <c r="O169" s="17">
        <f t="shared" si="30"/>
        <v>4.4500000000000011</v>
      </c>
      <c r="P169" s="17">
        <f t="shared" si="31"/>
        <v>6.0200000000000014</v>
      </c>
      <c r="Q169" s="17">
        <f t="shared" si="32"/>
        <v>-0.40343017523127744</v>
      </c>
      <c r="R169" s="17">
        <f t="shared" si="25"/>
        <v>0.34449000144523373</v>
      </c>
      <c r="S169" s="17">
        <f t="shared" si="26"/>
        <v>1.1271123480827356</v>
      </c>
      <c r="T169" s="17">
        <f t="shared" si="27"/>
        <v>1.2987508184420773</v>
      </c>
      <c r="U169" s="16">
        <v>6</v>
      </c>
      <c r="V169" s="16">
        <v>6</v>
      </c>
      <c r="W169" s="16">
        <v>6</v>
      </c>
      <c r="X169" s="16">
        <v>6</v>
      </c>
      <c r="Y169" s="15">
        <v>0.47125</v>
      </c>
      <c r="Z169" s="15">
        <v>0.57150000000000001</v>
      </c>
      <c r="AA169" s="15">
        <v>0.66600000000000004</v>
      </c>
      <c r="AB169" s="15">
        <v>0.75624999999999998</v>
      </c>
      <c r="AC169" s="3">
        <f t="shared" si="33"/>
        <v>0.20462915236256773</v>
      </c>
      <c r="AD169" s="3">
        <f t="shared" si="34"/>
        <v>2.3101025704423316E-2</v>
      </c>
      <c r="AE169" s="3">
        <f t="shared" si="35"/>
        <v>-0.1097113018626608</v>
      </c>
      <c r="AF169" s="3">
        <f t="shared" si="36"/>
        <v>-0.16777128694123472</v>
      </c>
    </row>
    <row r="170" spans="1:32" x14ac:dyDescent="0.2">
      <c r="A170" s="30">
        <v>168</v>
      </c>
      <c r="B170" s="9" t="s">
        <v>993</v>
      </c>
      <c r="C170" s="12">
        <v>68069</v>
      </c>
      <c r="D170" s="13" t="s">
        <v>169</v>
      </c>
      <c r="E170" s="17">
        <v>12.316016211100001</v>
      </c>
      <c r="F170" s="17">
        <v>44.346044602600003</v>
      </c>
      <c r="G170" s="14">
        <v>4</v>
      </c>
      <c r="H170" s="17">
        <v>15</v>
      </c>
      <c r="I170" s="17">
        <v>15.56</v>
      </c>
      <c r="J170" s="17">
        <v>17.37</v>
      </c>
      <c r="K170" s="17">
        <v>19.38</v>
      </c>
      <c r="L170" s="17">
        <v>21.03</v>
      </c>
      <c r="M170" s="17">
        <f t="shared" si="28"/>
        <v>0.5600000000000005</v>
      </c>
      <c r="N170" s="17">
        <f t="shared" si="29"/>
        <v>2.370000000000001</v>
      </c>
      <c r="O170" s="17">
        <f t="shared" si="30"/>
        <v>4.379999999999999</v>
      </c>
      <c r="P170" s="17">
        <f t="shared" si="31"/>
        <v>6.0300000000000011</v>
      </c>
      <c r="Q170" s="17">
        <f t="shared" si="32"/>
        <v>-0.36687908906399491</v>
      </c>
      <c r="R170" s="17">
        <f t="shared" si="25"/>
        <v>0.37264718782712697</v>
      </c>
      <c r="S170" s="17">
        <f t="shared" si="26"/>
        <v>1.0458245412280589</v>
      </c>
      <c r="T170" s="17">
        <f t="shared" si="27"/>
        <v>1.3088725702938009</v>
      </c>
      <c r="U170" s="16">
        <v>4</v>
      </c>
      <c r="V170" s="16">
        <v>4</v>
      </c>
      <c r="W170" s="16">
        <v>4</v>
      </c>
      <c r="X170" s="16">
        <v>4</v>
      </c>
      <c r="Y170" s="15">
        <v>0.40400000000000003</v>
      </c>
      <c r="Z170" s="15">
        <v>0.51200000000000001</v>
      </c>
      <c r="AA170" s="15">
        <v>0.60599999999999998</v>
      </c>
      <c r="AB170" s="15">
        <v>0.7</v>
      </c>
      <c r="AC170" s="3">
        <f t="shared" si="33"/>
        <v>-0.41680631692003622</v>
      </c>
      <c r="AD170" s="3">
        <f t="shared" si="34"/>
        <v>-0.5108171406405575</v>
      </c>
      <c r="AE170" s="3">
        <f t="shared" si="35"/>
        <v>-0.60370618549871491</v>
      </c>
      <c r="AF170" s="3">
        <f t="shared" si="36"/>
        <v>-0.62983994972246748</v>
      </c>
    </row>
    <row r="171" spans="1:32" x14ac:dyDescent="0.2">
      <c r="A171" s="30">
        <v>169</v>
      </c>
      <c r="B171" s="9" t="s">
        <v>994</v>
      </c>
      <c r="C171" s="12">
        <v>68071</v>
      </c>
      <c r="D171" s="13" t="s">
        <v>170</v>
      </c>
      <c r="E171" s="17">
        <v>8.3942302313900008</v>
      </c>
      <c r="F171" s="17">
        <v>40.041444750899998</v>
      </c>
      <c r="G171" s="14">
        <v>8</v>
      </c>
      <c r="H171" s="17">
        <v>16.54</v>
      </c>
      <c r="I171" s="17">
        <v>17.59</v>
      </c>
      <c r="J171" s="17">
        <v>19</v>
      </c>
      <c r="K171" s="17">
        <v>20.85</v>
      </c>
      <c r="L171" s="17">
        <v>22.32</v>
      </c>
      <c r="M171" s="17">
        <f t="shared" si="28"/>
        <v>1.0500000000000007</v>
      </c>
      <c r="N171" s="17">
        <f t="shared" si="29"/>
        <v>2.4600000000000009</v>
      </c>
      <c r="O171" s="17">
        <f t="shared" si="30"/>
        <v>4.3100000000000023</v>
      </c>
      <c r="P171" s="17">
        <f t="shared" si="31"/>
        <v>5.7800000000000011</v>
      </c>
      <c r="Q171" s="17">
        <f t="shared" si="32"/>
        <v>0.2301219850015977</v>
      </c>
      <c r="R171" s="17">
        <f t="shared" si="25"/>
        <v>0.49935452654563772</v>
      </c>
      <c r="S171" s="17">
        <f t="shared" si="26"/>
        <v>0.96453673437338838</v>
      </c>
      <c r="T171" s="17">
        <f t="shared" si="27"/>
        <v>1.0558287740007057</v>
      </c>
      <c r="U171" s="16">
        <v>2</v>
      </c>
      <c r="V171" s="16">
        <v>2</v>
      </c>
      <c r="W171" s="16">
        <v>2</v>
      </c>
      <c r="X171" s="16">
        <v>2</v>
      </c>
      <c r="Y171" s="15">
        <v>0.47399999999999998</v>
      </c>
      <c r="Z171" s="15">
        <v>0.59399999999999997</v>
      </c>
      <c r="AA171" s="15">
        <v>0.7</v>
      </c>
      <c r="AB171" s="15">
        <v>0.79900000000000004</v>
      </c>
      <c r="AC171" s="3">
        <f t="shared" si="33"/>
        <v>0.23004101170126137</v>
      </c>
      <c r="AD171" s="3">
        <f t="shared" si="34"/>
        <v>0.22500285331386952</v>
      </c>
      <c r="AE171" s="3">
        <f t="shared" si="35"/>
        <v>0.17021913219776894</v>
      </c>
      <c r="AF171" s="3">
        <f t="shared" si="36"/>
        <v>0.18340089677250257</v>
      </c>
    </row>
    <row r="172" spans="1:32" x14ac:dyDescent="0.2">
      <c r="A172" s="30">
        <v>170</v>
      </c>
      <c r="B172" s="9" t="s">
        <v>995</v>
      </c>
      <c r="C172" s="12">
        <v>68078</v>
      </c>
      <c r="D172" s="13" t="s">
        <v>171</v>
      </c>
      <c r="E172" s="17">
        <v>12.149926105600001</v>
      </c>
      <c r="F172" s="17">
        <v>45.353974882899998</v>
      </c>
      <c r="G172" s="14">
        <v>5</v>
      </c>
      <c r="H172" s="17">
        <v>14.46</v>
      </c>
      <c r="I172" s="17">
        <v>15.11</v>
      </c>
      <c r="J172" s="17">
        <v>16.8</v>
      </c>
      <c r="K172" s="17">
        <v>19.05</v>
      </c>
      <c r="L172" s="17">
        <v>20.45</v>
      </c>
      <c r="M172" s="17">
        <f t="shared" si="28"/>
        <v>0.64999999999999858</v>
      </c>
      <c r="N172" s="17">
        <f t="shared" si="29"/>
        <v>2.34</v>
      </c>
      <c r="O172" s="17">
        <f t="shared" si="30"/>
        <v>4.59</v>
      </c>
      <c r="P172" s="17">
        <f t="shared" si="31"/>
        <v>5.9899999999999984</v>
      </c>
      <c r="Q172" s="17">
        <f t="shared" si="32"/>
        <v>-0.25722583056215376</v>
      </c>
      <c r="R172" s="17">
        <f t="shared" si="25"/>
        <v>0.33041140825428839</v>
      </c>
      <c r="S172" s="17">
        <f t="shared" si="26"/>
        <v>1.2896879617920827</v>
      </c>
      <c r="T172" s="17">
        <f t="shared" si="27"/>
        <v>1.2683855628869027</v>
      </c>
      <c r="U172" s="16">
        <v>0</v>
      </c>
      <c r="V172" s="16">
        <v>0</v>
      </c>
      <c r="W172" s="16">
        <v>0</v>
      </c>
      <c r="X172" s="16">
        <v>0</v>
      </c>
      <c r="Y172" s="15">
        <v>0.47125</v>
      </c>
      <c r="Z172" s="15">
        <v>0.57150000000000001</v>
      </c>
      <c r="AA172" s="15">
        <v>0.66600000000000004</v>
      </c>
      <c r="AB172" s="15">
        <v>0.75624999999999998</v>
      </c>
      <c r="AC172" s="3">
        <f t="shared" si="33"/>
        <v>0.20462915236256773</v>
      </c>
      <c r="AD172" s="3">
        <f t="shared" si="34"/>
        <v>2.3101025704423316E-2</v>
      </c>
      <c r="AE172" s="3">
        <f t="shared" si="35"/>
        <v>-0.1097113018626608</v>
      </c>
      <c r="AF172" s="3">
        <f t="shared" si="36"/>
        <v>-0.16777128694123472</v>
      </c>
    </row>
    <row r="173" spans="1:32" x14ac:dyDescent="0.2">
      <c r="A173" s="30">
        <v>171</v>
      </c>
      <c r="B173" s="9" t="s">
        <v>996</v>
      </c>
      <c r="C173" s="12">
        <v>68079</v>
      </c>
      <c r="D173" s="13" t="s">
        <v>172</v>
      </c>
      <c r="E173" s="17">
        <v>15.0888468793</v>
      </c>
      <c r="F173" s="17">
        <v>36.809237437900002</v>
      </c>
      <c r="G173" s="14">
        <v>7</v>
      </c>
      <c r="H173" s="17">
        <v>18.27</v>
      </c>
      <c r="I173" s="17">
        <v>19.559999999999999</v>
      </c>
      <c r="J173" s="17">
        <v>21.05</v>
      </c>
      <c r="K173" s="17">
        <v>22.61</v>
      </c>
      <c r="L173" s="17">
        <v>24.17</v>
      </c>
      <c r="M173" s="17">
        <f t="shared" si="28"/>
        <v>1.2899999999999991</v>
      </c>
      <c r="N173" s="17">
        <f t="shared" si="29"/>
        <v>2.7800000000000011</v>
      </c>
      <c r="O173" s="17">
        <f t="shared" si="30"/>
        <v>4.34</v>
      </c>
      <c r="P173" s="17">
        <f t="shared" si="31"/>
        <v>5.9000000000000021</v>
      </c>
      <c r="Q173" s="17">
        <f t="shared" si="32"/>
        <v>0.52253067433984512</v>
      </c>
      <c r="R173" s="17">
        <f t="shared" si="25"/>
        <v>0.94986950865589925</v>
      </c>
      <c r="S173" s="17">
        <f t="shared" si="26"/>
        <v>0.9993743658825317</v>
      </c>
      <c r="T173" s="17">
        <f t="shared" si="27"/>
        <v>1.1772897962213924</v>
      </c>
      <c r="U173" s="16">
        <v>0</v>
      </c>
      <c r="V173" s="16">
        <v>0</v>
      </c>
      <c r="W173" s="16">
        <v>0</v>
      </c>
      <c r="X173" s="16">
        <v>0</v>
      </c>
      <c r="Y173" s="15">
        <v>0.46700000000000003</v>
      </c>
      <c r="Z173" s="15">
        <v>0.58599999999999997</v>
      </c>
      <c r="AA173" s="15">
        <v>0.69599999999999995</v>
      </c>
      <c r="AB173" s="15">
        <v>0.79500000000000004</v>
      </c>
      <c r="AC173" s="3">
        <f t="shared" si="33"/>
        <v>0.16535627883913201</v>
      </c>
      <c r="AD173" s="3">
        <f t="shared" si="34"/>
        <v>0.1532155368305107</v>
      </c>
      <c r="AE173" s="3">
        <f t="shared" si="35"/>
        <v>0.13728613995536532</v>
      </c>
      <c r="AF173" s="3">
        <f t="shared" si="36"/>
        <v>0.15054268075250377</v>
      </c>
    </row>
    <row r="174" spans="1:32" x14ac:dyDescent="0.2">
      <c r="A174" s="30">
        <v>172</v>
      </c>
      <c r="B174" s="9" t="s">
        <v>997</v>
      </c>
      <c r="C174" s="12">
        <v>68081</v>
      </c>
      <c r="D174" s="13" t="s">
        <v>173</v>
      </c>
      <c r="E174" s="17">
        <v>16.2364702012</v>
      </c>
      <c r="F174" s="17">
        <v>38.732971579900003</v>
      </c>
      <c r="G174" s="14">
        <v>3</v>
      </c>
      <c r="H174" s="17">
        <v>15.6</v>
      </c>
      <c r="I174" s="17">
        <v>16.72</v>
      </c>
      <c r="J174" s="17">
        <v>18.36</v>
      </c>
      <c r="K174" s="17">
        <v>20.21</v>
      </c>
      <c r="L174" s="17">
        <v>22.07</v>
      </c>
      <c r="M174" s="17">
        <f t="shared" si="28"/>
        <v>1.1199999999999992</v>
      </c>
      <c r="N174" s="17">
        <f t="shared" si="29"/>
        <v>2.76</v>
      </c>
      <c r="O174" s="17">
        <f t="shared" si="30"/>
        <v>4.6100000000000012</v>
      </c>
      <c r="P174" s="17">
        <f t="shared" si="31"/>
        <v>6.4700000000000006</v>
      </c>
      <c r="Q174" s="17">
        <f t="shared" si="32"/>
        <v>0.31540785272525196</v>
      </c>
      <c r="R174" s="17">
        <f t="shared" si="25"/>
        <v>0.92171232227400601</v>
      </c>
      <c r="S174" s="17">
        <f t="shared" si="26"/>
        <v>1.3129130494648484</v>
      </c>
      <c r="T174" s="17">
        <f t="shared" si="27"/>
        <v>1.7542296517696478</v>
      </c>
      <c r="U174" s="16">
        <v>0</v>
      </c>
      <c r="V174" s="16">
        <v>0</v>
      </c>
      <c r="W174" s="16">
        <v>0</v>
      </c>
      <c r="X174" s="16">
        <v>0</v>
      </c>
      <c r="Y174" s="15">
        <v>0.45200000000000001</v>
      </c>
      <c r="Z174" s="15">
        <v>0.57199999999999995</v>
      </c>
      <c r="AA174" s="15">
        <v>0.67500000000000004</v>
      </c>
      <c r="AB174" s="15">
        <v>0.77700000000000002</v>
      </c>
      <c r="AC174" s="3">
        <f t="shared" si="33"/>
        <v>2.6746136991710887E-2</v>
      </c>
      <c r="AD174" s="3">
        <f t="shared" si="34"/>
        <v>2.7587732984632744E-2</v>
      </c>
      <c r="AE174" s="3">
        <f t="shared" si="35"/>
        <v>-3.5612069317252693E-2</v>
      </c>
      <c r="AF174" s="3">
        <f t="shared" si="36"/>
        <v>2.6807086625092189E-3</v>
      </c>
    </row>
    <row r="175" spans="1:32" x14ac:dyDescent="0.2">
      <c r="A175" s="30">
        <v>173</v>
      </c>
      <c r="B175" s="9" t="s">
        <v>1303</v>
      </c>
      <c r="C175" s="12">
        <v>68085</v>
      </c>
      <c r="D175" s="13" t="s">
        <v>174</v>
      </c>
      <c r="E175" s="17">
        <v>142.30531852799999</v>
      </c>
      <c r="F175" s="17">
        <v>45.144120450000003</v>
      </c>
      <c r="G175" s="14">
        <v>30</v>
      </c>
      <c r="H175" s="17">
        <v>6.57</v>
      </c>
      <c r="I175" s="17">
        <v>7.62</v>
      </c>
      <c r="J175" s="17">
        <v>8.44</v>
      </c>
      <c r="K175" s="17">
        <v>9.41</v>
      </c>
      <c r="L175" s="17">
        <v>12.09</v>
      </c>
      <c r="M175" s="17">
        <f t="shared" si="28"/>
        <v>1.0499999999999998</v>
      </c>
      <c r="N175" s="17">
        <f t="shared" si="29"/>
        <v>1.8699999999999992</v>
      </c>
      <c r="O175" s="17">
        <f t="shared" si="30"/>
        <v>2.84</v>
      </c>
      <c r="P175" s="17">
        <f t="shared" si="31"/>
        <v>5.52</v>
      </c>
      <c r="Q175" s="17">
        <f t="shared" si="32"/>
        <v>0.23012198500159661</v>
      </c>
      <c r="R175" s="17">
        <f t="shared" si="25"/>
        <v>-0.33128247172015862</v>
      </c>
      <c r="S175" s="17">
        <f t="shared" si="26"/>
        <v>-0.74250720957477445</v>
      </c>
      <c r="T175" s="17">
        <f t="shared" si="27"/>
        <v>0.79266322585588511</v>
      </c>
      <c r="U175" s="16">
        <v>0</v>
      </c>
      <c r="V175" s="16">
        <v>0</v>
      </c>
      <c r="W175" s="16">
        <v>0</v>
      </c>
      <c r="X175" s="16">
        <v>1</v>
      </c>
      <c r="Y175" s="15">
        <v>0.496</v>
      </c>
      <c r="Z175" s="15">
        <v>0.60799999999999998</v>
      </c>
      <c r="AA175" s="15">
        <v>0.74399999999999999</v>
      </c>
      <c r="AB175" s="15">
        <v>0.84399999999999997</v>
      </c>
      <c r="AC175" s="3">
        <f t="shared" si="33"/>
        <v>0.43333588641081233</v>
      </c>
      <c r="AD175" s="3">
        <f t="shared" si="34"/>
        <v>0.35063065715974745</v>
      </c>
      <c r="AE175" s="3">
        <f t="shared" si="35"/>
        <v>0.53248204686420852</v>
      </c>
      <c r="AF175" s="3">
        <f t="shared" si="36"/>
        <v>0.55305582699748801</v>
      </c>
    </row>
    <row r="176" spans="1:32" x14ac:dyDescent="0.2">
      <c r="A176" s="30">
        <v>174</v>
      </c>
      <c r="B176" s="9" t="s">
        <v>1304</v>
      </c>
      <c r="C176" s="12">
        <v>68087</v>
      </c>
      <c r="D176" s="13" t="s">
        <v>175</v>
      </c>
      <c r="E176" s="17">
        <v>145.06128688300001</v>
      </c>
      <c r="F176" s="17">
        <v>43.072783725100003</v>
      </c>
      <c r="G176" s="14">
        <v>11</v>
      </c>
      <c r="H176" s="17">
        <v>6.53</v>
      </c>
      <c r="I176" s="17">
        <v>7.82</v>
      </c>
      <c r="J176" s="17">
        <v>8.76</v>
      </c>
      <c r="K176" s="17">
        <v>9.6</v>
      </c>
      <c r="L176" s="17">
        <v>12.36</v>
      </c>
      <c r="M176" s="17">
        <f t="shared" si="28"/>
        <v>1.29</v>
      </c>
      <c r="N176" s="17">
        <f t="shared" si="29"/>
        <v>2.2299999999999995</v>
      </c>
      <c r="O176" s="17">
        <f t="shared" si="30"/>
        <v>3.0699999999999994</v>
      </c>
      <c r="P176" s="17">
        <f t="shared" si="31"/>
        <v>5.8299999999999992</v>
      </c>
      <c r="Q176" s="17">
        <f t="shared" si="32"/>
        <v>0.52253067433984624</v>
      </c>
      <c r="R176" s="17">
        <f t="shared" si="25"/>
        <v>0.17554688315388564</v>
      </c>
      <c r="S176" s="17">
        <f t="shared" si="26"/>
        <v>-0.47541870133798803</v>
      </c>
      <c r="T176" s="17">
        <f t="shared" si="27"/>
        <v>1.1064375332593226</v>
      </c>
      <c r="U176" s="16">
        <v>0</v>
      </c>
      <c r="V176" s="16">
        <v>0</v>
      </c>
      <c r="W176" s="16">
        <v>0</v>
      </c>
      <c r="X176" s="16">
        <v>0</v>
      </c>
      <c r="Y176" s="15">
        <v>0.45100000000000001</v>
      </c>
      <c r="Z176" s="15">
        <v>0.57399999999999995</v>
      </c>
      <c r="AA176" s="15">
        <v>0.73399999999999999</v>
      </c>
      <c r="AB176" s="15">
        <v>0.84599999999999997</v>
      </c>
      <c r="AC176" s="3">
        <f t="shared" si="33"/>
        <v>1.7505460868549479E-2</v>
      </c>
      <c r="AD176" s="3">
        <f t="shared" si="34"/>
        <v>4.5534562105472451E-2</v>
      </c>
      <c r="AE176" s="3">
        <f t="shared" si="35"/>
        <v>0.45014956625819957</v>
      </c>
      <c r="AF176" s="3">
        <f t="shared" si="36"/>
        <v>0.56948493500748743</v>
      </c>
    </row>
    <row r="177" spans="1:32" x14ac:dyDescent="0.2">
      <c r="A177" s="30">
        <v>175</v>
      </c>
      <c r="B177" s="9" t="s">
        <v>1305</v>
      </c>
      <c r="C177" s="12">
        <v>68088</v>
      </c>
      <c r="D177" s="13" t="s">
        <v>176</v>
      </c>
      <c r="E177" s="17">
        <v>144.881257447</v>
      </c>
      <c r="F177" s="17">
        <v>43.081636262000004</v>
      </c>
      <c r="G177" s="14">
        <v>70</v>
      </c>
      <c r="H177" s="17">
        <v>6.31</v>
      </c>
      <c r="I177" s="17">
        <v>7.62</v>
      </c>
      <c r="J177" s="17">
        <v>8.5500000000000007</v>
      </c>
      <c r="K177" s="17">
        <v>9.41</v>
      </c>
      <c r="L177" s="17">
        <v>12.2</v>
      </c>
      <c r="M177" s="17">
        <f t="shared" si="28"/>
        <v>1.3100000000000005</v>
      </c>
      <c r="N177" s="17">
        <f t="shared" si="29"/>
        <v>2.2400000000000011</v>
      </c>
      <c r="O177" s="17">
        <f t="shared" si="30"/>
        <v>3.1000000000000005</v>
      </c>
      <c r="P177" s="17">
        <f t="shared" si="31"/>
        <v>5.89</v>
      </c>
      <c r="Q177" s="17">
        <f t="shared" si="32"/>
        <v>0.54689806511803418</v>
      </c>
      <c r="R177" s="17">
        <f t="shared" si="25"/>
        <v>0.18962547634483351</v>
      </c>
      <c r="S177" s="17">
        <f t="shared" si="26"/>
        <v>-0.44058106982884054</v>
      </c>
      <c r="T177" s="17">
        <f t="shared" si="27"/>
        <v>1.1671680443696659</v>
      </c>
      <c r="U177" s="16">
        <v>2</v>
      </c>
      <c r="V177" s="16">
        <v>2</v>
      </c>
      <c r="W177" s="16">
        <v>2</v>
      </c>
      <c r="X177" s="16">
        <v>2</v>
      </c>
      <c r="Y177" s="15">
        <v>0.45100000000000001</v>
      </c>
      <c r="Z177" s="15">
        <v>0.57399999999999995</v>
      </c>
      <c r="AA177" s="15">
        <v>0.73399999999999999</v>
      </c>
      <c r="AB177" s="15">
        <v>0.84599999999999997</v>
      </c>
      <c r="AC177" s="3">
        <f t="shared" si="33"/>
        <v>1.7505460868549479E-2</v>
      </c>
      <c r="AD177" s="3">
        <f t="shared" si="34"/>
        <v>4.5534562105472451E-2</v>
      </c>
      <c r="AE177" s="3">
        <f t="shared" si="35"/>
        <v>0.45014956625819957</v>
      </c>
      <c r="AF177" s="3">
        <f t="shared" si="36"/>
        <v>0.56948493500748743</v>
      </c>
    </row>
    <row r="178" spans="1:32" x14ac:dyDescent="0.2">
      <c r="A178" s="30">
        <v>176</v>
      </c>
      <c r="B178" s="9" t="s">
        <v>1306</v>
      </c>
      <c r="C178" s="12">
        <v>68089</v>
      </c>
      <c r="D178" s="13" t="s">
        <v>177</v>
      </c>
      <c r="E178" s="17">
        <v>140.004808594</v>
      </c>
      <c r="F178" s="17">
        <v>35.6781443478</v>
      </c>
      <c r="G178" s="14">
        <v>3</v>
      </c>
      <c r="H178" s="17">
        <v>13.19</v>
      </c>
      <c r="I178" s="17">
        <v>14.6</v>
      </c>
      <c r="J178" s="17">
        <v>15.88</v>
      </c>
      <c r="K178" s="17">
        <v>17.04</v>
      </c>
      <c r="L178" s="17">
        <v>19.100000000000001</v>
      </c>
      <c r="M178" s="17">
        <f t="shared" si="28"/>
        <v>1.4100000000000001</v>
      </c>
      <c r="N178" s="17">
        <f t="shared" si="29"/>
        <v>2.6900000000000013</v>
      </c>
      <c r="O178" s="17">
        <f t="shared" si="30"/>
        <v>3.8499999999999996</v>
      </c>
      <c r="P178" s="17">
        <f t="shared" si="31"/>
        <v>5.9100000000000019</v>
      </c>
      <c r="Q178" s="17">
        <f t="shared" si="32"/>
        <v>0.66873501900897103</v>
      </c>
      <c r="R178" s="17">
        <f t="shared" si="25"/>
        <v>0.82316216993738855</v>
      </c>
      <c r="S178" s="17">
        <f t="shared" si="26"/>
        <v>0.43035971789981148</v>
      </c>
      <c r="T178" s="17">
        <f t="shared" si="27"/>
        <v>1.187411548073116</v>
      </c>
      <c r="U178" s="16">
        <v>0</v>
      </c>
      <c r="V178" s="16">
        <v>0</v>
      </c>
      <c r="W178" s="16">
        <v>0</v>
      </c>
      <c r="X178" s="16">
        <v>0</v>
      </c>
      <c r="Y178" s="15">
        <v>0.42299999999999999</v>
      </c>
      <c r="Z178" s="15">
        <v>0.55833333333299995</v>
      </c>
      <c r="AA178" s="15">
        <v>0.72166666666699997</v>
      </c>
      <c r="AB178" s="15">
        <v>0.83966666666699996</v>
      </c>
      <c r="AC178" s="3">
        <f t="shared" si="33"/>
        <v>-0.24123347057996997</v>
      </c>
      <c r="AD178" s="3">
        <f t="shared" si="34"/>
        <v>-9.5048932677429657E-2</v>
      </c>
      <c r="AE178" s="3">
        <f t="shared" si="35"/>
        <v>0.34860617351353279</v>
      </c>
      <c r="AF178" s="3">
        <f t="shared" si="36"/>
        <v>0.51745942631189412</v>
      </c>
    </row>
    <row r="179" spans="1:32" x14ac:dyDescent="0.2">
      <c r="A179" s="30">
        <v>177</v>
      </c>
      <c r="B179" s="9" t="s">
        <v>998</v>
      </c>
      <c r="C179" s="12">
        <v>68101</v>
      </c>
      <c r="D179" s="13" t="s">
        <v>178</v>
      </c>
      <c r="E179" s="17">
        <v>4.7826088325600002</v>
      </c>
      <c r="F179" s="17">
        <v>51.740673168900003</v>
      </c>
      <c r="G179" s="14">
        <v>42</v>
      </c>
      <c r="H179" s="17">
        <v>11.1</v>
      </c>
      <c r="I179" s="17">
        <v>10.71</v>
      </c>
      <c r="J179" s="17">
        <v>12.14</v>
      </c>
      <c r="K179" s="17">
        <v>14.37</v>
      </c>
      <c r="L179" s="17">
        <v>15.72</v>
      </c>
      <c r="M179" s="17">
        <f t="shared" si="28"/>
        <v>-0.38999999999999879</v>
      </c>
      <c r="N179" s="17">
        <f t="shared" si="29"/>
        <v>1.0400000000000009</v>
      </c>
      <c r="O179" s="17">
        <f t="shared" si="30"/>
        <v>3.2699999999999996</v>
      </c>
      <c r="P179" s="17">
        <f t="shared" si="31"/>
        <v>4.620000000000001</v>
      </c>
      <c r="Q179" s="17">
        <f t="shared" si="32"/>
        <v>-1.5243301510278975</v>
      </c>
      <c r="R179" s="17">
        <f t="shared" si="25"/>
        <v>-1.4998057065686461</v>
      </c>
      <c r="S179" s="17">
        <f t="shared" si="26"/>
        <v>-0.24316782461034697</v>
      </c>
      <c r="T179" s="17">
        <f t="shared" si="27"/>
        <v>-0.11829444079925605</v>
      </c>
      <c r="U179" s="16">
        <v>5</v>
      </c>
      <c r="V179" s="16">
        <v>7</v>
      </c>
      <c r="W179" s="16">
        <v>7</v>
      </c>
      <c r="X179" s="16">
        <v>10</v>
      </c>
      <c r="Y179" s="15">
        <v>0.47299999999999998</v>
      </c>
      <c r="Z179" s="15">
        <v>0.59699999999999998</v>
      </c>
      <c r="AA179" s="15">
        <v>0.68899999999999995</v>
      </c>
      <c r="AB179" s="15">
        <v>0.80500000000000005</v>
      </c>
      <c r="AC179" s="3">
        <f t="shared" si="33"/>
        <v>0.22080033557809994</v>
      </c>
      <c r="AD179" s="3">
        <f t="shared" si="34"/>
        <v>0.25192309699512905</v>
      </c>
      <c r="AE179" s="3">
        <f t="shared" si="35"/>
        <v>7.9653403531159003E-2</v>
      </c>
      <c r="AF179" s="3">
        <f t="shared" si="36"/>
        <v>0.23268822080250073</v>
      </c>
    </row>
    <row r="180" spans="1:32" x14ac:dyDescent="0.2">
      <c r="A180" s="30">
        <v>178</v>
      </c>
      <c r="B180" s="9" t="s">
        <v>999</v>
      </c>
      <c r="C180" s="12">
        <v>68102</v>
      </c>
      <c r="D180" s="13" t="s">
        <v>179</v>
      </c>
      <c r="E180" s="17">
        <v>5.6154929328699996</v>
      </c>
      <c r="F180" s="17">
        <v>53.271834145699998</v>
      </c>
      <c r="G180" s="14">
        <v>5979</v>
      </c>
      <c r="H180" s="17">
        <v>10.74</v>
      </c>
      <c r="I180" s="17">
        <v>10.57</v>
      </c>
      <c r="J180" s="17">
        <v>11.94</v>
      </c>
      <c r="K180" s="17">
        <v>13.92</v>
      </c>
      <c r="L180" s="17">
        <v>15.15</v>
      </c>
      <c r="M180" s="17">
        <f t="shared" si="28"/>
        <v>-0.16999999999999993</v>
      </c>
      <c r="N180" s="17">
        <f t="shared" si="29"/>
        <v>1.1999999999999993</v>
      </c>
      <c r="O180" s="17">
        <f t="shared" si="30"/>
        <v>3.1799999999999997</v>
      </c>
      <c r="P180" s="17">
        <f t="shared" si="31"/>
        <v>4.41</v>
      </c>
      <c r="Q180" s="17">
        <f t="shared" si="32"/>
        <v>-1.2562888524678371</v>
      </c>
      <c r="R180" s="17">
        <f t="shared" si="25"/>
        <v>-1.2745482155135177</v>
      </c>
      <c r="S180" s="17">
        <f t="shared" si="26"/>
        <v>-0.3476807191377852</v>
      </c>
      <c r="T180" s="17">
        <f t="shared" si="27"/>
        <v>-0.33085122968545683</v>
      </c>
      <c r="U180" s="16">
        <v>339</v>
      </c>
      <c r="V180" s="16">
        <v>673</v>
      </c>
      <c r="W180" s="16">
        <v>700</v>
      </c>
      <c r="X180" s="16">
        <v>986</v>
      </c>
      <c r="Y180" s="15">
        <v>0.46800000000000003</v>
      </c>
      <c r="Z180" s="15">
        <v>0.59199999999999997</v>
      </c>
      <c r="AA180" s="15">
        <v>0.68400000000000005</v>
      </c>
      <c r="AB180" s="15">
        <v>0.8</v>
      </c>
      <c r="AC180" s="3">
        <f t="shared" si="33"/>
        <v>0.17459695496229341</v>
      </c>
      <c r="AD180" s="3">
        <f t="shared" si="34"/>
        <v>0.20705602419302982</v>
      </c>
      <c r="AE180" s="3">
        <f t="shared" si="35"/>
        <v>3.8487163228155416E-2</v>
      </c>
      <c r="AF180" s="3">
        <f t="shared" si="36"/>
        <v>0.19161545077750225</v>
      </c>
    </row>
    <row r="181" spans="1:32" x14ac:dyDescent="0.2">
      <c r="A181" s="30">
        <v>179</v>
      </c>
      <c r="B181" s="9" t="s">
        <v>1000</v>
      </c>
      <c r="C181" s="12">
        <v>68103</v>
      </c>
      <c r="D181" s="13" t="s">
        <v>180</v>
      </c>
      <c r="E181" s="17">
        <v>3.9719269122799998</v>
      </c>
      <c r="F181" s="17">
        <v>51.576924922899998</v>
      </c>
      <c r="G181" s="14">
        <v>723</v>
      </c>
      <c r="H181" s="17">
        <v>11.65</v>
      </c>
      <c r="I181" s="17">
        <v>11.22</v>
      </c>
      <c r="J181" s="17">
        <v>12.63</v>
      </c>
      <c r="K181" s="17">
        <v>14.86</v>
      </c>
      <c r="L181" s="17">
        <v>16.059999999999999</v>
      </c>
      <c r="M181" s="17">
        <f t="shared" si="28"/>
        <v>-0.42999999999999972</v>
      </c>
      <c r="N181" s="17">
        <f t="shared" si="29"/>
        <v>0.98000000000000043</v>
      </c>
      <c r="O181" s="17">
        <f t="shared" si="30"/>
        <v>3.2099999999999991</v>
      </c>
      <c r="P181" s="17">
        <f t="shared" si="31"/>
        <v>4.4099999999999984</v>
      </c>
      <c r="Q181" s="17">
        <f t="shared" si="32"/>
        <v>-1.5730649325842736</v>
      </c>
      <c r="R181" s="17">
        <f t="shared" si="25"/>
        <v>-1.5842772657143207</v>
      </c>
      <c r="S181" s="17">
        <f t="shared" si="26"/>
        <v>-0.31284308762863977</v>
      </c>
      <c r="T181" s="17">
        <f t="shared" si="27"/>
        <v>-0.33085122968545866</v>
      </c>
      <c r="U181" s="16">
        <v>73</v>
      </c>
      <c r="V181" s="16">
        <v>114</v>
      </c>
      <c r="W181" s="16">
        <v>118</v>
      </c>
      <c r="X181" s="16">
        <v>130</v>
      </c>
      <c r="Y181" s="15">
        <v>0.49075000000000002</v>
      </c>
      <c r="Z181" s="15">
        <v>0.61375000000000002</v>
      </c>
      <c r="AA181" s="15">
        <v>0.70550000000000002</v>
      </c>
      <c r="AB181" s="15">
        <v>0.82150000000000001</v>
      </c>
      <c r="AC181" s="3">
        <f t="shared" si="33"/>
        <v>0.38482233676421523</v>
      </c>
      <c r="AD181" s="3">
        <f t="shared" si="34"/>
        <v>0.40222779088216187</v>
      </c>
      <c r="AE181" s="3">
        <f t="shared" si="35"/>
        <v>0.21550199653107432</v>
      </c>
      <c r="AF181" s="3">
        <f t="shared" si="36"/>
        <v>0.3682283618849953</v>
      </c>
    </row>
    <row r="182" spans="1:32" x14ac:dyDescent="0.2">
      <c r="A182" s="30">
        <v>180</v>
      </c>
      <c r="B182" s="9" t="s">
        <v>1001</v>
      </c>
      <c r="C182" s="12">
        <v>68104</v>
      </c>
      <c r="D182" s="13" t="s">
        <v>181</v>
      </c>
      <c r="E182" s="17">
        <v>4.6923302121599999</v>
      </c>
      <c r="F182" s="17">
        <v>52.814803318000003</v>
      </c>
      <c r="G182" s="14">
        <v>2</v>
      </c>
      <c r="H182" s="17">
        <v>11.25</v>
      </c>
      <c r="I182" s="17">
        <v>11.02</v>
      </c>
      <c r="J182" s="17">
        <v>12.41</v>
      </c>
      <c r="K182" s="17">
        <v>14.43</v>
      </c>
      <c r="L182" s="17">
        <v>15.54</v>
      </c>
      <c r="M182" s="17">
        <f t="shared" si="28"/>
        <v>-0.23000000000000043</v>
      </c>
      <c r="N182" s="17">
        <f t="shared" si="29"/>
        <v>1.1600000000000001</v>
      </c>
      <c r="O182" s="17">
        <f t="shared" si="30"/>
        <v>3.1799999999999997</v>
      </c>
      <c r="P182" s="17">
        <f t="shared" si="31"/>
        <v>4.2899999999999991</v>
      </c>
      <c r="Q182" s="17">
        <f t="shared" si="32"/>
        <v>-1.3293910248024001</v>
      </c>
      <c r="R182" s="17">
        <f t="shared" si="25"/>
        <v>-1.3308625882772993</v>
      </c>
      <c r="S182" s="17">
        <f t="shared" si="26"/>
        <v>-0.3476807191377852</v>
      </c>
      <c r="T182" s="17">
        <f t="shared" si="27"/>
        <v>-0.45231225190614355</v>
      </c>
      <c r="U182" s="16">
        <v>0</v>
      </c>
      <c r="V182" s="16">
        <v>0</v>
      </c>
      <c r="W182" s="16">
        <v>0</v>
      </c>
      <c r="X182" s="16">
        <v>0</v>
      </c>
      <c r="Y182" s="15">
        <v>0.44824999999999998</v>
      </c>
      <c r="Z182" s="15">
        <v>0.57074999999999998</v>
      </c>
      <c r="AA182" s="15">
        <v>0.66349999999999998</v>
      </c>
      <c r="AB182" s="15">
        <v>0.77849999999999997</v>
      </c>
      <c r="AC182" s="3">
        <f t="shared" si="33"/>
        <v>-7.9063984701446509E-3</v>
      </c>
      <c r="AD182" s="3">
        <f t="shared" si="34"/>
        <v>1.6370964784108176E-2</v>
      </c>
      <c r="AE182" s="3">
        <f t="shared" si="35"/>
        <v>-0.13029442201416352</v>
      </c>
      <c r="AF182" s="3">
        <f t="shared" si="36"/>
        <v>1.500253967000831E-2</v>
      </c>
    </row>
    <row r="183" spans="1:32" x14ac:dyDescent="0.2">
      <c r="A183" s="30">
        <v>181</v>
      </c>
      <c r="B183" s="9" t="s">
        <v>1002</v>
      </c>
      <c r="C183" s="12">
        <v>68105</v>
      </c>
      <c r="D183" s="13" t="s">
        <v>182</v>
      </c>
      <c r="E183" s="17">
        <v>5.3516369822899996</v>
      </c>
      <c r="F183" s="17">
        <v>52.447733808999999</v>
      </c>
      <c r="G183" s="14">
        <v>60</v>
      </c>
      <c r="H183" s="17">
        <v>10.65</v>
      </c>
      <c r="I183" s="17">
        <v>10.56</v>
      </c>
      <c r="J183" s="17">
        <v>11.82</v>
      </c>
      <c r="K183" s="17">
        <v>14.06</v>
      </c>
      <c r="L183" s="17">
        <v>15.3</v>
      </c>
      <c r="M183" s="17">
        <f t="shared" si="28"/>
        <v>-8.9999999999999858E-2</v>
      </c>
      <c r="N183" s="17">
        <f t="shared" si="29"/>
        <v>1.17</v>
      </c>
      <c r="O183" s="17">
        <f t="shared" si="30"/>
        <v>3.41</v>
      </c>
      <c r="P183" s="17">
        <f t="shared" si="31"/>
        <v>4.6500000000000004</v>
      </c>
      <c r="Q183" s="17">
        <f t="shared" si="32"/>
        <v>-1.1588192893550873</v>
      </c>
      <c r="R183" s="17">
        <f t="shared" si="25"/>
        <v>-1.3167839950863538</v>
      </c>
      <c r="S183" s="17">
        <f t="shared" si="26"/>
        <v>-8.0592210900997732E-2</v>
      </c>
      <c r="T183" s="17">
        <f t="shared" si="27"/>
        <v>-8.7929185244085273E-2</v>
      </c>
      <c r="U183" s="16">
        <v>6</v>
      </c>
      <c r="V183" s="16">
        <v>8</v>
      </c>
      <c r="W183" s="16">
        <v>8</v>
      </c>
      <c r="X183" s="16">
        <v>8</v>
      </c>
      <c r="Y183" s="15">
        <v>0.47299999999999998</v>
      </c>
      <c r="Z183" s="15">
        <v>0.59699999999999998</v>
      </c>
      <c r="AA183" s="15">
        <v>0.68899999999999995</v>
      </c>
      <c r="AB183" s="15">
        <v>0.80500000000000005</v>
      </c>
      <c r="AC183" s="3">
        <f t="shared" si="33"/>
        <v>0.22080033557809994</v>
      </c>
      <c r="AD183" s="3">
        <f t="shared" si="34"/>
        <v>0.25192309699512905</v>
      </c>
      <c r="AE183" s="3">
        <f t="shared" si="35"/>
        <v>7.9653403531159003E-2</v>
      </c>
      <c r="AF183" s="3">
        <f t="shared" si="36"/>
        <v>0.23268822080250073</v>
      </c>
    </row>
    <row r="184" spans="1:32" x14ac:dyDescent="0.2">
      <c r="A184" s="30">
        <v>182</v>
      </c>
      <c r="B184" s="9" t="s">
        <v>789</v>
      </c>
      <c r="C184" s="12">
        <v>68111</v>
      </c>
      <c r="D184" s="13" t="s">
        <v>183</v>
      </c>
      <c r="E184" s="17">
        <v>-68.231523341100001</v>
      </c>
      <c r="F184" s="17">
        <v>12.1071835007</v>
      </c>
      <c r="G184" s="14">
        <v>8</v>
      </c>
      <c r="H184" s="17">
        <v>25.89</v>
      </c>
      <c r="I184" s="17">
        <v>26.63</v>
      </c>
      <c r="J184" s="17">
        <v>27.58</v>
      </c>
      <c r="K184" s="17">
        <v>28.57</v>
      </c>
      <c r="L184" s="17">
        <v>29.96</v>
      </c>
      <c r="M184" s="17">
        <f t="shared" si="28"/>
        <v>0.73999999999999844</v>
      </c>
      <c r="N184" s="17">
        <f t="shared" si="29"/>
        <v>1.6899999999999977</v>
      </c>
      <c r="O184" s="17">
        <f t="shared" si="30"/>
        <v>2.6799999999999997</v>
      </c>
      <c r="P184" s="17">
        <f t="shared" si="31"/>
        <v>4.07</v>
      </c>
      <c r="Q184" s="17">
        <f t="shared" si="32"/>
        <v>-0.14757257206031044</v>
      </c>
      <c r="R184" s="17">
        <f t="shared" si="25"/>
        <v>-0.58469714915718263</v>
      </c>
      <c r="S184" s="17">
        <f t="shared" si="26"/>
        <v>-0.92830791095688725</v>
      </c>
      <c r="T184" s="17">
        <f t="shared" si="27"/>
        <v>-0.67499079264406614</v>
      </c>
      <c r="U184" s="16">
        <v>0</v>
      </c>
      <c r="V184" s="16">
        <v>0</v>
      </c>
      <c r="W184" s="16">
        <v>0</v>
      </c>
      <c r="X184" s="16">
        <v>0</v>
      </c>
      <c r="Y184" s="15">
        <v>0.51200000000000001</v>
      </c>
      <c r="Z184" s="15">
        <v>0.64300000000000002</v>
      </c>
      <c r="AA184" s="15">
        <v>0.76</v>
      </c>
      <c r="AB184" s="15">
        <v>0.84899999999999998</v>
      </c>
      <c r="AC184" s="3">
        <f t="shared" si="33"/>
        <v>0.58118670438139486</v>
      </c>
      <c r="AD184" s="3">
        <f t="shared" si="34"/>
        <v>0.66470016677444232</v>
      </c>
      <c r="AE184" s="3">
        <f t="shared" si="35"/>
        <v>0.664214015833823</v>
      </c>
      <c r="AF184" s="3">
        <f t="shared" si="36"/>
        <v>0.59412859702248655</v>
      </c>
    </row>
    <row r="185" spans="1:32" x14ac:dyDescent="0.2">
      <c r="A185" s="30">
        <v>183</v>
      </c>
      <c r="B185" s="9" t="s">
        <v>790</v>
      </c>
      <c r="C185" s="12">
        <v>68112</v>
      </c>
      <c r="D185" s="13" t="s">
        <v>184</v>
      </c>
      <c r="E185" s="17">
        <v>-68.252765554899995</v>
      </c>
      <c r="F185" s="17">
        <v>12.040831560100001</v>
      </c>
      <c r="G185" s="14">
        <v>13</v>
      </c>
      <c r="H185" s="17">
        <v>25.89</v>
      </c>
      <c r="I185" s="17">
        <v>26.63</v>
      </c>
      <c r="J185" s="17">
        <v>27.58</v>
      </c>
      <c r="K185" s="17">
        <v>28.56</v>
      </c>
      <c r="L185" s="17">
        <v>29.95</v>
      </c>
      <c r="M185" s="17">
        <f t="shared" si="28"/>
        <v>0.73999999999999844</v>
      </c>
      <c r="N185" s="17">
        <f t="shared" si="29"/>
        <v>1.6899999999999977</v>
      </c>
      <c r="O185" s="17">
        <f t="shared" si="30"/>
        <v>2.6699999999999982</v>
      </c>
      <c r="P185" s="17">
        <f t="shared" si="31"/>
        <v>4.0599999999999987</v>
      </c>
      <c r="Q185" s="17">
        <f t="shared" si="32"/>
        <v>-0.14757257206031044</v>
      </c>
      <c r="R185" s="17">
        <f t="shared" si="25"/>
        <v>-0.58469714915718263</v>
      </c>
      <c r="S185" s="17">
        <f t="shared" si="26"/>
        <v>-0.93992045479327113</v>
      </c>
      <c r="T185" s="17">
        <f t="shared" si="27"/>
        <v>-0.68511254449579151</v>
      </c>
      <c r="U185" s="16">
        <v>2</v>
      </c>
      <c r="V185" s="16">
        <v>3</v>
      </c>
      <c r="W185" s="16">
        <v>3</v>
      </c>
      <c r="X185" s="16">
        <v>3</v>
      </c>
      <c r="Y185" s="15">
        <v>0.51200000000000001</v>
      </c>
      <c r="Z185" s="15">
        <v>0.64300000000000002</v>
      </c>
      <c r="AA185" s="15">
        <v>0.76</v>
      </c>
      <c r="AB185" s="15">
        <v>0.84899999999999998</v>
      </c>
      <c r="AC185" s="3">
        <f t="shared" si="33"/>
        <v>0.58118670438139486</v>
      </c>
      <c r="AD185" s="3">
        <f t="shared" si="34"/>
        <v>0.66470016677444232</v>
      </c>
      <c r="AE185" s="3">
        <f t="shared" si="35"/>
        <v>0.664214015833823</v>
      </c>
      <c r="AF185" s="3">
        <f t="shared" si="36"/>
        <v>0.59412859702248655</v>
      </c>
    </row>
    <row r="186" spans="1:32" x14ac:dyDescent="0.2">
      <c r="A186" s="30">
        <v>184</v>
      </c>
      <c r="B186" s="9" t="s">
        <v>791</v>
      </c>
      <c r="C186" s="12">
        <v>68114</v>
      </c>
      <c r="D186" s="13" t="s">
        <v>185</v>
      </c>
      <c r="E186" s="17">
        <v>-68.375574292099998</v>
      </c>
      <c r="F186" s="17">
        <v>12.2385237054</v>
      </c>
      <c r="G186" s="14">
        <v>3</v>
      </c>
      <c r="H186" s="17">
        <v>25.91</v>
      </c>
      <c r="I186" s="17">
        <v>26.66</v>
      </c>
      <c r="J186" s="17">
        <v>27.64</v>
      </c>
      <c r="K186" s="17">
        <v>28.63</v>
      </c>
      <c r="L186" s="17">
        <v>30.06</v>
      </c>
      <c r="M186" s="17">
        <f t="shared" si="28"/>
        <v>0.75</v>
      </c>
      <c r="N186" s="17">
        <f t="shared" si="29"/>
        <v>1.7300000000000004</v>
      </c>
      <c r="O186" s="17">
        <f t="shared" si="30"/>
        <v>2.7199999999999989</v>
      </c>
      <c r="P186" s="17">
        <f t="shared" si="31"/>
        <v>4.1499999999999986</v>
      </c>
      <c r="Q186" s="17">
        <f t="shared" si="32"/>
        <v>-0.1353888766712148</v>
      </c>
      <c r="R186" s="17">
        <f t="shared" si="25"/>
        <v>-0.52838277639339615</v>
      </c>
      <c r="S186" s="17">
        <f t="shared" si="26"/>
        <v>-0.88185773561136005</v>
      </c>
      <c r="T186" s="17">
        <f t="shared" si="27"/>
        <v>-0.5940167778302774</v>
      </c>
      <c r="U186" s="16">
        <v>0</v>
      </c>
      <c r="V186" s="16">
        <v>0</v>
      </c>
      <c r="W186" s="16">
        <v>0</v>
      </c>
      <c r="X186" s="16">
        <v>0</v>
      </c>
      <c r="Y186" s="15">
        <v>0.51200000000000001</v>
      </c>
      <c r="Z186" s="15">
        <v>0.64300000000000002</v>
      </c>
      <c r="AA186" s="15">
        <v>0.76</v>
      </c>
      <c r="AB186" s="15">
        <v>0.84899999999999998</v>
      </c>
      <c r="AC186" s="3">
        <f t="shared" si="33"/>
        <v>0.58118670438139486</v>
      </c>
      <c r="AD186" s="3">
        <f t="shared" si="34"/>
        <v>0.66470016677444232</v>
      </c>
      <c r="AE186" s="3">
        <f t="shared" si="35"/>
        <v>0.664214015833823</v>
      </c>
      <c r="AF186" s="3">
        <f t="shared" si="36"/>
        <v>0.59412859702248655</v>
      </c>
    </row>
    <row r="187" spans="1:32" x14ac:dyDescent="0.2">
      <c r="A187" s="30">
        <v>185</v>
      </c>
      <c r="B187" s="9" t="s">
        <v>792</v>
      </c>
      <c r="C187" s="12">
        <v>68115</v>
      </c>
      <c r="D187" s="13" t="s">
        <v>186</v>
      </c>
      <c r="E187" s="17">
        <v>-68.404202339899996</v>
      </c>
      <c r="F187" s="17">
        <v>12.2641068165</v>
      </c>
      <c r="G187" s="14">
        <v>2</v>
      </c>
      <c r="H187" s="17">
        <v>25.91</v>
      </c>
      <c r="I187" s="17">
        <v>26.66</v>
      </c>
      <c r="J187" s="17">
        <v>27.64</v>
      </c>
      <c r="K187" s="17">
        <v>28.64</v>
      </c>
      <c r="L187" s="17">
        <v>30.07</v>
      </c>
      <c r="M187" s="17">
        <f t="shared" si="28"/>
        <v>0.75</v>
      </c>
      <c r="N187" s="17">
        <f t="shared" si="29"/>
        <v>1.7300000000000004</v>
      </c>
      <c r="O187" s="17">
        <f t="shared" si="30"/>
        <v>2.7300000000000004</v>
      </c>
      <c r="P187" s="17">
        <f t="shared" si="31"/>
        <v>4.16</v>
      </c>
      <c r="Q187" s="17">
        <f t="shared" si="32"/>
        <v>-0.1353888766712148</v>
      </c>
      <c r="R187" s="17">
        <f t="shared" si="25"/>
        <v>-0.52838277639339615</v>
      </c>
      <c r="S187" s="17">
        <f t="shared" si="26"/>
        <v>-0.87024519177497617</v>
      </c>
      <c r="T187" s="17">
        <f t="shared" si="27"/>
        <v>-0.58389502597855203</v>
      </c>
      <c r="U187" s="16">
        <v>0</v>
      </c>
      <c r="V187" s="16">
        <v>0</v>
      </c>
      <c r="W187" s="16">
        <v>0</v>
      </c>
      <c r="X187" s="16">
        <v>0</v>
      </c>
      <c r="Y187" s="15">
        <v>0.51200000000000001</v>
      </c>
      <c r="Z187" s="15">
        <v>0.64300000000000002</v>
      </c>
      <c r="AA187" s="15">
        <v>0.76</v>
      </c>
      <c r="AB187" s="15">
        <v>0.84899999999999998</v>
      </c>
      <c r="AC187" s="3">
        <f t="shared" si="33"/>
        <v>0.58118670438139486</v>
      </c>
      <c r="AD187" s="3">
        <f t="shared" si="34"/>
        <v>0.66470016677444232</v>
      </c>
      <c r="AE187" s="3">
        <f t="shared" si="35"/>
        <v>0.664214015833823</v>
      </c>
      <c r="AF187" s="3">
        <f t="shared" si="36"/>
        <v>0.59412859702248655</v>
      </c>
    </row>
    <row r="188" spans="1:32" x14ac:dyDescent="0.2">
      <c r="A188" s="30">
        <v>186</v>
      </c>
      <c r="B188" s="9" t="s">
        <v>1003</v>
      </c>
      <c r="C188" s="12">
        <v>68122</v>
      </c>
      <c r="D188" s="13" t="s">
        <v>187</v>
      </c>
      <c r="E188" s="17">
        <v>10.992223686299999</v>
      </c>
      <c r="F188" s="17">
        <v>59.160347379500003</v>
      </c>
      <c r="G188" s="14">
        <v>40</v>
      </c>
      <c r="H188" s="17">
        <v>7.74</v>
      </c>
      <c r="I188" s="17">
        <v>8.1300000000000008</v>
      </c>
      <c r="J188" s="17">
        <v>10.119999999999999</v>
      </c>
      <c r="K188" s="17">
        <v>12.25</v>
      </c>
      <c r="L188" s="17">
        <v>13.03</v>
      </c>
      <c r="M188" s="17">
        <f t="shared" si="28"/>
        <v>0.39000000000000057</v>
      </c>
      <c r="N188" s="17">
        <f t="shared" si="29"/>
        <v>2.379999999999999</v>
      </c>
      <c r="O188" s="17">
        <f t="shared" si="30"/>
        <v>4.51</v>
      </c>
      <c r="P188" s="17">
        <f t="shared" si="31"/>
        <v>5.2899999999999991</v>
      </c>
      <c r="Q188" s="17">
        <f t="shared" si="32"/>
        <v>-0.57400191067858808</v>
      </c>
      <c r="R188" s="17">
        <f t="shared" si="25"/>
        <v>0.38672578101806981</v>
      </c>
      <c r="S188" s="17">
        <f t="shared" si="26"/>
        <v>1.1967876111010263</v>
      </c>
      <c r="T188" s="17">
        <f t="shared" si="27"/>
        <v>0.55986293326623715</v>
      </c>
      <c r="U188" s="16">
        <v>0</v>
      </c>
      <c r="V188" s="16">
        <v>0</v>
      </c>
      <c r="W188" s="16">
        <v>1</v>
      </c>
      <c r="X188" s="16">
        <v>3</v>
      </c>
      <c r="Y188" s="15">
        <v>0.1255</v>
      </c>
      <c r="Z188" s="15">
        <v>0.24324999999999999</v>
      </c>
      <c r="AA188" s="15">
        <v>0.33150000000000002</v>
      </c>
      <c r="AB188" s="15">
        <v>0.44350000000000001</v>
      </c>
      <c r="AC188" s="3">
        <f t="shared" si="33"/>
        <v>-2.9903346172204865</v>
      </c>
      <c r="AD188" s="3">
        <f t="shared" si="34"/>
        <v>-2.9224223037533914</v>
      </c>
      <c r="AE188" s="3">
        <f t="shared" si="35"/>
        <v>-2.8637327781336599</v>
      </c>
      <c r="AF188" s="3">
        <f t="shared" si="36"/>
        <v>-2.7368730520048876</v>
      </c>
    </row>
    <row r="189" spans="1:32" x14ac:dyDescent="0.2">
      <c r="A189" s="30">
        <v>187</v>
      </c>
      <c r="B189" s="9" t="s">
        <v>1004</v>
      </c>
      <c r="C189" s="12">
        <v>68123</v>
      </c>
      <c r="D189" s="13" t="s">
        <v>188</v>
      </c>
      <c r="E189" s="17">
        <v>10.7393836604</v>
      </c>
      <c r="F189" s="17">
        <v>59.331536434299998</v>
      </c>
      <c r="G189" s="14">
        <v>8</v>
      </c>
      <c r="H189" s="17">
        <v>6.93</v>
      </c>
      <c r="I189" s="17">
        <v>7.39</v>
      </c>
      <c r="J189" s="17">
        <v>9.4600000000000009</v>
      </c>
      <c r="K189" s="17">
        <v>11.62</v>
      </c>
      <c r="L189" s="17">
        <v>12.5</v>
      </c>
      <c r="M189" s="17">
        <f t="shared" si="28"/>
        <v>0.45999999999999996</v>
      </c>
      <c r="N189" s="17">
        <f t="shared" si="29"/>
        <v>2.5300000000000011</v>
      </c>
      <c r="O189" s="17">
        <f t="shared" si="30"/>
        <v>4.6899999999999995</v>
      </c>
      <c r="P189" s="17">
        <f t="shared" si="31"/>
        <v>5.57</v>
      </c>
      <c r="Q189" s="17">
        <f t="shared" si="32"/>
        <v>-0.48871604295493276</v>
      </c>
      <c r="R189" s="17">
        <f t="shared" si="25"/>
        <v>0.59790467888225773</v>
      </c>
      <c r="S189" s="17">
        <f t="shared" si="26"/>
        <v>1.4058134001559028</v>
      </c>
      <c r="T189" s="17">
        <f t="shared" si="27"/>
        <v>0.84327198511450485</v>
      </c>
      <c r="U189" s="16">
        <v>0</v>
      </c>
      <c r="V189" s="16">
        <v>1</v>
      </c>
      <c r="W189" s="16">
        <v>2</v>
      </c>
      <c r="X189" s="16">
        <v>3</v>
      </c>
      <c r="Y189" s="15">
        <v>0.1255</v>
      </c>
      <c r="Z189" s="15">
        <v>0.24324999999999999</v>
      </c>
      <c r="AA189" s="15">
        <v>0.33150000000000002</v>
      </c>
      <c r="AB189" s="15">
        <v>0.44350000000000001</v>
      </c>
      <c r="AC189" s="3">
        <f t="shared" si="33"/>
        <v>-2.9903346172204865</v>
      </c>
      <c r="AD189" s="3">
        <f t="shared" si="34"/>
        <v>-2.9224223037533914</v>
      </c>
      <c r="AE189" s="3">
        <f t="shared" si="35"/>
        <v>-2.8637327781336599</v>
      </c>
      <c r="AF189" s="3">
        <f t="shared" si="36"/>
        <v>-2.7368730520048876</v>
      </c>
    </row>
    <row r="190" spans="1:32" x14ac:dyDescent="0.2">
      <c r="A190" s="30">
        <v>188</v>
      </c>
      <c r="B190" s="9" t="s">
        <v>1005</v>
      </c>
      <c r="C190" s="12">
        <v>68125</v>
      </c>
      <c r="D190" s="13" t="s">
        <v>189</v>
      </c>
      <c r="E190" s="17">
        <v>10.4080482641</v>
      </c>
      <c r="F190" s="17">
        <v>59.270886676000003</v>
      </c>
      <c r="G190" s="14">
        <v>6</v>
      </c>
      <c r="H190" s="17">
        <v>6.9</v>
      </c>
      <c r="I190" s="17">
        <v>7.34</v>
      </c>
      <c r="J190" s="17">
        <v>9.4</v>
      </c>
      <c r="K190" s="17">
        <v>11.54</v>
      </c>
      <c r="L190" s="17">
        <v>12.43</v>
      </c>
      <c r="M190" s="17">
        <f t="shared" si="28"/>
        <v>0.4399999999999995</v>
      </c>
      <c r="N190" s="17">
        <f t="shared" si="29"/>
        <v>2.5</v>
      </c>
      <c r="O190" s="17">
        <f t="shared" si="30"/>
        <v>4.6399999999999988</v>
      </c>
      <c r="P190" s="17">
        <f t="shared" si="31"/>
        <v>5.5299999999999994</v>
      </c>
      <c r="Q190" s="17">
        <f t="shared" si="32"/>
        <v>-0.51308343373312082</v>
      </c>
      <c r="R190" s="17">
        <f t="shared" si="25"/>
        <v>0.5556688993094191</v>
      </c>
      <c r="S190" s="17">
        <f t="shared" si="26"/>
        <v>1.3477506809739916</v>
      </c>
      <c r="T190" s="17">
        <f t="shared" si="27"/>
        <v>0.8027849777076087</v>
      </c>
      <c r="U190" s="16">
        <v>0</v>
      </c>
      <c r="V190" s="16">
        <v>0</v>
      </c>
      <c r="W190" s="16">
        <v>0</v>
      </c>
      <c r="X190" s="16">
        <v>0</v>
      </c>
      <c r="Y190" s="15">
        <v>0.187</v>
      </c>
      <c r="Z190" s="15">
        <v>0.30366666666699998</v>
      </c>
      <c r="AA190" s="15">
        <v>0.39133333333300002</v>
      </c>
      <c r="AB190" s="15">
        <v>0.50333333333300001</v>
      </c>
      <c r="AC190" s="3">
        <f t="shared" si="33"/>
        <v>-2.4220330356460602</v>
      </c>
      <c r="AD190" s="3">
        <f t="shared" si="34"/>
        <v>-2.3802785073917008</v>
      </c>
      <c r="AE190" s="3">
        <f t="shared" si="35"/>
        <v>-2.3711101025104506</v>
      </c>
      <c r="AF190" s="3">
        <f t="shared" si="36"/>
        <v>-2.2453689040418108</v>
      </c>
    </row>
    <row r="191" spans="1:32" x14ac:dyDescent="0.2">
      <c r="A191" s="30">
        <v>189</v>
      </c>
      <c r="B191" s="9" t="s">
        <v>1006</v>
      </c>
      <c r="C191" s="12">
        <v>68126</v>
      </c>
      <c r="D191" s="13" t="s">
        <v>190</v>
      </c>
      <c r="E191" s="17">
        <v>5.5057519853199999</v>
      </c>
      <c r="F191" s="17">
        <v>58.881027649799996</v>
      </c>
      <c r="G191" s="14">
        <v>336</v>
      </c>
      <c r="H191" s="17">
        <v>7.1</v>
      </c>
      <c r="I191" s="17">
        <v>7.65</v>
      </c>
      <c r="J191" s="17">
        <v>9.27</v>
      </c>
      <c r="K191" s="17">
        <v>11.29</v>
      </c>
      <c r="L191" s="17">
        <v>12.17</v>
      </c>
      <c r="M191" s="17">
        <f t="shared" si="28"/>
        <v>0.55000000000000071</v>
      </c>
      <c r="N191" s="17">
        <f t="shared" si="29"/>
        <v>2.17</v>
      </c>
      <c r="O191" s="17">
        <f t="shared" si="30"/>
        <v>4.1899999999999995</v>
      </c>
      <c r="P191" s="17">
        <f t="shared" si="31"/>
        <v>5.07</v>
      </c>
      <c r="Q191" s="17">
        <f t="shared" si="32"/>
        <v>-0.37906278445308839</v>
      </c>
      <c r="R191" s="17">
        <f t="shared" si="25"/>
        <v>9.1075324008212236E-2</v>
      </c>
      <c r="S191" s="17">
        <f t="shared" si="26"/>
        <v>0.82518620833680068</v>
      </c>
      <c r="T191" s="17">
        <f t="shared" si="27"/>
        <v>0.3371843925283145</v>
      </c>
      <c r="U191" s="16">
        <v>0</v>
      </c>
      <c r="V191" s="16">
        <v>0</v>
      </c>
      <c r="W191" s="16">
        <v>0</v>
      </c>
      <c r="X191" s="16">
        <v>0</v>
      </c>
      <c r="Y191" s="15">
        <v>0.35649999999999998</v>
      </c>
      <c r="Z191" s="15">
        <v>0.47499999999999998</v>
      </c>
      <c r="AA191" s="15">
        <v>0.56850000000000001</v>
      </c>
      <c r="AB191" s="15">
        <v>0.67500000000000004</v>
      </c>
      <c r="AC191" s="3">
        <f t="shared" si="33"/>
        <v>-0.85573843277020312</v>
      </c>
      <c r="AD191" s="3">
        <f t="shared" si="34"/>
        <v>-0.84283347937609199</v>
      </c>
      <c r="AE191" s="3">
        <f t="shared" si="35"/>
        <v>-0.91245298777124817</v>
      </c>
      <c r="AF191" s="3">
        <f t="shared" si="36"/>
        <v>-0.83520379984745896</v>
      </c>
    </row>
    <row r="192" spans="1:32" x14ac:dyDescent="0.2">
      <c r="A192" s="30">
        <v>190</v>
      </c>
      <c r="B192" s="9" t="s">
        <v>793</v>
      </c>
      <c r="C192" s="12">
        <v>68135</v>
      </c>
      <c r="D192" s="13" t="s">
        <v>191</v>
      </c>
      <c r="E192" s="17">
        <v>-82.429036711699993</v>
      </c>
      <c r="F192" s="17">
        <v>9.4384464673899995</v>
      </c>
      <c r="G192" s="14">
        <v>138</v>
      </c>
      <c r="H192" s="17">
        <v>19.84</v>
      </c>
      <c r="I192" s="17">
        <v>20.63</v>
      </c>
      <c r="J192" s="17">
        <v>21.9</v>
      </c>
      <c r="K192" s="17">
        <v>23.01</v>
      </c>
      <c r="L192" s="17">
        <v>24.36</v>
      </c>
      <c r="M192" s="17">
        <f t="shared" si="28"/>
        <v>0.78999999999999915</v>
      </c>
      <c r="N192" s="17">
        <f t="shared" si="29"/>
        <v>2.0599999999999987</v>
      </c>
      <c r="O192" s="17">
        <f t="shared" si="30"/>
        <v>3.1700000000000017</v>
      </c>
      <c r="P192" s="17">
        <f t="shared" si="31"/>
        <v>4.5199999999999996</v>
      </c>
      <c r="Q192" s="17">
        <f t="shared" si="32"/>
        <v>-8.6654095114840957E-2</v>
      </c>
      <c r="R192" s="17">
        <f t="shared" si="25"/>
        <v>-6.378920109219173E-2</v>
      </c>
      <c r="S192" s="17">
        <f t="shared" si="26"/>
        <v>-0.35929326297416492</v>
      </c>
      <c r="T192" s="17">
        <f t="shared" si="27"/>
        <v>-0.21951195931649556</v>
      </c>
      <c r="U192" s="16">
        <v>2</v>
      </c>
      <c r="V192" s="16">
        <v>2</v>
      </c>
      <c r="W192" s="16">
        <v>2</v>
      </c>
      <c r="X192" s="16">
        <v>3</v>
      </c>
      <c r="Y192" s="15">
        <v>0.49199999999999999</v>
      </c>
      <c r="Z192" s="15">
        <v>0.61899999999999999</v>
      </c>
      <c r="AA192" s="15">
        <v>0.746</v>
      </c>
      <c r="AB192" s="15">
        <v>0.83499999999999996</v>
      </c>
      <c r="AC192" s="3">
        <f t="shared" si="33"/>
        <v>0.39637318191816673</v>
      </c>
      <c r="AD192" s="3">
        <f t="shared" si="34"/>
        <v>0.44933821732436585</v>
      </c>
      <c r="AE192" s="3">
        <f t="shared" si="35"/>
        <v>0.5489485429854104</v>
      </c>
      <c r="AF192" s="3">
        <f t="shared" si="36"/>
        <v>0.47912484095249075</v>
      </c>
    </row>
    <row r="193" spans="1:32" x14ac:dyDescent="0.2">
      <c r="A193" s="30">
        <v>191</v>
      </c>
      <c r="B193" s="9" t="s">
        <v>1307</v>
      </c>
      <c r="C193" s="12">
        <v>68136</v>
      </c>
      <c r="D193" s="13" t="s">
        <v>192</v>
      </c>
      <c r="E193" s="17">
        <v>141.546354987</v>
      </c>
      <c r="F193" s="17">
        <v>-8.9668549497899992</v>
      </c>
      <c r="G193" s="14">
        <v>348</v>
      </c>
      <c r="H193" s="17">
        <v>25.54</v>
      </c>
      <c r="I193" s="17">
        <v>26.19</v>
      </c>
      <c r="J193" s="17">
        <v>27.8</v>
      </c>
      <c r="K193" s="17">
        <v>28.66</v>
      </c>
      <c r="L193" s="17">
        <v>29.48</v>
      </c>
      <c r="M193" s="17">
        <f t="shared" si="28"/>
        <v>0.65000000000000213</v>
      </c>
      <c r="N193" s="17">
        <f t="shared" si="29"/>
        <v>2.2600000000000016</v>
      </c>
      <c r="O193" s="17">
        <f t="shared" si="30"/>
        <v>3.120000000000001</v>
      </c>
      <c r="P193" s="17">
        <f t="shared" si="31"/>
        <v>3.9400000000000013</v>
      </c>
      <c r="Q193" s="17">
        <f t="shared" si="32"/>
        <v>-0.25722583056214943</v>
      </c>
      <c r="R193" s="17">
        <f t="shared" si="25"/>
        <v>0.21778266272672547</v>
      </c>
      <c r="S193" s="17">
        <f t="shared" si="26"/>
        <v>-0.41735598215607594</v>
      </c>
      <c r="T193" s="17">
        <f t="shared" si="27"/>
        <v>-0.80657356671647462</v>
      </c>
      <c r="U193" s="16">
        <v>0</v>
      </c>
      <c r="V193" s="16">
        <v>0</v>
      </c>
      <c r="W193" s="16">
        <v>0</v>
      </c>
      <c r="X193" s="16">
        <v>0</v>
      </c>
      <c r="Y193" s="15">
        <v>0.22500000000000001</v>
      </c>
      <c r="Z193" s="15">
        <v>0.33800000000000002</v>
      </c>
      <c r="AA193" s="15">
        <v>0.46400000000000002</v>
      </c>
      <c r="AB193" s="15">
        <v>0.57499999999999996</v>
      </c>
      <c r="AC193" s="3">
        <f t="shared" si="33"/>
        <v>-2.0708873429659271</v>
      </c>
      <c r="AD193" s="3">
        <f t="shared" si="34"/>
        <v>-2.0721912741536106</v>
      </c>
      <c r="AE193" s="3">
        <f t="shared" si="35"/>
        <v>-1.7728274101040415</v>
      </c>
      <c r="AF193" s="3">
        <f t="shared" si="36"/>
        <v>-1.6566592003474288</v>
      </c>
    </row>
    <row r="194" spans="1:32" x14ac:dyDescent="0.2">
      <c r="A194" s="30">
        <v>192</v>
      </c>
      <c r="B194" s="9" t="s">
        <v>794</v>
      </c>
      <c r="C194" s="12">
        <v>68137</v>
      </c>
      <c r="D194" s="13" t="s">
        <v>193</v>
      </c>
      <c r="E194" s="17">
        <v>-76.280753304699999</v>
      </c>
      <c r="F194" s="17">
        <v>-14.153175897700001</v>
      </c>
      <c r="G194" s="14">
        <v>2364</v>
      </c>
      <c r="H194" s="17">
        <v>21.1</v>
      </c>
      <c r="I194" s="17">
        <v>21.21</v>
      </c>
      <c r="J194" s="17">
        <v>22.85</v>
      </c>
      <c r="K194" s="17">
        <v>24.62</v>
      </c>
      <c r="L194" s="17">
        <v>24.81</v>
      </c>
      <c r="M194" s="17">
        <f t="shared" si="28"/>
        <v>0.10999999999999943</v>
      </c>
      <c r="N194" s="17">
        <f t="shared" si="29"/>
        <v>1.75</v>
      </c>
      <c r="O194" s="17">
        <f t="shared" si="30"/>
        <v>3.5199999999999996</v>
      </c>
      <c r="P194" s="17">
        <f t="shared" si="31"/>
        <v>3.7099999999999973</v>
      </c>
      <c r="Q194" s="17">
        <f t="shared" si="32"/>
        <v>-0.91514538157321368</v>
      </c>
      <c r="R194" s="17">
        <f t="shared" si="25"/>
        <v>-0.50022559001150546</v>
      </c>
      <c r="S194" s="17">
        <f t="shared" si="26"/>
        <v>4.7145771299204053E-2</v>
      </c>
      <c r="T194" s="17">
        <f t="shared" si="27"/>
        <v>-1.0393738593061261</v>
      </c>
      <c r="U194" s="16">
        <v>3</v>
      </c>
      <c r="V194" s="16">
        <v>3</v>
      </c>
      <c r="W194" s="16">
        <v>3</v>
      </c>
      <c r="X194" s="16">
        <v>3</v>
      </c>
      <c r="Y194" s="15">
        <v>0.376</v>
      </c>
      <c r="Z194" s="15">
        <v>0.48699999999999999</v>
      </c>
      <c r="AA194" s="15">
        <v>0.625</v>
      </c>
      <c r="AB194" s="15">
        <v>0.69599999999999995</v>
      </c>
      <c r="AC194" s="3">
        <f t="shared" si="33"/>
        <v>-0.67554524836855567</v>
      </c>
      <c r="AD194" s="3">
        <f t="shared" si="34"/>
        <v>-0.73515250465105375</v>
      </c>
      <c r="AE194" s="3">
        <f t="shared" si="35"/>
        <v>-0.44727447234729772</v>
      </c>
      <c r="AF194" s="3">
        <f t="shared" si="36"/>
        <v>-0.66269816574246632</v>
      </c>
    </row>
    <row r="195" spans="1:32" x14ac:dyDescent="0.2">
      <c r="A195" s="30">
        <v>193</v>
      </c>
      <c r="B195" s="9" t="s">
        <v>1429</v>
      </c>
      <c r="C195" s="12">
        <v>68139</v>
      </c>
      <c r="D195" s="13" t="s">
        <v>194</v>
      </c>
      <c r="E195" s="17">
        <v>-71.861314201100001</v>
      </c>
      <c r="F195" s="17">
        <v>-17.1479870191</v>
      </c>
      <c r="G195" s="14">
        <v>3</v>
      </c>
      <c r="H195" s="17">
        <v>20.99</v>
      </c>
      <c r="I195" s="17">
        <v>21.73</v>
      </c>
      <c r="J195" s="17">
        <v>23.17</v>
      </c>
      <c r="K195" s="17">
        <v>24.79</v>
      </c>
      <c r="L195" s="17">
        <v>24.88</v>
      </c>
      <c r="M195" s="17">
        <f t="shared" si="28"/>
        <v>0.74000000000000199</v>
      </c>
      <c r="N195" s="17">
        <f t="shared" si="29"/>
        <v>2.1800000000000033</v>
      </c>
      <c r="O195" s="17">
        <f t="shared" si="30"/>
        <v>3.8000000000000007</v>
      </c>
      <c r="P195" s="17">
        <f t="shared" si="31"/>
        <v>3.8900000000000006</v>
      </c>
      <c r="Q195" s="17">
        <f t="shared" si="32"/>
        <v>-0.14757257206030611</v>
      </c>
      <c r="R195" s="17">
        <f t="shared" ref="R195:R258" si="37">(N195-N$764)/N$767</f>
        <v>0.1051539171991626</v>
      </c>
      <c r="S195" s="17">
        <f t="shared" ref="S195:S258" si="38">(O195-O$764)/O$767</f>
        <v>0.37229699871790251</v>
      </c>
      <c r="T195" s="17">
        <f t="shared" ref="T195:T258" si="39">(P195-P$764)/P$767</f>
        <v>-0.85718232597509436</v>
      </c>
      <c r="U195" s="16">
        <v>0</v>
      </c>
      <c r="V195" s="16">
        <v>0</v>
      </c>
      <c r="W195" s="16">
        <v>0</v>
      </c>
      <c r="X195" s="16">
        <v>0</v>
      </c>
      <c r="Y195" s="15">
        <v>0.33500000000000002</v>
      </c>
      <c r="Z195" s="15">
        <v>0.44500000000000001</v>
      </c>
      <c r="AA195" s="15">
        <v>0.57899999999999996</v>
      </c>
      <c r="AB195" s="15">
        <v>0.64800000000000002</v>
      </c>
      <c r="AC195" s="3">
        <f t="shared" si="33"/>
        <v>-1.054412969418173</v>
      </c>
      <c r="AD195" s="3">
        <f t="shared" si="34"/>
        <v>-1.112035916188687</v>
      </c>
      <c r="AE195" s="3">
        <f t="shared" si="35"/>
        <v>-0.82600388313493922</v>
      </c>
      <c r="AF195" s="3">
        <f t="shared" si="36"/>
        <v>-1.0569967579824509</v>
      </c>
    </row>
    <row r="196" spans="1:32" x14ac:dyDescent="0.2">
      <c r="A196" s="30">
        <v>194</v>
      </c>
      <c r="B196" s="9" t="s">
        <v>1430</v>
      </c>
      <c r="C196" s="12">
        <v>68145</v>
      </c>
      <c r="D196" s="13" t="s">
        <v>195</v>
      </c>
      <c r="E196" s="17">
        <v>-8.9857363332099993</v>
      </c>
      <c r="F196" s="17">
        <v>38.831090558900001</v>
      </c>
      <c r="G196" s="14">
        <v>154</v>
      </c>
      <c r="H196" s="17">
        <v>16.12</v>
      </c>
      <c r="I196" s="17">
        <v>16.05</v>
      </c>
      <c r="J196" s="17">
        <v>17.05</v>
      </c>
      <c r="K196" s="17">
        <v>17.5</v>
      </c>
      <c r="L196" s="17">
        <v>19.27</v>
      </c>
      <c r="M196" s="17">
        <f t="shared" ref="M196:M259" si="40">I196-H196</f>
        <v>-7.0000000000000284E-2</v>
      </c>
      <c r="N196" s="17">
        <f t="shared" ref="N196:N259" si="41">J196-H196</f>
        <v>0.92999999999999972</v>
      </c>
      <c r="O196" s="17">
        <f t="shared" ref="O196:O259" si="42">K196-H196</f>
        <v>1.379999999999999</v>
      </c>
      <c r="P196" s="17">
        <f t="shared" ref="P196:P259" si="43">L196-H196</f>
        <v>3.1499999999999986</v>
      </c>
      <c r="Q196" s="17">
        <f t="shared" ref="Q196:Q259" si="44">(M196-M$764)/M$767</f>
        <v>-1.1344518985769003</v>
      </c>
      <c r="R196" s="17">
        <f t="shared" si="37"/>
        <v>-1.65467023166905</v>
      </c>
      <c r="S196" s="17">
        <f t="shared" si="38"/>
        <v>-2.4379386096865532</v>
      </c>
      <c r="T196" s="17">
        <f t="shared" si="39"/>
        <v>-1.606191963002658</v>
      </c>
      <c r="U196" s="16">
        <v>15</v>
      </c>
      <c r="V196" s="16">
        <v>15</v>
      </c>
      <c r="W196" s="16">
        <v>21</v>
      </c>
      <c r="X196" s="16">
        <v>21</v>
      </c>
      <c r="Y196" s="15">
        <v>0.46400000000000002</v>
      </c>
      <c r="Z196" s="15">
        <v>0.58199999999999996</v>
      </c>
      <c r="AA196" s="15">
        <v>0.68899999999999995</v>
      </c>
      <c r="AB196" s="15">
        <v>0.78300000000000003</v>
      </c>
      <c r="AC196" s="3">
        <f t="shared" ref="AC196:AC259" si="45">(Y196-Y$764)/Y$767</f>
        <v>0.13763425046964778</v>
      </c>
      <c r="AD196" s="3">
        <f t="shared" ref="AD196:AD259" si="46">(Z196-Z$764)/Z$767</f>
        <v>0.11732187858883128</v>
      </c>
      <c r="AE196" s="3">
        <f t="shared" ref="AE196:AE259" si="47">(AA196-AA$764)/AA$767</f>
        <v>7.9653403531159003E-2</v>
      </c>
      <c r="AF196" s="3">
        <f t="shared" ref="AF196:AF259" si="48">(AB196-AB$764)/AB$767</f>
        <v>5.1968032692507403E-2</v>
      </c>
    </row>
    <row r="197" spans="1:32" x14ac:dyDescent="0.2">
      <c r="A197" s="30">
        <v>195</v>
      </c>
      <c r="B197" s="9" t="s">
        <v>1007</v>
      </c>
      <c r="C197" s="12">
        <v>68146</v>
      </c>
      <c r="D197" s="13" t="s">
        <v>196</v>
      </c>
      <c r="E197" s="17">
        <v>-7.8135816782700003</v>
      </c>
      <c r="F197" s="17">
        <v>37.030756310500003</v>
      </c>
      <c r="G197" s="14">
        <v>219</v>
      </c>
      <c r="H197" s="17">
        <v>16.989999999999998</v>
      </c>
      <c r="I197" s="17">
        <v>17.36</v>
      </c>
      <c r="J197" s="17">
        <v>18.38</v>
      </c>
      <c r="K197" s="17">
        <v>19.260000000000002</v>
      </c>
      <c r="L197" s="17">
        <v>20.66</v>
      </c>
      <c r="M197" s="17">
        <f t="shared" si="40"/>
        <v>0.37000000000000099</v>
      </c>
      <c r="N197" s="17">
        <f t="shared" si="41"/>
        <v>1.3900000000000006</v>
      </c>
      <c r="O197" s="17">
        <f t="shared" si="42"/>
        <v>2.2700000000000031</v>
      </c>
      <c r="P197" s="17">
        <f t="shared" si="43"/>
        <v>3.6700000000000017</v>
      </c>
      <c r="Q197" s="17">
        <f t="shared" si="44"/>
        <v>-0.59836930145677503</v>
      </c>
      <c r="R197" s="17">
        <f t="shared" si="37"/>
        <v>-1.0070549448855484</v>
      </c>
      <c r="S197" s="17">
        <f t="shared" si="38"/>
        <v>-1.4044222082485469</v>
      </c>
      <c r="T197" s="17">
        <f t="shared" si="39"/>
        <v>-1.079860866713017</v>
      </c>
      <c r="U197" s="16">
        <v>20</v>
      </c>
      <c r="V197" s="16">
        <v>30</v>
      </c>
      <c r="W197" s="16">
        <v>37</v>
      </c>
      <c r="X197" s="16">
        <v>41</v>
      </c>
      <c r="Y197" s="15">
        <v>0.46400000000000002</v>
      </c>
      <c r="Z197" s="15">
        <v>0.58199999999999996</v>
      </c>
      <c r="AA197" s="15">
        <v>0.69399999999999995</v>
      </c>
      <c r="AB197" s="15">
        <v>0.78600000000000003</v>
      </c>
      <c r="AC197" s="3">
        <f t="shared" si="45"/>
        <v>0.13763425046964778</v>
      </c>
      <c r="AD197" s="3">
        <f t="shared" si="46"/>
        <v>0.11732187858883128</v>
      </c>
      <c r="AE197" s="3">
        <f t="shared" si="47"/>
        <v>0.12081964383416352</v>
      </c>
      <c r="AF197" s="3">
        <f t="shared" si="48"/>
        <v>7.6611694707506492E-2</v>
      </c>
    </row>
    <row r="198" spans="1:32" x14ac:dyDescent="0.2">
      <c r="A198" s="30">
        <v>196</v>
      </c>
      <c r="B198" s="9" t="s">
        <v>1008</v>
      </c>
      <c r="C198" s="12">
        <v>68151</v>
      </c>
      <c r="D198" s="13" t="s">
        <v>197</v>
      </c>
      <c r="E198" s="17">
        <v>-16.2418008856</v>
      </c>
      <c r="F198" s="17">
        <v>16.405989796699998</v>
      </c>
      <c r="G198" s="14">
        <v>94</v>
      </c>
      <c r="H198" s="17">
        <v>23.36</v>
      </c>
      <c r="I198" s="17">
        <v>24.32</v>
      </c>
      <c r="J198" s="17">
        <v>25.23</v>
      </c>
      <c r="K198" s="17">
        <v>25.28</v>
      </c>
      <c r="L198" s="17">
        <v>26.44</v>
      </c>
      <c r="M198" s="17">
        <f t="shared" si="40"/>
        <v>0.96000000000000085</v>
      </c>
      <c r="N198" s="17">
        <f t="shared" si="41"/>
        <v>1.870000000000001</v>
      </c>
      <c r="O198" s="17">
        <f t="shared" si="42"/>
        <v>1.9200000000000017</v>
      </c>
      <c r="P198" s="17">
        <f t="shared" si="43"/>
        <v>3.0800000000000018</v>
      </c>
      <c r="Q198" s="17">
        <f t="shared" si="44"/>
        <v>0.12046872649975437</v>
      </c>
      <c r="R198" s="17">
        <f t="shared" si="37"/>
        <v>-0.33128247172015607</v>
      </c>
      <c r="S198" s="17">
        <f t="shared" si="38"/>
        <v>-1.8108612425219199</v>
      </c>
      <c r="T198" s="17">
        <f t="shared" si="39"/>
        <v>-1.6770442259647214</v>
      </c>
      <c r="U198" s="16">
        <v>3</v>
      </c>
      <c r="V198" s="16">
        <v>8</v>
      </c>
      <c r="W198" s="16">
        <v>18</v>
      </c>
      <c r="X198" s="16">
        <v>27</v>
      </c>
      <c r="Y198" s="15">
        <v>0.45</v>
      </c>
      <c r="Z198" s="15">
        <v>0.57199999999999995</v>
      </c>
      <c r="AA198" s="15">
        <v>0.68400000000000005</v>
      </c>
      <c r="AB198" s="15">
        <v>0.77600000000000002</v>
      </c>
      <c r="AC198" s="3">
        <f t="shared" si="45"/>
        <v>8.2647847453880714E-3</v>
      </c>
      <c r="AD198" s="3">
        <f t="shared" si="46"/>
        <v>2.7587732984632744E-2</v>
      </c>
      <c r="AE198" s="3">
        <f t="shared" si="47"/>
        <v>3.8487163228155416E-2</v>
      </c>
      <c r="AF198" s="3">
        <f t="shared" si="48"/>
        <v>-5.5338453424904786E-3</v>
      </c>
    </row>
    <row r="199" spans="1:32" x14ac:dyDescent="0.2">
      <c r="A199" s="30">
        <v>197</v>
      </c>
      <c r="B199" s="9" t="s">
        <v>1009</v>
      </c>
      <c r="C199" s="12">
        <v>68154</v>
      </c>
      <c r="D199" s="13" t="s">
        <v>198</v>
      </c>
      <c r="E199" s="17">
        <v>-16.465344072000001</v>
      </c>
      <c r="F199" s="17">
        <v>15.922770810999999</v>
      </c>
      <c r="G199" s="14">
        <v>7</v>
      </c>
      <c r="H199" s="17">
        <v>23.38</v>
      </c>
      <c r="I199" s="17">
        <v>24.24</v>
      </c>
      <c r="J199" s="17">
        <v>25.06</v>
      </c>
      <c r="K199" s="17">
        <v>25.1</v>
      </c>
      <c r="L199" s="17">
        <v>26.27</v>
      </c>
      <c r="M199" s="17">
        <f t="shared" si="40"/>
        <v>0.85999999999999943</v>
      </c>
      <c r="N199" s="17">
        <f t="shared" si="41"/>
        <v>1.6799999999999997</v>
      </c>
      <c r="O199" s="17">
        <f t="shared" si="42"/>
        <v>1.7200000000000024</v>
      </c>
      <c r="P199" s="17">
        <f t="shared" si="43"/>
        <v>2.8900000000000006</v>
      </c>
      <c r="Q199" s="17">
        <f t="shared" si="44"/>
        <v>-1.3682273911845646E-3</v>
      </c>
      <c r="R199" s="17">
        <f t="shared" si="37"/>
        <v>-0.59877574234812547</v>
      </c>
      <c r="S199" s="17">
        <f t="shared" si="38"/>
        <v>-2.0431121192495598</v>
      </c>
      <c r="T199" s="17">
        <f t="shared" si="39"/>
        <v>-1.8693575111474749</v>
      </c>
      <c r="U199" s="16">
        <v>1</v>
      </c>
      <c r="V199" s="16">
        <v>3</v>
      </c>
      <c r="W199" s="16">
        <v>3</v>
      </c>
      <c r="X199" s="16">
        <v>3</v>
      </c>
      <c r="Y199" s="15">
        <v>0.45</v>
      </c>
      <c r="Z199" s="15">
        <v>0.57199999999999995</v>
      </c>
      <c r="AA199" s="15">
        <v>0.68400000000000005</v>
      </c>
      <c r="AB199" s="15">
        <v>0.77600000000000002</v>
      </c>
      <c r="AC199" s="3">
        <f t="shared" si="45"/>
        <v>8.2647847453880714E-3</v>
      </c>
      <c r="AD199" s="3">
        <f t="shared" si="46"/>
        <v>2.7587732984632744E-2</v>
      </c>
      <c r="AE199" s="3">
        <f t="shared" si="47"/>
        <v>3.8487163228155416E-2</v>
      </c>
      <c r="AF199" s="3">
        <f t="shared" si="48"/>
        <v>-5.5338453424904786E-3</v>
      </c>
    </row>
    <row r="200" spans="1:32" x14ac:dyDescent="0.2">
      <c r="A200" s="30">
        <v>198</v>
      </c>
      <c r="B200" s="9" t="s">
        <v>1010</v>
      </c>
      <c r="C200" s="12">
        <v>68165</v>
      </c>
      <c r="D200" s="13" t="s">
        <v>199</v>
      </c>
      <c r="E200" s="17">
        <v>20.1094598066</v>
      </c>
      <c r="F200" s="17">
        <v>-34.714975309300002</v>
      </c>
      <c r="G200" s="14">
        <v>16</v>
      </c>
      <c r="H200" s="17">
        <v>16.64</v>
      </c>
      <c r="I200" s="17">
        <v>18.059999999999999</v>
      </c>
      <c r="J200" s="17">
        <v>18.71</v>
      </c>
      <c r="K200" s="17">
        <v>19.75</v>
      </c>
      <c r="L200" s="17">
        <v>20.39</v>
      </c>
      <c r="M200" s="17">
        <f t="shared" si="40"/>
        <v>1.4199999999999982</v>
      </c>
      <c r="N200" s="17">
        <f t="shared" si="41"/>
        <v>2.0700000000000003</v>
      </c>
      <c r="O200" s="17">
        <f t="shared" si="42"/>
        <v>3.1099999999999994</v>
      </c>
      <c r="P200" s="17">
        <f t="shared" si="43"/>
        <v>3.75</v>
      </c>
      <c r="Q200" s="17">
        <f t="shared" si="44"/>
        <v>0.68091871439806229</v>
      </c>
      <c r="R200" s="17">
        <f t="shared" si="37"/>
        <v>-4.9710607901243875E-2</v>
      </c>
      <c r="S200" s="17">
        <f t="shared" si="38"/>
        <v>-0.42896852599245977</v>
      </c>
      <c r="T200" s="17">
        <f t="shared" si="39"/>
        <v>-0.99888685189922821</v>
      </c>
      <c r="U200" s="16">
        <v>7</v>
      </c>
      <c r="V200" s="16">
        <v>7</v>
      </c>
      <c r="W200" s="16">
        <v>7</v>
      </c>
      <c r="X200" s="16">
        <v>7</v>
      </c>
      <c r="Y200" s="15">
        <v>0.48499999999999999</v>
      </c>
      <c r="Z200" s="15">
        <v>0.61299999999999999</v>
      </c>
      <c r="AA200" s="15">
        <v>0.74199999999999999</v>
      </c>
      <c r="AB200" s="15">
        <v>0.83199999999999996</v>
      </c>
      <c r="AC200" s="3">
        <f t="shared" si="45"/>
        <v>0.33168844905603684</v>
      </c>
      <c r="AD200" s="3">
        <f t="shared" si="46"/>
        <v>0.39549772996184673</v>
      </c>
      <c r="AE200" s="3">
        <f t="shared" si="47"/>
        <v>0.51601555074300676</v>
      </c>
      <c r="AF200" s="3">
        <f t="shared" si="48"/>
        <v>0.45448117893749168</v>
      </c>
    </row>
    <row r="201" spans="1:32" x14ac:dyDescent="0.2">
      <c r="A201" s="30">
        <v>199</v>
      </c>
      <c r="B201" s="9" t="s">
        <v>1011</v>
      </c>
      <c r="C201" s="12">
        <v>68167</v>
      </c>
      <c r="D201" s="13" t="s">
        <v>200</v>
      </c>
      <c r="E201" s="17">
        <v>32.735190905700001</v>
      </c>
      <c r="F201" s="17">
        <v>-27.493846921500001</v>
      </c>
      <c r="G201" s="14">
        <v>1169</v>
      </c>
      <c r="H201" s="17">
        <v>22.44</v>
      </c>
      <c r="I201" s="17">
        <v>23.68</v>
      </c>
      <c r="J201" s="17">
        <v>24.49</v>
      </c>
      <c r="K201" s="17">
        <v>26.15</v>
      </c>
      <c r="L201" s="17">
        <v>26.68</v>
      </c>
      <c r="M201" s="17">
        <f t="shared" si="40"/>
        <v>1.2399999999999984</v>
      </c>
      <c r="N201" s="17">
        <f t="shared" si="41"/>
        <v>2.0499999999999972</v>
      </c>
      <c r="O201" s="17">
        <f t="shared" si="42"/>
        <v>3.7099999999999973</v>
      </c>
      <c r="P201" s="17">
        <f t="shared" si="43"/>
        <v>4.2399999999999984</v>
      </c>
      <c r="Q201" s="17">
        <f t="shared" si="44"/>
        <v>0.46161219739437565</v>
      </c>
      <c r="R201" s="17">
        <f t="shared" si="37"/>
        <v>-7.7867794283139599E-2</v>
      </c>
      <c r="S201" s="17">
        <f t="shared" si="38"/>
        <v>0.26778410419046017</v>
      </c>
      <c r="T201" s="17">
        <f t="shared" si="39"/>
        <v>-0.50292101116476329</v>
      </c>
      <c r="U201" s="16">
        <v>4</v>
      </c>
      <c r="V201" s="16">
        <v>5</v>
      </c>
      <c r="W201" s="16">
        <v>5</v>
      </c>
      <c r="X201" s="16">
        <v>6</v>
      </c>
      <c r="Y201" s="15">
        <v>0.46700000000000003</v>
      </c>
      <c r="Z201" s="15">
        <v>0.59499999999999997</v>
      </c>
      <c r="AA201" s="15">
        <v>0.73</v>
      </c>
      <c r="AB201" s="15">
        <v>0.81599999999999995</v>
      </c>
      <c r="AC201" s="3">
        <f t="shared" si="45"/>
        <v>0.16535627883913201</v>
      </c>
      <c r="AD201" s="3">
        <f t="shared" si="46"/>
        <v>0.23397626787428938</v>
      </c>
      <c r="AE201" s="3">
        <f t="shared" si="47"/>
        <v>0.41721657401579598</v>
      </c>
      <c r="AF201" s="3">
        <f t="shared" si="48"/>
        <v>0.32304831485749652</v>
      </c>
    </row>
    <row r="202" spans="1:32" x14ac:dyDescent="0.2">
      <c r="A202" s="30">
        <v>200</v>
      </c>
      <c r="B202" s="9" t="s">
        <v>1012</v>
      </c>
      <c r="C202" s="12">
        <v>68168</v>
      </c>
      <c r="D202" s="13" t="s">
        <v>201</v>
      </c>
      <c r="E202" s="17">
        <v>32.495833641899999</v>
      </c>
      <c r="F202" s="17">
        <v>-27.924936782100001</v>
      </c>
      <c r="G202" s="14">
        <v>573</v>
      </c>
      <c r="H202" s="17">
        <v>21.78</v>
      </c>
      <c r="I202" s="17">
        <v>23.22</v>
      </c>
      <c r="J202" s="17">
        <v>23.99</v>
      </c>
      <c r="K202" s="17">
        <v>25.81</v>
      </c>
      <c r="L202" s="17">
        <v>26.23</v>
      </c>
      <c r="M202" s="17">
        <f t="shared" si="40"/>
        <v>1.4399999999999977</v>
      </c>
      <c r="N202" s="17">
        <f t="shared" si="41"/>
        <v>2.2099999999999973</v>
      </c>
      <c r="O202" s="17">
        <f t="shared" si="42"/>
        <v>4.0299999999999976</v>
      </c>
      <c r="P202" s="17">
        <f t="shared" si="43"/>
        <v>4.4499999999999993</v>
      </c>
      <c r="Q202" s="17">
        <f t="shared" si="44"/>
        <v>0.70528610517624923</v>
      </c>
      <c r="R202" s="17">
        <f t="shared" si="37"/>
        <v>0.14738969677199118</v>
      </c>
      <c r="S202" s="17">
        <f t="shared" si="38"/>
        <v>0.63938550695468588</v>
      </c>
      <c r="T202" s="17">
        <f t="shared" si="39"/>
        <v>-0.29036422227856246</v>
      </c>
      <c r="U202" s="16">
        <v>57</v>
      </c>
      <c r="V202" s="16">
        <v>68</v>
      </c>
      <c r="W202" s="16">
        <v>75</v>
      </c>
      <c r="X202" s="16">
        <v>76</v>
      </c>
      <c r="Y202" s="15">
        <v>0.45600000000000002</v>
      </c>
      <c r="Z202" s="15">
        <v>0.58299999999999996</v>
      </c>
      <c r="AA202" s="15">
        <v>0.71899999999999997</v>
      </c>
      <c r="AB202" s="15">
        <v>0.80400000000000005</v>
      </c>
      <c r="AC202" s="3">
        <f t="shared" si="45"/>
        <v>6.3708841484356515E-2</v>
      </c>
      <c r="AD202" s="3">
        <f t="shared" si="46"/>
        <v>0.12629529314925114</v>
      </c>
      <c r="AE202" s="3">
        <f t="shared" si="47"/>
        <v>0.32665084534918604</v>
      </c>
      <c r="AF202" s="3">
        <f t="shared" si="48"/>
        <v>0.22447366679750105</v>
      </c>
    </row>
    <row r="203" spans="1:32" x14ac:dyDescent="0.2">
      <c r="A203" s="30">
        <v>201</v>
      </c>
      <c r="B203" s="9" t="s">
        <v>1013</v>
      </c>
      <c r="C203" s="12">
        <v>68169</v>
      </c>
      <c r="D203" s="13" t="s">
        <v>202</v>
      </c>
      <c r="E203" s="17">
        <v>18.071037603600001</v>
      </c>
      <c r="F203" s="17">
        <v>-33.1525201595</v>
      </c>
      <c r="G203" s="14">
        <v>76</v>
      </c>
      <c r="H203" s="17">
        <v>17.07</v>
      </c>
      <c r="I203" s="17">
        <v>18.47</v>
      </c>
      <c r="J203" s="17">
        <v>19.3</v>
      </c>
      <c r="K203" s="17">
        <v>20.36</v>
      </c>
      <c r="L203" s="17">
        <v>21.34</v>
      </c>
      <c r="M203" s="17">
        <f t="shared" si="40"/>
        <v>1.3999999999999986</v>
      </c>
      <c r="N203" s="17">
        <f t="shared" si="41"/>
        <v>2.2300000000000004</v>
      </c>
      <c r="O203" s="17">
        <f t="shared" si="42"/>
        <v>3.2899999999999991</v>
      </c>
      <c r="P203" s="17">
        <f t="shared" si="43"/>
        <v>4.2699999999999996</v>
      </c>
      <c r="Q203" s="17">
        <f t="shared" si="44"/>
        <v>0.65655132361987534</v>
      </c>
      <c r="R203" s="17">
        <f t="shared" si="37"/>
        <v>0.17554688315388689</v>
      </c>
      <c r="S203" s="17">
        <f t="shared" si="38"/>
        <v>-0.2199427369375834</v>
      </c>
      <c r="T203" s="17">
        <f t="shared" si="39"/>
        <v>-0.47255575560959073</v>
      </c>
      <c r="U203" s="16">
        <v>2</v>
      </c>
      <c r="V203" s="16">
        <v>3</v>
      </c>
      <c r="W203" s="16">
        <v>3</v>
      </c>
      <c r="X203" s="16">
        <v>6</v>
      </c>
      <c r="Y203" s="15">
        <v>0.47399999999999998</v>
      </c>
      <c r="Z203" s="15">
        <v>0.59899999999999998</v>
      </c>
      <c r="AA203" s="15">
        <v>0.72799999999999998</v>
      </c>
      <c r="AB203" s="15">
        <v>0.81599999999999995</v>
      </c>
      <c r="AC203" s="3">
        <f t="shared" si="45"/>
        <v>0.23004101170126137</v>
      </c>
      <c r="AD203" s="3">
        <f t="shared" si="46"/>
        <v>0.26986992611596877</v>
      </c>
      <c r="AE203" s="3">
        <f t="shared" si="47"/>
        <v>0.40075007789459416</v>
      </c>
      <c r="AF203" s="3">
        <f t="shared" si="48"/>
        <v>0.32304831485749652</v>
      </c>
    </row>
    <row r="204" spans="1:32" x14ac:dyDescent="0.2">
      <c r="A204" s="30">
        <v>202</v>
      </c>
      <c r="B204" s="9" t="s">
        <v>1014</v>
      </c>
      <c r="C204" s="12">
        <v>68171</v>
      </c>
      <c r="D204" s="13" t="s">
        <v>203</v>
      </c>
      <c r="E204" s="17">
        <v>18.420365866000001</v>
      </c>
      <c r="F204" s="17">
        <v>-32.343844597999997</v>
      </c>
      <c r="G204" s="14">
        <v>27</v>
      </c>
      <c r="H204" s="17">
        <v>17.18</v>
      </c>
      <c r="I204" s="17">
        <v>18.71</v>
      </c>
      <c r="J204" s="17">
        <v>19.61</v>
      </c>
      <c r="K204" s="17">
        <v>20.81</v>
      </c>
      <c r="L204" s="17">
        <v>22.36</v>
      </c>
      <c r="M204" s="17">
        <f t="shared" si="40"/>
        <v>1.5300000000000011</v>
      </c>
      <c r="N204" s="17">
        <f t="shared" si="41"/>
        <v>2.4299999999999997</v>
      </c>
      <c r="O204" s="17">
        <f t="shared" si="42"/>
        <v>3.629999999999999</v>
      </c>
      <c r="P204" s="17">
        <f t="shared" si="43"/>
        <v>5.18</v>
      </c>
      <c r="Q204" s="17">
        <f t="shared" si="44"/>
        <v>0.81493936367809683</v>
      </c>
      <c r="R204" s="17">
        <f t="shared" si="37"/>
        <v>0.45711874697279914</v>
      </c>
      <c r="S204" s="17">
        <f t="shared" si="38"/>
        <v>0.17488375349940585</v>
      </c>
      <c r="T204" s="17">
        <f t="shared" si="39"/>
        <v>0.4485236628972758</v>
      </c>
      <c r="U204" s="16">
        <v>3</v>
      </c>
      <c r="V204" s="16">
        <v>3</v>
      </c>
      <c r="W204" s="16">
        <v>3</v>
      </c>
      <c r="X204" s="16">
        <v>3</v>
      </c>
      <c r="Y204" s="15">
        <v>0.47199999999999998</v>
      </c>
      <c r="Z204" s="15">
        <v>0.59799999999999998</v>
      </c>
      <c r="AA204" s="15">
        <v>0.72799999999999998</v>
      </c>
      <c r="AB204" s="15">
        <v>0.81599999999999995</v>
      </c>
      <c r="AC204" s="3">
        <f t="shared" si="45"/>
        <v>0.21155965945493854</v>
      </c>
      <c r="AD204" s="3">
        <f t="shared" si="46"/>
        <v>0.26089651155554894</v>
      </c>
      <c r="AE204" s="3">
        <f t="shared" si="47"/>
        <v>0.40075007789459416</v>
      </c>
      <c r="AF204" s="3">
        <f t="shared" si="48"/>
        <v>0.32304831485749652</v>
      </c>
    </row>
    <row r="205" spans="1:32" x14ac:dyDescent="0.2">
      <c r="A205" s="30">
        <v>203</v>
      </c>
      <c r="B205" s="9" t="s">
        <v>1015</v>
      </c>
      <c r="C205" s="12">
        <v>68172</v>
      </c>
      <c r="D205" s="13" t="s">
        <v>204</v>
      </c>
      <c r="E205" s="17">
        <v>16.474647482999998</v>
      </c>
      <c r="F205" s="17">
        <v>-28.599748550299999</v>
      </c>
      <c r="G205" s="14">
        <v>17</v>
      </c>
      <c r="H205" s="17">
        <v>17.579999999999998</v>
      </c>
      <c r="I205" s="17">
        <v>19.38</v>
      </c>
      <c r="J205" s="17">
        <v>19.75</v>
      </c>
      <c r="K205" s="17">
        <v>21.27</v>
      </c>
      <c r="L205" s="17">
        <v>22.24</v>
      </c>
      <c r="M205" s="17">
        <f t="shared" si="40"/>
        <v>1.8000000000000007</v>
      </c>
      <c r="N205" s="17">
        <f t="shared" si="41"/>
        <v>2.1700000000000017</v>
      </c>
      <c r="O205" s="17">
        <f t="shared" si="42"/>
        <v>3.6900000000000013</v>
      </c>
      <c r="P205" s="17">
        <f t="shared" si="43"/>
        <v>4.66</v>
      </c>
      <c r="Q205" s="17">
        <f t="shared" si="44"/>
        <v>1.1438991391836268</v>
      </c>
      <c r="R205" s="17">
        <f t="shared" si="37"/>
        <v>9.1075324008214734E-2</v>
      </c>
      <c r="S205" s="17">
        <f t="shared" si="38"/>
        <v>0.24455901651770073</v>
      </c>
      <c r="T205" s="17">
        <f t="shared" si="39"/>
        <v>-7.780743339236168E-2</v>
      </c>
      <c r="U205" s="16">
        <v>2</v>
      </c>
      <c r="V205" s="16">
        <v>2</v>
      </c>
      <c r="W205" s="16">
        <v>2</v>
      </c>
      <c r="X205" s="16">
        <v>2</v>
      </c>
      <c r="Y205" s="15">
        <v>0.48199999999999998</v>
      </c>
      <c r="Z205" s="15">
        <v>0.61399999999999999</v>
      </c>
      <c r="AA205" s="15">
        <v>0.746</v>
      </c>
      <c r="AB205" s="15">
        <v>0.83799999999999997</v>
      </c>
      <c r="AC205" s="3">
        <f t="shared" si="45"/>
        <v>0.30396642068655261</v>
      </c>
      <c r="AD205" s="3">
        <f t="shared" si="46"/>
        <v>0.40447114452226657</v>
      </c>
      <c r="AE205" s="3">
        <f t="shared" si="47"/>
        <v>0.5489485429854104</v>
      </c>
      <c r="AF205" s="3">
        <f t="shared" si="48"/>
        <v>0.50376850296748987</v>
      </c>
    </row>
    <row r="206" spans="1:32" x14ac:dyDescent="0.2">
      <c r="A206" s="30">
        <v>204</v>
      </c>
      <c r="B206" s="9" t="s">
        <v>1016</v>
      </c>
      <c r="C206" s="12">
        <v>68173</v>
      </c>
      <c r="D206" s="13" t="s">
        <v>205</v>
      </c>
      <c r="E206" s="17">
        <v>32.827422386899997</v>
      </c>
      <c r="F206" s="17">
        <v>-27.0179838205</v>
      </c>
      <c r="G206" s="14">
        <v>74</v>
      </c>
      <c r="H206" s="17">
        <v>22.65</v>
      </c>
      <c r="I206" s="17">
        <v>23.69</v>
      </c>
      <c r="J206" s="17">
        <v>24.62</v>
      </c>
      <c r="K206" s="17">
        <v>26.28</v>
      </c>
      <c r="L206" s="17">
        <v>26.84</v>
      </c>
      <c r="M206" s="17">
        <f t="shared" si="40"/>
        <v>1.0400000000000027</v>
      </c>
      <c r="N206" s="17">
        <f t="shared" si="41"/>
        <v>1.9700000000000024</v>
      </c>
      <c r="O206" s="17">
        <f t="shared" si="42"/>
        <v>3.6300000000000026</v>
      </c>
      <c r="P206" s="17">
        <f t="shared" si="43"/>
        <v>4.1900000000000013</v>
      </c>
      <c r="Q206" s="17">
        <f t="shared" si="44"/>
        <v>0.21793828961250641</v>
      </c>
      <c r="R206" s="17">
        <f t="shared" si="37"/>
        <v>-0.19049653981069747</v>
      </c>
      <c r="S206" s="17">
        <f t="shared" si="38"/>
        <v>0.17488375349940996</v>
      </c>
      <c r="T206" s="17">
        <f t="shared" si="39"/>
        <v>-0.55352977042337947</v>
      </c>
      <c r="U206" s="16">
        <v>1</v>
      </c>
      <c r="V206" s="16">
        <v>2</v>
      </c>
      <c r="W206" s="16">
        <v>2</v>
      </c>
      <c r="X206" s="16">
        <v>2</v>
      </c>
      <c r="Y206" s="15">
        <v>0.46700000000000003</v>
      </c>
      <c r="Z206" s="15">
        <v>0.59499999999999997</v>
      </c>
      <c r="AA206" s="15">
        <v>0.73</v>
      </c>
      <c r="AB206" s="15">
        <v>0.81599999999999995</v>
      </c>
      <c r="AC206" s="3">
        <f t="shared" si="45"/>
        <v>0.16535627883913201</v>
      </c>
      <c r="AD206" s="3">
        <f t="shared" si="46"/>
        <v>0.23397626787428938</v>
      </c>
      <c r="AE206" s="3">
        <f t="shared" si="47"/>
        <v>0.41721657401579598</v>
      </c>
      <c r="AF206" s="3">
        <f t="shared" si="48"/>
        <v>0.32304831485749652</v>
      </c>
    </row>
    <row r="207" spans="1:32" x14ac:dyDescent="0.2">
      <c r="A207" s="30">
        <v>205</v>
      </c>
      <c r="B207" s="9" t="s">
        <v>1017</v>
      </c>
      <c r="C207" s="12">
        <v>68174</v>
      </c>
      <c r="D207" s="13" t="s">
        <v>206</v>
      </c>
      <c r="E207" s="17">
        <v>32.6710852585</v>
      </c>
      <c r="F207" s="17">
        <v>-27.3493532974</v>
      </c>
      <c r="G207" s="14">
        <v>104</v>
      </c>
      <c r="H207" s="17">
        <v>22.36</v>
      </c>
      <c r="I207" s="17">
        <v>23.54</v>
      </c>
      <c r="J207" s="17">
        <v>24.48</v>
      </c>
      <c r="K207" s="17">
        <v>26.3</v>
      </c>
      <c r="L207" s="17">
        <v>26.79</v>
      </c>
      <c r="M207" s="17">
        <f t="shared" si="40"/>
        <v>1.1799999999999997</v>
      </c>
      <c r="N207" s="17">
        <f t="shared" si="41"/>
        <v>2.120000000000001</v>
      </c>
      <c r="O207" s="17">
        <f t="shared" si="42"/>
        <v>3.9400000000000013</v>
      </c>
      <c r="P207" s="17">
        <f t="shared" si="43"/>
        <v>4.43</v>
      </c>
      <c r="Q207" s="17">
        <f t="shared" si="44"/>
        <v>0.38851002505981486</v>
      </c>
      <c r="R207" s="17">
        <f t="shared" si="37"/>
        <v>2.0682358053485429E-2</v>
      </c>
      <c r="S207" s="17">
        <f t="shared" si="38"/>
        <v>0.5348726124272517</v>
      </c>
      <c r="T207" s="17">
        <f t="shared" si="39"/>
        <v>-0.31060772598200964</v>
      </c>
      <c r="U207" s="16">
        <v>0</v>
      </c>
      <c r="V207" s="16">
        <v>0</v>
      </c>
      <c r="W207" s="16">
        <v>0</v>
      </c>
      <c r="X207" s="16">
        <v>0</v>
      </c>
      <c r="Y207" s="15">
        <v>0.46700000000000003</v>
      </c>
      <c r="Z207" s="15">
        <v>0.59499999999999997</v>
      </c>
      <c r="AA207" s="15">
        <v>0.73</v>
      </c>
      <c r="AB207" s="15">
        <v>0.81599999999999995</v>
      </c>
      <c r="AC207" s="3">
        <f t="shared" si="45"/>
        <v>0.16535627883913201</v>
      </c>
      <c r="AD207" s="3">
        <f t="shared" si="46"/>
        <v>0.23397626787428938</v>
      </c>
      <c r="AE207" s="3">
        <f t="shared" si="47"/>
        <v>0.41721657401579598</v>
      </c>
      <c r="AF207" s="3">
        <f t="shared" si="48"/>
        <v>0.32304831485749652</v>
      </c>
    </row>
    <row r="208" spans="1:32" x14ac:dyDescent="0.2">
      <c r="A208" s="30">
        <v>206</v>
      </c>
      <c r="B208" s="9" t="s">
        <v>1431</v>
      </c>
      <c r="C208" s="12">
        <v>68175</v>
      </c>
      <c r="D208" s="13" t="s">
        <v>207</v>
      </c>
      <c r="E208" s="17">
        <v>-6.4234265928300003</v>
      </c>
      <c r="F208" s="17">
        <v>37.031208272800001</v>
      </c>
      <c r="G208" s="14">
        <v>657</v>
      </c>
      <c r="H208" s="17">
        <v>18.170000000000002</v>
      </c>
      <c r="I208" s="17">
        <v>18.36</v>
      </c>
      <c r="J208" s="17">
        <v>19.75</v>
      </c>
      <c r="K208" s="17">
        <v>20.91</v>
      </c>
      <c r="L208" s="17">
        <v>22.05</v>
      </c>
      <c r="M208" s="17">
        <f t="shared" si="40"/>
        <v>0.18999999999999773</v>
      </c>
      <c r="N208" s="17">
        <f t="shared" si="41"/>
        <v>1.5799999999999983</v>
      </c>
      <c r="O208" s="17">
        <f t="shared" si="42"/>
        <v>2.7399999999999984</v>
      </c>
      <c r="P208" s="17">
        <f t="shared" si="43"/>
        <v>3.879999999999999</v>
      </c>
      <c r="Q208" s="17">
        <f t="shared" si="44"/>
        <v>-0.817675818460466</v>
      </c>
      <c r="R208" s="17">
        <f t="shared" si="37"/>
        <v>-0.73956167425758401</v>
      </c>
      <c r="S208" s="17">
        <f t="shared" si="38"/>
        <v>-0.8586326479385965</v>
      </c>
      <c r="T208" s="17">
        <f t="shared" si="39"/>
        <v>-0.86730407782681973</v>
      </c>
      <c r="U208" s="16">
        <v>67</v>
      </c>
      <c r="V208" s="16">
        <v>90</v>
      </c>
      <c r="W208" s="16">
        <v>150</v>
      </c>
      <c r="X208" s="16">
        <v>246</v>
      </c>
      <c r="Y208" s="15">
        <v>0.51124999999999998</v>
      </c>
      <c r="Z208" s="15">
        <v>0.63049999999999995</v>
      </c>
      <c r="AA208" s="15">
        <v>0.74224999999999997</v>
      </c>
      <c r="AB208" s="15">
        <v>0.83574999999999999</v>
      </c>
      <c r="AC208" s="3">
        <f t="shared" si="45"/>
        <v>0.57425619728902355</v>
      </c>
      <c r="AD208" s="3">
        <f t="shared" si="46"/>
        <v>0.5525324847691937</v>
      </c>
      <c r="AE208" s="3">
        <f t="shared" si="47"/>
        <v>0.51807386275815681</v>
      </c>
      <c r="AF208" s="3">
        <f t="shared" si="48"/>
        <v>0.48528575645624078</v>
      </c>
    </row>
    <row r="209" spans="1:32" x14ac:dyDescent="0.2">
      <c r="A209" s="30">
        <v>207</v>
      </c>
      <c r="B209" s="9" t="s">
        <v>1018</v>
      </c>
      <c r="C209" s="12">
        <v>68180</v>
      </c>
      <c r="D209" s="13" t="s">
        <v>208</v>
      </c>
      <c r="E209" s="17">
        <v>-6.9737333333300002</v>
      </c>
      <c r="F209" s="17">
        <v>37.215413333299999</v>
      </c>
      <c r="G209" s="14">
        <v>19</v>
      </c>
      <c r="H209" s="17">
        <v>17.559999999999999</v>
      </c>
      <c r="I209" s="17">
        <v>17.690000000000001</v>
      </c>
      <c r="J209" s="17">
        <v>19.260000000000002</v>
      </c>
      <c r="K209" s="17">
        <v>20.46</v>
      </c>
      <c r="L209" s="17">
        <v>21.67</v>
      </c>
      <c r="M209" s="17">
        <f t="shared" si="40"/>
        <v>0.13000000000000256</v>
      </c>
      <c r="N209" s="17">
        <f t="shared" si="41"/>
        <v>1.7000000000000028</v>
      </c>
      <c r="O209" s="17">
        <f t="shared" si="42"/>
        <v>2.9000000000000021</v>
      </c>
      <c r="P209" s="17">
        <f t="shared" si="43"/>
        <v>4.110000000000003</v>
      </c>
      <c r="Q209" s="17">
        <f t="shared" si="44"/>
        <v>-0.8907779907950224</v>
      </c>
      <c r="R209" s="17">
        <f t="shared" si="37"/>
        <v>-0.57061855596622968</v>
      </c>
      <c r="S209" s="17">
        <f t="shared" si="38"/>
        <v>-0.67283194655647949</v>
      </c>
      <c r="T209" s="17">
        <f t="shared" si="39"/>
        <v>-0.63450378523716811</v>
      </c>
      <c r="U209" s="16">
        <v>2</v>
      </c>
      <c r="V209" s="16">
        <v>2</v>
      </c>
      <c r="W209" s="16">
        <v>2</v>
      </c>
      <c r="X209" s="16">
        <v>2</v>
      </c>
      <c r="Y209" s="15">
        <v>0.46200000000000002</v>
      </c>
      <c r="Z209" s="15">
        <v>0.58099999999999996</v>
      </c>
      <c r="AA209" s="15">
        <v>0.69199999999999995</v>
      </c>
      <c r="AB209" s="15">
        <v>0.78449999999999998</v>
      </c>
      <c r="AC209" s="3">
        <f t="shared" si="45"/>
        <v>0.11915289822332498</v>
      </c>
      <c r="AD209" s="3">
        <f t="shared" si="46"/>
        <v>0.10834846402841142</v>
      </c>
      <c r="AE209" s="3">
        <f t="shared" si="47"/>
        <v>0.10435314771296171</v>
      </c>
      <c r="AF209" s="3">
        <f t="shared" si="48"/>
        <v>6.42898637000065E-2</v>
      </c>
    </row>
    <row r="210" spans="1:32" x14ac:dyDescent="0.2">
      <c r="A210" s="30">
        <v>208</v>
      </c>
      <c r="B210" s="9" t="s">
        <v>1019</v>
      </c>
      <c r="C210" s="12">
        <v>68181</v>
      </c>
      <c r="D210" s="13" t="s">
        <v>209</v>
      </c>
      <c r="E210" s="17">
        <v>-2.22084360731</v>
      </c>
      <c r="F210" s="17">
        <v>36.768360012499997</v>
      </c>
      <c r="G210" s="14">
        <v>12</v>
      </c>
      <c r="H210" s="17">
        <v>17.16</v>
      </c>
      <c r="I210" s="17">
        <v>17.29</v>
      </c>
      <c r="J210" s="17">
        <v>19.329999999999998</v>
      </c>
      <c r="K210" s="17">
        <v>20.190000000000001</v>
      </c>
      <c r="L210" s="17">
        <v>21.82</v>
      </c>
      <c r="M210" s="17">
        <f t="shared" si="40"/>
        <v>0.12999999999999901</v>
      </c>
      <c r="N210" s="17">
        <f t="shared" si="41"/>
        <v>2.1699999999999982</v>
      </c>
      <c r="O210" s="17">
        <f t="shared" si="42"/>
        <v>3.0300000000000011</v>
      </c>
      <c r="P210" s="17">
        <f t="shared" si="43"/>
        <v>4.66</v>
      </c>
      <c r="Q210" s="17">
        <f t="shared" si="44"/>
        <v>-0.89077799079502673</v>
      </c>
      <c r="R210" s="17">
        <f t="shared" si="37"/>
        <v>9.1075324008209738E-2</v>
      </c>
      <c r="S210" s="17">
        <f t="shared" si="38"/>
        <v>-0.52186887668351412</v>
      </c>
      <c r="T210" s="17">
        <f t="shared" si="39"/>
        <v>-7.780743339236168E-2</v>
      </c>
      <c r="U210" s="16">
        <v>0</v>
      </c>
      <c r="V210" s="16">
        <v>0</v>
      </c>
      <c r="W210" s="16">
        <v>0</v>
      </c>
      <c r="X210" s="16">
        <v>0</v>
      </c>
      <c r="Y210" s="15">
        <v>0.39500000000000002</v>
      </c>
      <c r="Z210" s="15">
        <v>0.51400000000000001</v>
      </c>
      <c r="AA210" s="15">
        <v>0.62150000000000005</v>
      </c>
      <c r="AB210" s="15">
        <v>0.71299999999999997</v>
      </c>
      <c r="AC210" s="3">
        <f t="shared" si="45"/>
        <v>-0.49997240202848886</v>
      </c>
      <c r="AD210" s="3">
        <f t="shared" si="46"/>
        <v>-0.49287031151971772</v>
      </c>
      <c r="AE210" s="3">
        <f t="shared" si="47"/>
        <v>-0.47609084055940043</v>
      </c>
      <c r="AF210" s="3">
        <f t="shared" si="48"/>
        <v>-0.52305074765747139</v>
      </c>
    </row>
    <row r="211" spans="1:32" x14ac:dyDescent="0.2">
      <c r="A211" s="30">
        <v>209</v>
      </c>
      <c r="B211" s="9" t="s">
        <v>1432</v>
      </c>
      <c r="C211" s="12">
        <v>68182</v>
      </c>
      <c r="D211" s="13" t="s">
        <v>210</v>
      </c>
      <c r="E211" s="17">
        <v>3.0944242978199998</v>
      </c>
      <c r="F211" s="17">
        <v>39.783291971899999</v>
      </c>
      <c r="G211" s="14">
        <v>5</v>
      </c>
      <c r="H211" s="17">
        <v>17.09</v>
      </c>
      <c r="I211" s="17">
        <v>17.559999999999999</v>
      </c>
      <c r="J211" s="17">
        <v>19.61</v>
      </c>
      <c r="K211" s="17">
        <v>20.399999999999999</v>
      </c>
      <c r="L211" s="17">
        <v>22.67</v>
      </c>
      <c r="M211" s="17">
        <f t="shared" si="40"/>
        <v>0.46999999999999886</v>
      </c>
      <c r="N211" s="17">
        <f t="shared" si="41"/>
        <v>2.5199999999999996</v>
      </c>
      <c r="O211" s="17">
        <f t="shared" si="42"/>
        <v>3.3099999999999987</v>
      </c>
      <c r="P211" s="17">
        <f t="shared" si="43"/>
        <v>5.5800000000000018</v>
      </c>
      <c r="Q211" s="17">
        <f t="shared" si="44"/>
        <v>-0.4765323475658404</v>
      </c>
      <c r="R211" s="17">
        <f t="shared" si="37"/>
        <v>0.58382608569130989</v>
      </c>
      <c r="S211" s="17">
        <f t="shared" si="38"/>
        <v>-0.1967176492648198</v>
      </c>
      <c r="T211" s="17">
        <f t="shared" si="39"/>
        <v>0.85339373696623022</v>
      </c>
      <c r="U211" s="16">
        <v>5</v>
      </c>
      <c r="V211" s="16">
        <v>5</v>
      </c>
      <c r="W211" s="16">
        <v>5</v>
      </c>
      <c r="X211" s="16">
        <v>5</v>
      </c>
      <c r="Y211" s="15">
        <v>0.45350000000000001</v>
      </c>
      <c r="Z211" s="15">
        <v>0.56699999999999995</v>
      </c>
      <c r="AA211" s="15">
        <v>0.68</v>
      </c>
      <c r="AB211" s="15">
        <v>0.78200000000000003</v>
      </c>
      <c r="AC211" s="3">
        <f t="shared" si="45"/>
        <v>4.0607151176452999E-2</v>
      </c>
      <c r="AD211" s="3">
        <f t="shared" si="46"/>
        <v>-1.7279339817466523E-2</v>
      </c>
      <c r="AE211" s="3">
        <f t="shared" si="47"/>
        <v>5.5541709857518133E-3</v>
      </c>
      <c r="AF211" s="3">
        <f t="shared" si="48"/>
        <v>4.3753478687507709E-2</v>
      </c>
    </row>
    <row r="212" spans="1:32" x14ac:dyDescent="0.2">
      <c r="A212" s="30">
        <v>210</v>
      </c>
      <c r="B212" s="9" t="s">
        <v>1020</v>
      </c>
      <c r="C212" s="12">
        <v>68185</v>
      </c>
      <c r="D212" s="13" t="s">
        <v>211</v>
      </c>
      <c r="E212" s="17">
        <v>-8.8487221625199997</v>
      </c>
      <c r="F212" s="17">
        <v>42.475497992999998</v>
      </c>
      <c r="G212" s="14">
        <v>37</v>
      </c>
      <c r="H212" s="17">
        <v>14.94</v>
      </c>
      <c r="I212" s="17">
        <v>14.63</v>
      </c>
      <c r="J212" s="17">
        <v>15.81</v>
      </c>
      <c r="K212" s="17">
        <v>16.59</v>
      </c>
      <c r="L212" s="17">
        <v>17.97</v>
      </c>
      <c r="M212" s="17">
        <f t="shared" si="40"/>
        <v>-0.30999999999999872</v>
      </c>
      <c r="N212" s="17">
        <f t="shared" si="41"/>
        <v>0.87000000000000099</v>
      </c>
      <c r="O212" s="17">
        <f t="shared" si="42"/>
        <v>1.6500000000000004</v>
      </c>
      <c r="P212" s="17">
        <f t="shared" si="43"/>
        <v>3.0299999999999994</v>
      </c>
      <c r="Q212" s="17">
        <f t="shared" si="44"/>
        <v>-1.4268605879151477</v>
      </c>
      <c r="R212" s="17">
        <f t="shared" si="37"/>
        <v>-1.7391417908147222</v>
      </c>
      <c r="S212" s="17">
        <f t="shared" si="38"/>
        <v>-2.1243999261042368</v>
      </c>
      <c r="T212" s="17">
        <f t="shared" si="39"/>
        <v>-1.7276529852233429</v>
      </c>
      <c r="U212" s="16">
        <v>2</v>
      </c>
      <c r="V212" s="16">
        <v>2</v>
      </c>
      <c r="W212" s="16">
        <v>2</v>
      </c>
      <c r="X212" s="16">
        <v>2</v>
      </c>
      <c r="Y212" s="15">
        <v>0.48799999999999999</v>
      </c>
      <c r="Z212" s="15">
        <v>0.60166666666699997</v>
      </c>
      <c r="AA212" s="15">
        <v>0.70033333333299996</v>
      </c>
      <c r="AB212" s="15">
        <v>0.79566666666700003</v>
      </c>
      <c r="AC212" s="3">
        <f t="shared" si="45"/>
        <v>0.35941047742552107</v>
      </c>
      <c r="AD212" s="3">
        <f t="shared" si="46"/>
        <v>0.29379903161341281</v>
      </c>
      <c r="AE212" s="3">
        <f t="shared" si="47"/>
        <v>0.17296354821522486</v>
      </c>
      <c r="AF212" s="3">
        <f t="shared" si="48"/>
        <v>0.15601905009190836</v>
      </c>
    </row>
    <row r="213" spans="1:32" x14ac:dyDescent="0.2">
      <c r="A213" s="30">
        <v>211</v>
      </c>
      <c r="B213" s="9" t="s">
        <v>1433</v>
      </c>
      <c r="C213" s="12">
        <v>68186</v>
      </c>
      <c r="D213" s="13" t="s">
        <v>212</v>
      </c>
      <c r="E213" s="17">
        <v>-7.8525223390700001</v>
      </c>
      <c r="F213" s="17">
        <v>43.688749516500003</v>
      </c>
      <c r="G213" s="14">
        <v>22</v>
      </c>
      <c r="H213" s="17">
        <v>14.24</v>
      </c>
      <c r="I213" s="17">
        <v>13.95</v>
      </c>
      <c r="J213" s="17">
        <v>15.24</v>
      </c>
      <c r="K213" s="17">
        <v>16.14</v>
      </c>
      <c r="L213" s="17">
        <v>17.29</v>
      </c>
      <c r="M213" s="17">
        <f t="shared" si="40"/>
        <v>-0.29000000000000092</v>
      </c>
      <c r="N213" s="17">
        <f t="shared" si="41"/>
        <v>1</v>
      </c>
      <c r="O213" s="17">
        <f t="shared" si="42"/>
        <v>1.9000000000000004</v>
      </c>
      <c r="P213" s="17">
        <f t="shared" si="43"/>
        <v>3.0499999999999989</v>
      </c>
      <c r="Q213" s="17">
        <f t="shared" si="44"/>
        <v>-1.402493197136963</v>
      </c>
      <c r="R213" s="17">
        <f t="shared" si="37"/>
        <v>-1.5561200793324299</v>
      </c>
      <c r="S213" s="17">
        <f t="shared" si="38"/>
        <v>-1.8340863301946857</v>
      </c>
      <c r="T213" s="17">
        <f t="shared" si="39"/>
        <v>-1.7074094815198957</v>
      </c>
      <c r="U213" s="16">
        <v>0</v>
      </c>
      <c r="V213" s="16">
        <v>0</v>
      </c>
      <c r="W213" s="16">
        <v>0</v>
      </c>
      <c r="X213" s="16">
        <v>0</v>
      </c>
      <c r="Y213" s="15">
        <v>0.47399999999999998</v>
      </c>
      <c r="Z213" s="15">
        <v>0.58799999999999997</v>
      </c>
      <c r="AA213" s="15">
        <v>0.69</v>
      </c>
      <c r="AB213" s="15">
        <v>0.78400000000000003</v>
      </c>
      <c r="AC213" s="3">
        <f t="shared" si="45"/>
        <v>0.23004101170126137</v>
      </c>
      <c r="AD213" s="3">
        <f t="shared" si="46"/>
        <v>0.1711623659513504</v>
      </c>
      <c r="AE213" s="3">
        <f t="shared" si="47"/>
        <v>8.7886651591759915E-2</v>
      </c>
      <c r="AF213" s="3">
        <f t="shared" si="48"/>
        <v>6.0182586697507104E-2</v>
      </c>
    </row>
    <row r="214" spans="1:32" x14ac:dyDescent="0.2">
      <c r="A214" s="30">
        <v>212</v>
      </c>
      <c r="B214" s="9" t="s">
        <v>1021</v>
      </c>
      <c r="C214" s="12">
        <v>68190</v>
      </c>
      <c r="D214" s="13" t="s">
        <v>213</v>
      </c>
      <c r="E214" s="17">
        <v>-0.628712795702</v>
      </c>
      <c r="F214" s="17">
        <v>38.1758164114</v>
      </c>
      <c r="G214" s="14">
        <v>24</v>
      </c>
      <c r="H214" s="17">
        <v>17.02</v>
      </c>
      <c r="I214" s="17">
        <v>17.05</v>
      </c>
      <c r="J214" s="17">
        <v>19.510000000000002</v>
      </c>
      <c r="K214" s="17">
        <v>20.34</v>
      </c>
      <c r="L214" s="17">
        <v>22.37</v>
      </c>
      <c r="M214" s="17">
        <f t="shared" si="40"/>
        <v>3.0000000000001137E-2</v>
      </c>
      <c r="N214" s="17">
        <f t="shared" si="41"/>
        <v>2.490000000000002</v>
      </c>
      <c r="O214" s="17">
        <f t="shared" si="42"/>
        <v>3.3200000000000003</v>
      </c>
      <c r="P214" s="17">
        <f t="shared" si="43"/>
        <v>5.3500000000000014</v>
      </c>
      <c r="Q214" s="17">
        <f t="shared" si="44"/>
        <v>-1.0126149446859614</v>
      </c>
      <c r="R214" s="17">
        <f t="shared" si="37"/>
        <v>0.54159030611847625</v>
      </c>
      <c r="S214" s="17">
        <f t="shared" si="38"/>
        <v>-0.18510510542843595</v>
      </c>
      <c r="T214" s="17">
        <f t="shared" si="39"/>
        <v>0.62059344437658226</v>
      </c>
      <c r="U214" s="16">
        <v>2</v>
      </c>
      <c r="V214" s="16">
        <v>2</v>
      </c>
      <c r="W214" s="16">
        <v>2</v>
      </c>
      <c r="X214" s="16">
        <v>2</v>
      </c>
      <c r="Y214" s="15">
        <v>0.42</v>
      </c>
      <c r="Z214" s="15">
        <v>0.53200000000000003</v>
      </c>
      <c r="AA214" s="15">
        <v>0.64300000000000002</v>
      </c>
      <c r="AB214" s="15">
        <v>0.73799999999999999</v>
      </c>
      <c r="AC214" s="3">
        <f t="shared" si="45"/>
        <v>-0.2689554989494542</v>
      </c>
      <c r="AD214" s="3">
        <f t="shared" si="46"/>
        <v>-0.33134884943216036</v>
      </c>
      <c r="AE214" s="3">
        <f t="shared" si="47"/>
        <v>-0.29907600725648154</v>
      </c>
      <c r="AF214" s="3">
        <f t="shared" si="48"/>
        <v>-0.31768689753247897</v>
      </c>
    </row>
    <row r="215" spans="1:32" x14ac:dyDescent="0.2">
      <c r="A215" s="30">
        <v>213</v>
      </c>
      <c r="B215" s="9" t="s">
        <v>1434</v>
      </c>
      <c r="C215" s="12">
        <v>68192</v>
      </c>
      <c r="D215" s="13" t="s">
        <v>214</v>
      </c>
      <c r="E215" s="17">
        <v>3.0921493477299999</v>
      </c>
      <c r="F215" s="17">
        <v>42.247771483000001</v>
      </c>
      <c r="G215" s="14">
        <v>2</v>
      </c>
      <c r="H215" s="17">
        <v>15.46</v>
      </c>
      <c r="I215" s="17">
        <v>15.68</v>
      </c>
      <c r="J215" s="17">
        <v>17.41</v>
      </c>
      <c r="K215" s="17">
        <v>18.93</v>
      </c>
      <c r="L215" s="17">
        <v>20.91</v>
      </c>
      <c r="M215" s="17">
        <f t="shared" si="40"/>
        <v>0.21999999999999886</v>
      </c>
      <c r="N215" s="17">
        <f t="shared" si="41"/>
        <v>1.9499999999999993</v>
      </c>
      <c r="O215" s="17">
        <f t="shared" si="42"/>
        <v>3.4699999999999989</v>
      </c>
      <c r="P215" s="17">
        <f t="shared" si="43"/>
        <v>5.4499999999999993</v>
      </c>
      <c r="Q215" s="17">
        <f t="shared" si="44"/>
        <v>-0.78112473229318347</v>
      </c>
      <c r="R215" s="17">
        <f t="shared" si="37"/>
        <v>-0.21865372619259321</v>
      </c>
      <c r="S215" s="17">
        <f t="shared" si="38"/>
        <v>-1.0916947882706977E-2</v>
      </c>
      <c r="T215" s="17">
        <f t="shared" si="39"/>
        <v>0.72181096289381819</v>
      </c>
      <c r="U215" s="16">
        <v>0</v>
      </c>
      <c r="V215" s="16">
        <v>0</v>
      </c>
      <c r="W215" s="16">
        <v>0</v>
      </c>
      <c r="X215" s="16">
        <v>0</v>
      </c>
      <c r="Y215" s="15">
        <v>0.41</v>
      </c>
      <c r="Z215" s="15">
        <v>0.52649999999999997</v>
      </c>
      <c r="AA215" s="15">
        <v>0.62749999999999995</v>
      </c>
      <c r="AB215" s="15">
        <v>0.72150000000000003</v>
      </c>
      <c r="AC215" s="3">
        <f t="shared" si="45"/>
        <v>-0.36136226018106826</v>
      </c>
      <c r="AD215" s="3">
        <f t="shared" si="46"/>
        <v>-0.38070262951447009</v>
      </c>
      <c r="AE215" s="3">
        <f t="shared" si="47"/>
        <v>-0.42669135219579596</v>
      </c>
      <c r="AF215" s="3">
        <f t="shared" si="48"/>
        <v>-0.45322703861497354</v>
      </c>
    </row>
    <row r="216" spans="1:32" x14ac:dyDescent="0.2">
      <c r="A216" s="30">
        <v>214</v>
      </c>
      <c r="B216" s="9" t="s">
        <v>1022</v>
      </c>
      <c r="C216" s="12">
        <v>68193</v>
      </c>
      <c r="D216" s="13" t="s">
        <v>215</v>
      </c>
      <c r="E216" s="17">
        <v>0.84433406373499997</v>
      </c>
      <c r="F216" s="17">
        <v>40.710357107699998</v>
      </c>
      <c r="G216" s="14">
        <v>30</v>
      </c>
      <c r="H216" s="17">
        <v>16.97</v>
      </c>
      <c r="I216" s="17">
        <v>17.100000000000001</v>
      </c>
      <c r="J216" s="17">
        <v>19.04</v>
      </c>
      <c r="K216" s="17">
        <v>20.07</v>
      </c>
      <c r="L216" s="17">
        <v>21.64</v>
      </c>
      <c r="M216" s="17">
        <f t="shared" si="40"/>
        <v>0.13000000000000256</v>
      </c>
      <c r="N216" s="17">
        <f t="shared" si="41"/>
        <v>2.0700000000000003</v>
      </c>
      <c r="O216" s="17">
        <f t="shared" si="42"/>
        <v>3.1000000000000014</v>
      </c>
      <c r="P216" s="17">
        <f t="shared" si="43"/>
        <v>4.6700000000000017</v>
      </c>
      <c r="Q216" s="17">
        <f t="shared" si="44"/>
        <v>-0.8907779907950224</v>
      </c>
      <c r="R216" s="17">
        <f t="shared" si="37"/>
        <v>-4.9710607901243875E-2</v>
      </c>
      <c r="S216" s="17">
        <f t="shared" si="38"/>
        <v>-0.44058106982883954</v>
      </c>
      <c r="T216" s="17">
        <f t="shared" si="39"/>
        <v>-6.7685681540636297E-2</v>
      </c>
      <c r="U216" s="16">
        <v>12</v>
      </c>
      <c r="V216" s="16">
        <v>12</v>
      </c>
      <c r="W216" s="16">
        <v>12</v>
      </c>
      <c r="X216" s="16">
        <v>12</v>
      </c>
      <c r="Y216" s="15">
        <v>0.443</v>
      </c>
      <c r="Z216" s="15">
        <v>0.55600000000000005</v>
      </c>
      <c r="AA216" s="15">
        <v>0.66600000000000004</v>
      </c>
      <c r="AB216" s="15">
        <v>0.76200000000000001</v>
      </c>
      <c r="AC216" s="3">
        <f t="shared" si="45"/>
        <v>-5.6419948116741787E-2</v>
      </c>
      <c r="AD216" s="3">
        <f t="shared" si="46"/>
        <v>-0.1159868999820839</v>
      </c>
      <c r="AE216" s="3">
        <f t="shared" si="47"/>
        <v>-0.1097113018626608</v>
      </c>
      <c r="AF216" s="3">
        <f t="shared" si="48"/>
        <v>-0.12053760141248625</v>
      </c>
    </row>
    <row r="217" spans="1:32" x14ac:dyDescent="0.2">
      <c r="A217" s="30">
        <v>215</v>
      </c>
      <c r="B217" s="9" t="s">
        <v>1023</v>
      </c>
      <c r="C217" s="12">
        <v>68198</v>
      </c>
      <c r="D217" s="13" t="s">
        <v>216</v>
      </c>
      <c r="E217" s="17">
        <v>-9.0250428778299998</v>
      </c>
      <c r="F217" s="17">
        <v>42.563353060600001</v>
      </c>
      <c r="G217" s="14">
        <v>1</v>
      </c>
      <c r="H217" s="17">
        <v>15.13</v>
      </c>
      <c r="I217" s="17">
        <v>14.73</v>
      </c>
      <c r="J217" s="17">
        <v>15.89</v>
      </c>
      <c r="K217" s="17">
        <v>16.600000000000001</v>
      </c>
      <c r="L217" s="17">
        <v>17.96</v>
      </c>
      <c r="M217" s="17">
        <f t="shared" si="40"/>
        <v>-0.40000000000000036</v>
      </c>
      <c r="N217" s="17">
        <f t="shared" si="41"/>
        <v>0.75999999999999979</v>
      </c>
      <c r="O217" s="17">
        <f t="shared" si="42"/>
        <v>1.4700000000000006</v>
      </c>
      <c r="P217" s="17">
        <f t="shared" si="43"/>
        <v>2.83</v>
      </c>
      <c r="Q217" s="17">
        <f t="shared" si="44"/>
        <v>-1.5365138464169932</v>
      </c>
      <c r="R217" s="17">
        <f t="shared" si="37"/>
        <v>-1.8940063159151261</v>
      </c>
      <c r="S217" s="17">
        <f t="shared" si="38"/>
        <v>-2.3334257151591133</v>
      </c>
      <c r="T217" s="17">
        <f t="shared" si="39"/>
        <v>-1.9300880222578183</v>
      </c>
      <c r="U217" s="16">
        <v>0</v>
      </c>
      <c r="V217" s="16">
        <v>0</v>
      </c>
      <c r="W217" s="16">
        <v>0</v>
      </c>
      <c r="X217" s="16">
        <v>0</v>
      </c>
      <c r="Y217" s="15">
        <v>0.50600000000000001</v>
      </c>
      <c r="Z217" s="15">
        <v>0.62050000000000005</v>
      </c>
      <c r="AA217" s="15">
        <v>0.72</v>
      </c>
      <c r="AB217" s="15">
        <v>0.81499999999999995</v>
      </c>
      <c r="AC217" s="3">
        <f t="shared" si="45"/>
        <v>0.5257426476424264</v>
      </c>
      <c r="AD217" s="3">
        <f t="shared" si="46"/>
        <v>0.46279833916499613</v>
      </c>
      <c r="AE217" s="3">
        <f t="shared" si="47"/>
        <v>0.33488409340978692</v>
      </c>
      <c r="AF217" s="3">
        <f t="shared" si="48"/>
        <v>0.31483376085249681</v>
      </c>
    </row>
    <row r="218" spans="1:32" x14ac:dyDescent="0.2">
      <c r="A218" s="30">
        <v>216</v>
      </c>
      <c r="B218" s="9" t="s">
        <v>1435</v>
      </c>
      <c r="C218" s="12">
        <v>68199</v>
      </c>
      <c r="D218" s="13" t="s">
        <v>217</v>
      </c>
      <c r="E218" s="17">
        <v>-8.1689516616700004</v>
      </c>
      <c r="F218" s="17">
        <v>43.606726292600001</v>
      </c>
      <c r="G218" s="14">
        <v>5</v>
      </c>
      <c r="H218" s="17">
        <v>14.31</v>
      </c>
      <c r="I218" s="17">
        <v>13.98</v>
      </c>
      <c r="J218" s="17">
        <v>15.26</v>
      </c>
      <c r="K218" s="17">
        <v>16.14</v>
      </c>
      <c r="L218" s="17">
        <v>17.29</v>
      </c>
      <c r="M218" s="17">
        <f t="shared" si="40"/>
        <v>-0.33000000000000007</v>
      </c>
      <c r="N218" s="17">
        <f t="shared" si="41"/>
        <v>0.94999999999999929</v>
      </c>
      <c r="O218" s="17">
        <f t="shared" si="42"/>
        <v>1.83</v>
      </c>
      <c r="P218" s="17">
        <f t="shared" si="43"/>
        <v>2.9799999999999986</v>
      </c>
      <c r="Q218" s="17">
        <f t="shared" si="44"/>
        <v>-1.4512279786933369</v>
      </c>
      <c r="R218" s="17">
        <f t="shared" si="37"/>
        <v>-1.6265130452871592</v>
      </c>
      <c r="S218" s="17">
        <f t="shared" si="38"/>
        <v>-1.9153741370493602</v>
      </c>
      <c r="T218" s="17">
        <f t="shared" si="39"/>
        <v>-1.7782617444819626</v>
      </c>
      <c r="U218" s="16">
        <v>0</v>
      </c>
      <c r="V218" s="16">
        <v>0</v>
      </c>
      <c r="W218" s="16">
        <v>0</v>
      </c>
      <c r="X218" s="16">
        <v>0</v>
      </c>
      <c r="Y218" s="15">
        <v>0.47399999999999998</v>
      </c>
      <c r="Z218" s="15">
        <v>0.58799999999999997</v>
      </c>
      <c r="AA218" s="15">
        <v>0.69</v>
      </c>
      <c r="AB218" s="15">
        <v>0.78400000000000003</v>
      </c>
      <c r="AC218" s="3">
        <f t="shared" si="45"/>
        <v>0.23004101170126137</v>
      </c>
      <c r="AD218" s="3">
        <f t="shared" si="46"/>
        <v>0.1711623659513504</v>
      </c>
      <c r="AE218" s="3">
        <f t="shared" si="47"/>
        <v>8.7886651591759915E-2</v>
      </c>
      <c r="AF218" s="3">
        <f t="shared" si="48"/>
        <v>6.0182586697507104E-2</v>
      </c>
    </row>
    <row r="219" spans="1:32" x14ac:dyDescent="0.2">
      <c r="A219" s="30">
        <v>217</v>
      </c>
      <c r="B219" s="9" t="s">
        <v>1024</v>
      </c>
      <c r="C219" s="12">
        <v>68200</v>
      </c>
      <c r="D219" s="13" t="s">
        <v>218</v>
      </c>
      <c r="E219" s="17">
        <v>-2.6753131796499998</v>
      </c>
      <c r="F219" s="17">
        <v>43.371122428600003</v>
      </c>
      <c r="G219" s="14">
        <v>14</v>
      </c>
      <c r="H219" s="17">
        <v>13.48</v>
      </c>
      <c r="I219" s="17">
        <v>13.18</v>
      </c>
      <c r="J219" s="17">
        <v>14.98</v>
      </c>
      <c r="K219" s="17">
        <v>15.94</v>
      </c>
      <c r="L219" s="17">
        <v>17.55</v>
      </c>
      <c r="M219" s="17">
        <f t="shared" si="40"/>
        <v>-0.30000000000000071</v>
      </c>
      <c r="N219" s="17">
        <f t="shared" si="41"/>
        <v>1.5</v>
      </c>
      <c r="O219" s="17">
        <f t="shared" si="42"/>
        <v>2.4599999999999991</v>
      </c>
      <c r="P219" s="17">
        <f t="shared" si="43"/>
        <v>4.07</v>
      </c>
      <c r="Q219" s="17">
        <f t="shared" si="44"/>
        <v>-1.4146768925260564</v>
      </c>
      <c r="R219" s="17">
        <f t="shared" si="37"/>
        <v>-0.85219041978514698</v>
      </c>
      <c r="S219" s="17">
        <f t="shared" si="38"/>
        <v>-1.1837838753572929</v>
      </c>
      <c r="T219" s="17">
        <f t="shared" si="39"/>
        <v>-0.67499079264406614</v>
      </c>
      <c r="U219" s="16">
        <v>0</v>
      </c>
      <c r="V219" s="16">
        <v>0</v>
      </c>
      <c r="W219" s="16">
        <v>0</v>
      </c>
      <c r="X219" s="16">
        <v>0</v>
      </c>
      <c r="Y219" s="15">
        <v>0.46200000000000002</v>
      </c>
      <c r="Z219" s="15">
        <v>0.57499999999999996</v>
      </c>
      <c r="AA219" s="15">
        <v>0.6835</v>
      </c>
      <c r="AB219" s="15">
        <v>0.78</v>
      </c>
      <c r="AC219" s="3">
        <f t="shared" si="45"/>
        <v>0.11915289822332498</v>
      </c>
      <c r="AD219" s="3">
        <f t="shared" si="46"/>
        <v>5.4507976665892306E-2</v>
      </c>
      <c r="AE219" s="3">
        <f t="shared" si="47"/>
        <v>3.4370539197854509E-2</v>
      </c>
      <c r="AF219" s="3">
        <f t="shared" si="48"/>
        <v>2.732437067750831E-2</v>
      </c>
    </row>
    <row r="220" spans="1:32" x14ac:dyDescent="0.2">
      <c r="A220" s="30">
        <v>218</v>
      </c>
      <c r="B220" s="9" t="s">
        <v>1308</v>
      </c>
      <c r="C220" s="12">
        <v>68201</v>
      </c>
      <c r="D220" s="13" t="s">
        <v>219</v>
      </c>
      <c r="E220" s="17">
        <v>81.220515155100003</v>
      </c>
      <c r="F220" s="17">
        <v>6.1830333080499997</v>
      </c>
      <c r="G220" s="14">
        <v>39</v>
      </c>
      <c r="H220" s="17">
        <v>25.84</v>
      </c>
      <c r="I220" s="17">
        <v>26.81</v>
      </c>
      <c r="J220" s="17">
        <v>28.48</v>
      </c>
      <c r="K220" s="17">
        <v>29.26</v>
      </c>
      <c r="L220" s="17">
        <v>30.32</v>
      </c>
      <c r="M220" s="17">
        <f t="shared" si="40"/>
        <v>0.96999999999999886</v>
      </c>
      <c r="N220" s="17">
        <f t="shared" si="41"/>
        <v>2.6400000000000006</v>
      </c>
      <c r="O220" s="17">
        <f t="shared" si="42"/>
        <v>3.4200000000000017</v>
      </c>
      <c r="P220" s="17">
        <f t="shared" si="43"/>
        <v>4.4800000000000004</v>
      </c>
      <c r="Q220" s="17">
        <f t="shared" si="44"/>
        <v>0.13265242188884568</v>
      </c>
      <c r="R220" s="17">
        <f t="shared" si="37"/>
        <v>0.75276920398265923</v>
      </c>
      <c r="S220" s="17">
        <f t="shared" si="38"/>
        <v>-6.8979667064613878E-2</v>
      </c>
      <c r="T220" s="17">
        <f t="shared" si="39"/>
        <v>-0.2599989667233899</v>
      </c>
      <c r="U220" s="16">
        <v>1</v>
      </c>
      <c r="V220" s="16">
        <v>1</v>
      </c>
      <c r="W220" s="16">
        <v>1</v>
      </c>
      <c r="X220" s="16">
        <v>1</v>
      </c>
      <c r="Y220" s="15">
        <v>0.45100000000000001</v>
      </c>
      <c r="Z220" s="15">
        <v>0.57999999999999996</v>
      </c>
      <c r="AA220" s="15">
        <v>0.71199999999999997</v>
      </c>
      <c r="AB220" s="15">
        <v>0.81799999999999995</v>
      </c>
      <c r="AC220" s="3">
        <f t="shared" si="45"/>
        <v>1.7505460868549479E-2</v>
      </c>
      <c r="AD220" s="3">
        <f t="shared" si="46"/>
        <v>9.9375049467991569E-2</v>
      </c>
      <c r="AE220" s="3">
        <f t="shared" si="47"/>
        <v>0.26901810892497974</v>
      </c>
      <c r="AF220" s="3">
        <f t="shared" si="48"/>
        <v>0.33947742286749588</v>
      </c>
    </row>
    <row r="221" spans="1:32" x14ac:dyDescent="0.2">
      <c r="A221" s="30">
        <v>219</v>
      </c>
      <c r="B221" s="9" t="s">
        <v>795</v>
      </c>
      <c r="C221" s="12">
        <v>68202</v>
      </c>
      <c r="D221" s="13" t="s">
        <v>220</v>
      </c>
      <c r="E221" s="17">
        <v>-55.724155164599999</v>
      </c>
      <c r="F221" s="17">
        <v>5.9477314886099997</v>
      </c>
      <c r="G221" s="14">
        <v>26</v>
      </c>
      <c r="H221" s="17">
        <v>25.67</v>
      </c>
      <c r="I221" s="17">
        <v>26.34</v>
      </c>
      <c r="J221" s="17">
        <v>27.43</v>
      </c>
      <c r="K221" s="17">
        <v>28.79</v>
      </c>
      <c r="L221" s="17">
        <v>29.95</v>
      </c>
      <c r="M221" s="17">
        <f t="shared" si="40"/>
        <v>0.66999999999999815</v>
      </c>
      <c r="N221" s="17">
        <f t="shared" si="41"/>
        <v>1.759999999999998</v>
      </c>
      <c r="O221" s="17">
        <f t="shared" si="42"/>
        <v>3.1199999999999974</v>
      </c>
      <c r="P221" s="17">
        <f t="shared" si="43"/>
        <v>4.2799999999999976</v>
      </c>
      <c r="Q221" s="17">
        <f t="shared" si="44"/>
        <v>-0.23285843978396684</v>
      </c>
      <c r="R221" s="17">
        <f t="shared" si="37"/>
        <v>-0.48614699682056256</v>
      </c>
      <c r="S221" s="17">
        <f t="shared" si="38"/>
        <v>-0.41735598215608005</v>
      </c>
      <c r="T221" s="17">
        <f t="shared" si="39"/>
        <v>-0.46243400375786892</v>
      </c>
      <c r="U221" s="16">
        <v>0</v>
      </c>
      <c r="V221" s="16">
        <v>2</v>
      </c>
      <c r="W221" s="16">
        <v>4</v>
      </c>
      <c r="X221" s="16">
        <v>6</v>
      </c>
      <c r="Y221" s="15">
        <v>0.47699999999999998</v>
      </c>
      <c r="Z221" s="15">
        <v>0.60599999999999998</v>
      </c>
      <c r="AA221" s="15">
        <v>0.71799999999999997</v>
      </c>
      <c r="AB221" s="15">
        <v>0.81299999999999994</v>
      </c>
      <c r="AC221" s="3">
        <f t="shared" si="45"/>
        <v>0.25776304007074557</v>
      </c>
      <c r="AD221" s="3">
        <f t="shared" si="46"/>
        <v>0.33268382803890773</v>
      </c>
      <c r="AE221" s="3">
        <f t="shared" si="47"/>
        <v>0.31841759728858515</v>
      </c>
      <c r="AF221" s="3">
        <f t="shared" si="48"/>
        <v>0.2984046528424974</v>
      </c>
    </row>
    <row r="222" spans="1:32" x14ac:dyDescent="0.2">
      <c r="A222" s="30">
        <v>220</v>
      </c>
      <c r="B222" s="9" t="s">
        <v>1436</v>
      </c>
      <c r="C222" s="12">
        <v>68203</v>
      </c>
      <c r="D222" s="13" t="s">
        <v>221</v>
      </c>
      <c r="E222" s="17">
        <v>12.8994576238</v>
      </c>
      <c r="F222" s="17">
        <v>55.4348526462</v>
      </c>
      <c r="G222" s="14">
        <v>144</v>
      </c>
      <c r="H222" s="17">
        <v>9.17</v>
      </c>
      <c r="I222" s="17">
        <v>9.3000000000000007</v>
      </c>
      <c r="J222" s="17">
        <v>11.15</v>
      </c>
      <c r="K222" s="17">
        <v>13.15</v>
      </c>
      <c r="L222" s="17">
        <v>14.19</v>
      </c>
      <c r="M222" s="17">
        <f t="shared" si="40"/>
        <v>0.13000000000000078</v>
      </c>
      <c r="N222" s="17">
        <f t="shared" si="41"/>
        <v>1.9800000000000004</v>
      </c>
      <c r="O222" s="17">
        <f t="shared" si="42"/>
        <v>3.9800000000000004</v>
      </c>
      <c r="P222" s="17">
        <f t="shared" si="43"/>
        <v>5.0199999999999996</v>
      </c>
      <c r="Q222" s="17">
        <f t="shared" si="44"/>
        <v>-0.89077799079502462</v>
      </c>
      <c r="R222" s="17">
        <f t="shared" si="37"/>
        <v>-0.17641794661975463</v>
      </c>
      <c r="S222" s="17">
        <f t="shared" si="38"/>
        <v>0.5813227877727789</v>
      </c>
      <c r="T222" s="17">
        <f t="shared" si="39"/>
        <v>0.28657563326969476</v>
      </c>
      <c r="U222" s="16">
        <v>13</v>
      </c>
      <c r="V222" s="16">
        <v>13</v>
      </c>
      <c r="W222" s="16">
        <v>14</v>
      </c>
      <c r="X222" s="16">
        <v>14</v>
      </c>
      <c r="Y222" s="15">
        <v>0.38250000000000001</v>
      </c>
      <c r="Z222" s="15">
        <v>0.51600000000000001</v>
      </c>
      <c r="AA222" s="15">
        <v>0.60699999999999998</v>
      </c>
      <c r="AB222" s="15">
        <v>0.72350000000000003</v>
      </c>
      <c r="AC222" s="3">
        <f t="shared" si="45"/>
        <v>-0.61548085356800653</v>
      </c>
      <c r="AD222" s="3">
        <f t="shared" si="46"/>
        <v>-0.47492348239887805</v>
      </c>
      <c r="AE222" s="3">
        <f t="shared" si="47"/>
        <v>-0.59547293743811391</v>
      </c>
      <c r="AF222" s="3">
        <f t="shared" si="48"/>
        <v>-0.43679793060497413</v>
      </c>
    </row>
    <row r="223" spans="1:32" x14ac:dyDescent="0.2">
      <c r="A223" s="30">
        <v>221</v>
      </c>
      <c r="B223" s="9" t="s">
        <v>1025</v>
      </c>
      <c r="C223" s="12">
        <v>68206</v>
      </c>
      <c r="D223" s="13" t="s">
        <v>222</v>
      </c>
      <c r="E223" s="17">
        <v>16.423910443</v>
      </c>
      <c r="F223" s="17">
        <v>56.213649013999998</v>
      </c>
      <c r="G223" s="14">
        <v>29</v>
      </c>
      <c r="H223" s="17">
        <v>8.85</v>
      </c>
      <c r="I223" s="17">
        <v>8.92</v>
      </c>
      <c r="J223" s="17">
        <v>10.89</v>
      </c>
      <c r="K223" s="17">
        <v>13.15</v>
      </c>
      <c r="L223" s="17">
        <v>13.7</v>
      </c>
      <c r="M223" s="17">
        <f t="shared" si="40"/>
        <v>7.0000000000000284E-2</v>
      </c>
      <c r="N223" s="17">
        <f t="shared" si="41"/>
        <v>2.0400000000000009</v>
      </c>
      <c r="O223" s="17">
        <f t="shared" si="42"/>
        <v>4.3000000000000007</v>
      </c>
      <c r="P223" s="17">
        <f t="shared" si="43"/>
        <v>4.8499999999999996</v>
      </c>
      <c r="Q223" s="17">
        <f t="shared" si="44"/>
        <v>-0.96388016312958746</v>
      </c>
      <c r="R223" s="17">
        <f t="shared" si="37"/>
        <v>-9.194638747407996E-2</v>
      </c>
      <c r="S223" s="17">
        <f t="shared" si="38"/>
        <v>0.95292419053700461</v>
      </c>
      <c r="T223" s="17">
        <f t="shared" si="39"/>
        <v>0.11450585179039013</v>
      </c>
      <c r="U223" s="16">
        <v>4</v>
      </c>
      <c r="V223" s="16">
        <v>5</v>
      </c>
      <c r="W223" s="16">
        <v>5</v>
      </c>
      <c r="X223" s="16">
        <v>5</v>
      </c>
      <c r="Y223" s="15">
        <v>0.33400000000000002</v>
      </c>
      <c r="Z223" s="15">
        <v>0.47499999999999998</v>
      </c>
      <c r="AA223" s="15">
        <v>0.56499999999999995</v>
      </c>
      <c r="AB223" s="15">
        <v>0.68300000000000005</v>
      </c>
      <c r="AC223" s="3">
        <f t="shared" si="45"/>
        <v>-1.0636536455413343</v>
      </c>
      <c r="AD223" s="3">
        <f t="shared" si="46"/>
        <v>-0.84283347937609199</v>
      </c>
      <c r="AE223" s="3">
        <f t="shared" si="47"/>
        <v>-0.94126935598335182</v>
      </c>
      <c r="AF223" s="3">
        <f t="shared" si="48"/>
        <v>-0.76948736780746141</v>
      </c>
    </row>
    <row r="224" spans="1:32" x14ac:dyDescent="0.2">
      <c r="A224" s="30">
        <v>222</v>
      </c>
      <c r="B224" s="9" t="s">
        <v>1437</v>
      </c>
      <c r="C224" s="12">
        <v>68207</v>
      </c>
      <c r="D224" s="13" t="s">
        <v>223</v>
      </c>
      <c r="E224" s="17">
        <v>16.717293881900002</v>
      </c>
      <c r="F224" s="17">
        <v>56.638369179000001</v>
      </c>
      <c r="G224" s="14">
        <v>182</v>
      </c>
      <c r="H224" s="17">
        <v>8.6199999999999992</v>
      </c>
      <c r="I224" s="17">
        <v>8.6999999999999993</v>
      </c>
      <c r="J224" s="17">
        <v>10.72</v>
      </c>
      <c r="K224" s="17">
        <v>12.96</v>
      </c>
      <c r="L224" s="17">
        <v>13.58</v>
      </c>
      <c r="M224" s="17">
        <f t="shared" si="40"/>
        <v>8.0000000000000071E-2</v>
      </c>
      <c r="N224" s="17">
        <f t="shared" si="41"/>
        <v>2.1000000000000014</v>
      </c>
      <c r="O224" s="17">
        <f t="shared" si="42"/>
        <v>4.3400000000000016</v>
      </c>
      <c r="P224" s="17">
        <f t="shared" si="43"/>
        <v>4.9600000000000009</v>
      </c>
      <c r="Q224" s="17">
        <f t="shared" si="44"/>
        <v>-0.9516964677404941</v>
      </c>
      <c r="R224" s="17">
        <f t="shared" si="37"/>
        <v>-7.474828328405291E-3</v>
      </c>
      <c r="S224" s="17">
        <f t="shared" si="38"/>
        <v>0.99937436588253381</v>
      </c>
      <c r="T224" s="17">
        <f t="shared" si="39"/>
        <v>0.22584512215935323</v>
      </c>
      <c r="U224" s="16">
        <v>10</v>
      </c>
      <c r="V224" s="16">
        <v>13</v>
      </c>
      <c r="W224" s="16">
        <v>13</v>
      </c>
      <c r="X224" s="16">
        <v>15</v>
      </c>
      <c r="Y224" s="15">
        <v>0.23400000000000001</v>
      </c>
      <c r="Z224" s="15">
        <v>0.375</v>
      </c>
      <c r="AA224" s="15">
        <v>0.46400000000000002</v>
      </c>
      <c r="AB224" s="15">
        <v>0.58299999999999996</v>
      </c>
      <c r="AC224" s="3">
        <f t="shared" si="45"/>
        <v>-1.9877212578574743</v>
      </c>
      <c r="AD224" s="3">
        <f t="shared" si="46"/>
        <v>-1.7401749354180764</v>
      </c>
      <c r="AE224" s="3">
        <f t="shared" si="47"/>
        <v>-1.7728274101040415</v>
      </c>
      <c r="AF224" s="3">
        <f t="shared" si="48"/>
        <v>-1.5909427683074311</v>
      </c>
    </row>
    <row r="225" spans="1:32" x14ac:dyDescent="0.2">
      <c r="A225" s="30">
        <v>223</v>
      </c>
      <c r="B225" s="9" t="s">
        <v>1438</v>
      </c>
      <c r="C225" s="12">
        <v>68208</v>
      </c>
      <c r="D225" s="13" t="s">
        <v>224</v>
      </c>
      <c r="E225" s="17">
        <v>12.2430099847</v>
      </c>
      <c r="F225" s="17">
        <v>57.133928992900003</v>
      </c>
      <c r="G225" s="14">
        <v>5</v>
      </c>
      <c r="H225" s="17">
        <v>8.2799999999999994</v>
      </c>
      <c r="I225" s="17">
        <v>8.56</v>
      </c>
      <c r="J225" s="17">
        <v>10.29</v>
      </c>
      <c r="K225" s="17">
        <v>12.38</v>
      </c>
      <c r="L225" s="17">
        <v>13.36</v>
      </c>
      <c r="M225" s="17">
        <f t="shared" si="40"/>
        <v>0.28000000000000114</v>
      </c>
      <c r="N225" s="17">
        <f t="shared" si="41"/>
        <v>2.0099999999999998</v>
      </c>
      <c r="O225" s="17">
        <f t="shared" si="42"/>
        <v>4.1000000000000014</v>
      </c>
      <c r="P225" s="17">
        <f t="shared" si="43"/>
        <v>5.08</v>
      </c>
      <c r="Q225" s="17">
        <f t="shared" si="44"/>
        <v>-0.70802255995861829</v>
      </c>
      <c r="R225" s="17">
        <f t="shared" si="37"/>
        <v>-0.13418216704691854</v>
      </c>
      <c r="S225" s="17">
        <f t="shared" si="38"/>
        <v>0.72067331380936461</v>
      </c>
      <c r="T225" s="17">
        <f t="shared" si="39"/>
        <v>0.3473061443800381</v>
      </c>
      <c r="U225" s="16">
        <v>1</v>
      </c>
      <c r="V225" s="16">
        <v>1</v>
      </c>
      <c r="W225" s="16">
        <v>1</v>
      </c>
      <c r="X225" s="16">
        <v>1</v>
      </c>
      <c r="Y225" s="15">
        <v>0.27200000000000002</v>
      </c>
      <c r="Z225" s="15">
        <v>0.40133333333299998</v>
      </c>
      <c r="AA225" s="15">
        <v>0.491333333333</v>
      </c>
      <c r="AB225" s="15">
        <v>0.60599999999999998</v>
      </c>
      <c r="AC225" s="3">
        <f t="shared" si="45"/>
        <v>-1.636575565177341</v>
      </c>
      <c r="AD225" s="3">
        <f t="shared" si="46"/>
        <v>-1.5038750186633452</v>
      </c>
      <c r="AE225" s="3">
        <f t="shared" si="47"/>
        <v>-1.5477852964503616</v>
      </c>
      <c r="AF225" s="3">
        <f t="shared" si="48"/>
        <v>-1.4020080261924381</v>
      </c>
    </row>
    <row r="226" spans="1:32" x14ac:dyDescent="0.2">
      <c r="A226" s="30">
        <v>224</v>
      </c>
      <c r="B226" s="9" t="s">
        <v>1026</v>
      </c>
      <c r="C226" s="12">
        <v>68210</v>
      </c>
      <c r="D226" s="13" t="s">
        <v>225</v>
      </c>
      <c r="E226" s="17">
        <v>18.593465726800002</v>
      </c>
      <c r="F226" s="17">
        <v>57.227240743400003</v>
      </c>
      <c r="G226" s="14">
        <v>152</v>
      </c>
      <c r="H226" s="17">
        <v>8.2899999999999991</v>
      </c>
      <c r="I226" s="17">
        <v>8.61</v>
      </c>
      <c r="J226" s="17">
        <v>10.72</v>
      </c>
      <c r="K226" s="17">
        <v>13.01</v>
      </c>
      <c r="L226" s="17">
        <v>13.54</v>
      </c>
      <c r="M226" s="17">
        <f t="shared" si="40"/>
        <v>0.32000000000000028</v>
      </c>
      <c r="N226" s="17">
        <f t="shared" si="41"/>
        <v>2.4300000000000015</v>
      </c>
      <c r="O226" s="17">
        <f t="shared" si="42"/>
        <v>4.7200000000000006</v>
      </c>
      <c r="P226" s="17">
        <f t="shared" si="43"/>
        <v>5.25</v>
      </c>
      <c r="Q226" s="17">
        <f t="shared" si="44"/>
        <v>-0.65928777840224451</v>
      </c>
      <c r="R226" s="17">
        <f t="shared" si="37"/>
        <v>0.45711874697280164</v>
      </c>
      <c r="S226" s="17">
        <f t="shared" si="38"/>
        <v>1.4406510316650503</v>
      </c>
      <c r="T226" s="17">
        <f t="shared" si="39"/>
        <v>0.51937592585934278</v>
      </c>
      <c r="U226" s="16">
        <v>9</v>
      </c>
      <c r="V226" s="16">
        <v>11</v>
      </c>
      <c r="W226" s="16">
        <v>11</v>
      </c>
      <c r="X226" s="16">
        <v>11</v>
      </c>
      <c r="Y226" s="15">
        <v>0.25</v>
      </c>
      <c r="Z226" s="15">
        <v>0.39400000000000002</v>
      </c>
      <c r="AA226" s="15">
        <v>0.48199999999999998</v>
      </c>
      <c r="AB226" s="15">
        <v>0.60399999999999998</v>
      </c>
      <c r="AC226" s="3">
        <f t="shared" si="45"/>
        <v>-1.8398704398868921</v>
      </c>
      <c r="AD226" s="3">
        <f t="shared" si="46"/>
        <v>-1.5696800587700992</v>
      </c>
      <c r="AE226" s="3">
        <f t="shared" si="47"/>
        <v>-1.6246289450132256</v>
      </c>
      <c r="AF226" s="3">
        <f t="shared" si="48"/>
        <v>-1.4184371342024376</v>
      </c>
    </row>
    <row r="227" spans="1:32" x14ac:dyDescent="0.2">
      <c r="A227" s="30">
        <v>225</v>
      </c>
      <c r="B227" s="9" t="s">
        <v>1439</v>
      </c>
      <c r="C227" s="12">
        <v>68224</v>
      </c>
      <c r="D227" s="13" t="s">
        <v>226</v>
      </c>
      <c r="E227" s="17">
        <v>12.3412374345</v>
      </c>
      <c r="F227" s="17">
        <v>56.988279802699999</v>
      </c>
      <c r="G227" s="14">
        <v>35</v>
      </c>
      <c r="H227" s="17">
        <v>8.3699999999999992</v>
      </c>
      <c r="I227" s="17">
        <v>8.65</v>
      </c>
      <c r="J227" s="17">
        <v>10.38</v>
      </c>
      <c r="K227" s="17">
        <v>12.44</v>
      </c>
      <c r="L227" s="17">
        <v>13.43</v>
      </c>
      <c r="M227" s="17">
        <f t="shared" si="40"/>
        <v>0.28000000000000114</v>
      </c>
      <c r="N227" s="17">
        <f t="shared" si="41"/>
        <v>2.0100000000000016</v>
      </c>
      <c r="O227" s="17">
        <f t="shared" si="42"/>
        <v>4.07</v>
      </c>
      <c r="P227" s="17">
        <f t="shared" si="43"/>
        <v>5.0600000000000005</v>
      </c>
      <c r="Q227" s="17">
        <f t="shared" si="44"/>
        <v>-0.70802255995861829</v>
      </c>
      <c r="R227" s="17">
        <f t="shared" si="37"/>
        <v>-0.13418216704691605</v>
      </c>
      <c r="S227" s="17">
        <f t="shared" si="38"/>
        <v>0.68583568230021719</v>
      </c>
      <c r="T227" s="17">
        <f t="shared" si="39"/>
        <v>0.32706264067659091</v>
      </c>
      <c r="U227" s="16">
        <v>4</v>
      </c>
      <c r="V227" s="16">
        <v>4</v>
      </c>
      <c r="W227" s="16">
        <v>5</v>
      </c>
      <c r="X227" s="16">
        <v>5</v>
      </c>
      <c r="Y227" s="15">
        <v>0.27200000000000002</v>
      </c>
      <c r="Z227" s="15">
        <v>0.40133333333299998</v>
      </c>
      <c r="AA227" s="15">
        <v>0.491333333333</v>
      </c>
      <c r="AB227" s="15">
        <v>0.60599999999999998</v>
      </c>
      <c r="AC227" s="3">
        <f t="shared" si="45"/>
        <v>-1.636575565177341</v>
      </c>
      <c r="AD227" s="3">
        <f t="shared" si="46"/>
        <v>-1.5038750186633452</v>
      </c>
      <c r="AE227" s="3">
        <f t="shared" si="47"/>
        <v>-1.5477852964503616</v>
      </c>
      <c r="AF227" s="3">
        <f t="shared" si="48"/>
        <v>-1.4020080261924381</v>
      </c>
    </row>
    <row r="228" spans="1:32" x14ac:dyDescent="0.2">
      <c r="A228" s="30">
        <v>226</v>
      </c>
      <c r="B228" s="9" t="s">
        <v>1027</v>
      </c>
      <c r="C228" s="12">
        <v>68225</v>
      </c>
      <c r="D228" s="13" t="s">
        <v>227</v>
      </c>
      <c r="E228" s="17">
        <v>11.6364418179</v>
      </c>
      <c r="F228" s="17">
        <v>58.092089387100003</v>
      </c>
      <c r="G228" s="14">
        <v>152</v>
      </c>
      <c r="H228" s="17">
        <v>7.79</v>
      </c>
      <c r="I228" s="17">
        <v>8.07</v>
      </c>
      <c r="J228" s="17">
        <v>9.82</v>
      </c>
      <c r="K228" s="17">
        <v>12.12</v>
      </c>
      <c r="L228" s="17">
        <v>12.97</v>
      </c>
      <c r="M228" s="17">
        <f t="shared" si="40"/>
        <v>0.28000000000000025</v>
      </c>
      <c r="N228" s="17">
        <f t="shared" si="41"/>
        <v>2.0300000000000002</v>
      </c>
      <c r="O228" s="17">
        <f t="shared" si="42"/>
        <v>4.3299999999999992</v>
      </c>
      <c r="P228" s="17">
        <f t="shared" si="43"/>
        <v>5.1800000000000006</v>
      </c>
      <c r="Q228" s="17">
        <f t="shared" si="44"/>
        <v>-0.7080225599586194</v>
      </c>
      <c r="R228" s="17">
        <f t="shared" si="37"/>
        <v>-0.10602498066502657</v>
      </c>
      <c r="S228" s="17">
        <f t="shared" si="38"/>
        <v>0.98776182204614893</v>
      </c>
      <c r="T228" s="17">
        <f t="shared" si="39"/>
        <v>0.44852366289727669</v>
      </c>
      <c r="U228" s="16">
        <v>0</v>
      </c>
      <c r="V228" s="16">
        <v>4</v>
      </c>
      <c r="W228" s="16">
        <v>6</v>
      </c>
      <c r="X228" s="16">
        <v>8</v>
      </c>
      <c r="Y228" s="15">
        <v>0.18675</v>
      </c>
      <c r="Z228" s="15">
        <v>0.31</v>
      </c>
      <c r="AA228" s="15">
        <v>0.40100000000000002</v>
      </c>
      <c r="AB228" s="15">
        <v>0.51549999999999996</v>
      </c>
      <c r="AC228" s="3">
        <f t="shared" si="45"/>
        <v>-2.4243432046768509</v>
      </c>
      <c r="AD228" s="3">
        <f t="shared" si="46"/>
        <v>-2.3234468818453662</v>
      </c>
      <c r="AE228" s="3">
        <f t="shared" si="47"/>
        <v>-2.2915220379218977</v>
      </c>
      <c r="AF228" s="3">
        <f t="shared" si="48"/>
        <v>-2.1454251636449104</v>
      </c>
    </row>
    <row r="229" spans="1:32" x14ac:dyDescent="0.2">
      <c r="A229" s="30">
        <v>227</v>
      </c>
      <c r="B229" s="9" t="s">
        <v>1028</v>
      </c>
      <c r="C229" s="12">
        <v>68243</v>
      </c>
      <c r="D229" s="13" t="s">
        <v>228</v>
      </c>
      <c r="E229" s="17">
        <v>-4.0086213513800004</v>
      </c>
      <c r="F229" s="17">
        <v>52.531998389999998</v>
      </c>
      <c r="G229" s="14">
        <v>56</v>
      </c>
      <c r="H229" s="17">
        <v>11.06</v>
      </c>
      <c r="I229" s="17">
        <v>10.55</v>
      </c>
      <c r="J229" s="17">
        <v>11.93</v>
      </c>
      <c r="K229" s="17">
        <v>13.4</v>
      </c>
      <c r="L229" s="17">
        <v>14.7</v>
      </c>
      <c r="M229" s="17">
        <f t="shared" si="40"/>
        <v>-0.50999999999999979</v>
      </c>
      <c r="N229" s="17">
        <f t="shared" si="41"/>
        <v>0.86999999999999922</v>
      </c>
      <c r="O229" s="17">
        <f t="shared" si="42"/>
        <v>2.34</v>
      </c>
      <c r="P229" s="17">
        <f t="shared" si="43"/>
        <v>3.6399999999999988</v>
      </c>
      <c r="Q229" s="17">
        <f t="shared" si="44"/>
        <v>-1.6705344956970234</v>
      </c>
      <c r="R229" s="17">
        <f t="shared" si="37"/>
        <v>-1.7391417908147246</v>
      </c>
      <c r="S229" s="17">
        <f t="shared" si="38"/>
        <v>-1.3231344013938764</v>
      </c>
      <c r="T229" s="17">
        <f t="shared" si="39"/>
        <v>-1.1102261222681913</v>
      </c>
      <c r="U229" s="16">
        <v>0</v>
      </c>
      <c r="V229" s="16">
        <v>0</v>
      </c>
      <c r="W229" s="16">
        <v>0</v>
      </c>
      <c r="X229" s="16">
        <v>0</v>
      </c>
      <c r="Y229" s="15">
        <v>0.41299999999999998</v>
      </c>
      <c r="Z229" s="15">
        <v>0.52700000000000002</v>
      </c>
      <c r="AA229" s="15">
        <v>0.61299999999999999</v>
      </c>
      <c r="AB229" s="15">
        <v>0.70799999999999996</v>
      </c>
      <c r="AC229" s="3">
        <f t="shared" si="45"/>
        <v>-0.33364023181158403</v>
      </c>
      <c r="AD229" s="3">
        <f t="shared" si="46"/>
        <v>-0.37621592223425965</v>
      </c>
      <c r="AE229" s="3">
        <f t="shared" si="47"/>
        <v>-0.54607344907450861</v>
      </c>
      <c r="AF229" s="3">
        <f t="shared" si="48"/>
        <v>-0.56412351768246993</v>
      </c>
    </row>
    <row r="230" spans="1:32" x14ac:dyDescent="0.2">
      <c r="A230" s="30">
        <v>228</v>
      </c>
      <c r="B230" s="9" t="s">
        <v>1029</v>
      </c>
      <c r="C230" s="12">
        <v>68247</v>
      </c>
      <c r="D230" s="13" t="s">
        <v>229</v>
      </c>
      <c r="E230" s="17">
        <v>-1.8331101509200001</v>
      </c>
      <c r="F230" s="17">
        <v>55.668090529399997</v>
      </c>
      <c r="G230" s="14">
        <v>80</v>
      </c>
      <c r="H230" s="17">
        <v>7.8</v>
      </c>
      <c r="I230" s="17">
        <v>7.86</v>
      </c>
      <c r="J230" s="17">
        <v>9.35</v>
      </c>
      <c r="K230" s="17">
        <v>11.09</v>
      </c>
      <c r="L230" s="17">
        <v>12.24</v>
      </c>
      <c r="M230" s="17">
        <f t="shared" si="40"/>
        <v>6.0000000000000497E-2</v>
      </c>
      <c r="N230" s="17">
        <f t="shared" si="41"/>
        <v>1.5499999999999998</v>
      </c>
      <c r="O230" s="17">
        <f t="shared" si="42"/>
        <v>3.29</v>
      </c>
      <c r="P230" s="17">
        <f t="shared" si="43"/>
        <v>4.4400000000000004</v>
      </c>
      <c r="Q230" s="17">
        <f t="shared" si="44"/>
        <v>-0.97606385851868094</v>
      </c>
      <c r="R230" s="17">
        <f t="shared" si="37"/>
        <v>-0.78179745383041888</v>
      </c>
      <c r="S230" s="17">
        <f t="shared" si="38"/>
        <v>-0.21994273693758234</v>
      </c>
      <c r="T230" s="17">
        <f t="shared" si="39"/>
        <v>-0.30048597413028516</v>
      </c>
      <c r="U230" s="16">
        <v>3</v>
      </c>
      <c r="V230" s="16">
        <v>6</v>
      </c>
      <c r="W230" s="16">
        <v>8</v>
      </c>
      <c r="X230" s="16">
        <v>8</v>
      </c>
      <c r="Y230" s="15">
        <v>0.40600000000000003</v>
      </c>
      <c r="Z230" s="15">
        <v>0.52600000000000002</v>
      </c>
      <c r="AA230" s="15">
        <v>0.60399999999999998</v>
      </c>
      <c r="AB230" s="15">
        <v>0.71799999999999997</v>
      </c>
      <c r="AC230" s="3">
        <f t="shared" si="45"/>
        <v>-0.39832496467371337</v>
      </c>
      <c r="AD230" s="3">
        <f t="shared" si="46"/>
        <v>-0.38518933679467948</v>
      </c>
      <c r="AE230" s="3">
        <f t="shared" si="47"/>
        <v>-0.62017268161991668</v>
      </c>
      <c r="AF230" s="3">
        <f t="shared" si="48"/>
        <v>-0.48197797763247291</v>
      </c>
    </row>
    <row r="231" spans="1:32" x14ac:dyDescent="0.2">
      <c r="A231" s="30">
        <v>229</v>
      </c>
      <c r="B231" s="9" t="s">
        <v>1030</v>
      </c>
      <c r="C231" s="12">
        <v>68252</v>
      </c>
      <c r="D231" s="13" t="s">
        <v>230</v>
      </c>
      <c r="E231" s="17">
        <v>1.61820107826</v>
      </c>
      <c r="F231" s="17">
        <v>52.2862797214</v>
      </c>
      <c r="G231" s="14">
        <v>10</v>
      </c>
      <c r="H231" s="17">
        <v>11.11</v>
      </c>
      <c r="I231" s="17">
        <v>10.58</v>
      </c>
      <c r="J231" s="17">
        <v>12.28</v>
      </c>
      <c r="K231" s="17">
        <v>14.44</v>
      </c>
      <c r="L231" s="17">
        <v>15.43</v>
      </c>
      <c r="M231" s="17">
        <f t="shared" si="40"/>
        <v>-0.52999999999999936</v>
      </c>
      <c r="N231" s="17">
        <f t="shared" si="41"/>
        <v>1.17</v>
      </c>
      <c r="O231" s="17">
        <f t="shared" si="42"/>
        <v>3.33</v>
      </c>
      <c r="P231" s="17">
        <f t="shared" si="43"/>
        <v>4.32</v>
      </c>
      <c r="Q231" s="17">
        <f t="shared" si="44"/>
        <v>-1.6949018864752103</v>
      </c>
      <c r="R231" s="17">
        <f t="shared" si="37"/>
        <v>-1.3167839950863538</v>
      </c>
      <c r="S231" s="17">
        <f t="shared" si="38"/>
        <v>-0.17349256159205415</v>
      </c>
      <c r="T231" s="17">
        <f t="shared" si="39"/>
        <v>-0.42194699635097094</v>
      </c>
      <c r="U231" s="16">
        <v>1</v>
      </c>
      <c r="V231" s="16">
        <v>4</v>
      </c>
      <c r="W231" s="16">
        <v>5</v>
      </c>
      <c r="X231" s="16">
        <v>5</v>
      </c>
      <c r="Y231" s="15">
        <v>0.49049999999999999</v>
      </c>
      <c r="Z231" s="15">
        <v>0.61650000000000005</v>
      </c>
      <c r="AA231" s="15">
        <v>0.70450000000000002</v>
      </c>
      <c r="AB231" s="15">
        <v>0.81899999999999995</v>
      </c>
      <c r="AC231" s="3">
        <f t="shared" si="45"/>
        <v>0.38251216773342461</v>
      </c>
      <c r="AD231" s="3">
        <f t="shared" si="46"/>
        <v>0.42690468092331668</v>
      </c>
      <c r="AE231" s="3">
        <f t="shared" si="47"/>
        <v>0.20726874847047344</v>
      </c>
      <c r="AF231" s="3">
        <f t="shared" si="48"/>
        <v>0.34769197687249559</v>
      </c>
    </row>
    <row r="232" spans="1:32" x14ac:dyDescent="0.2">
      <c r="A232" s="30">
        <v>230</v>
      </c>
      <c r="B232" s="9" t="s">
        <v>1031</v>
      </c>
      <c r="C232" s="12">
        <v>68253</v>
      </c>
      <c r="D232" s="13" t="s">
        <v>231</v>
      </c>
      <c r="E232" s="17">
        <v>0.81578043079399998</v>
      </c>
      <c r="F232" s="17">
        <v>52.971279746500002</v>
      </c>
      <c r="G232" s="14">
        <v>113</v>
      </c>
      <c r="H232" s="17">
        <v>10.96</v>
      </c>
      <c r="I232" s="17">
        <v>10.38</v>
      </c>
      <c r="J232" s="17">
        <v>12.13</v>
      </c>
      <c r="K232" s="17">
        <v>14.17</v>
      </c>
      <c r="L232" s="17">
        <v>15.19</v>
      </c>
      <c r="M232" s="17">
        <f t="shared" si="40"/>
        <v>-0.58000000000000007</v>
      </c>
      <c r="N232" s="17">
        <f t="shared" si="41"/>
        <v>1.17</v>
      </c>
      <c r="O232" s="17">
        <f t="shared" si="42"/>
        <v>3.2099999999999991</v>
      </c>
      <c r="P232" s="17">
        <f t="shared" si="43"/>
        <v>4.2299999999999986</v>
      </c>
      <c r="Q232" s="17">
        <f t="shared" si="44"/>
        <v>-1.7558203634206799</v>
      </c>
      <c r="R232" s="17">
        <f t="shared" si="37"/>
        <v>-1.3167839950863538</v>
      </c>
      <c r="S232" s="17">
        <f t="shared" si="38"/>
        <v>-0.31284308762863977</v>
      </c>
      <c r="T232" s="17">
        <f t="shared" si="39"/>
        <v>-0.51304276301648688</v>
      </c>
      <c r="U232" s="16">
        <v>17</v>
      </c>
      <c r="V232" s="16">
        <v>18</v>
      </c>
      <c r="W232" s="16">
        <v>22</v>
      </c>
      <c r="X232" s="16">
        <v>25</v>
      </c>
      <c r="Y232" s="15">
        <v>0.504</v>
      </c>
      <c r="Z232" s="15">
        <v>0.62949999999999995</v>
      </c>
      <c r="AA232" s="15">
        <v>0.71499999999999997</v>
      </c>
      <c r="AB232" s="15">
        <v>0.83</v>
      </c>
      <c r="AC232" s="3">
        <f t="shared" si="45"/>
        <v>0.50726129539610365</v>
      </c>
      <c r="AD232" s="3">
        <f t="shared" si="46"/>
        <v>0.54355907020877381</v>
      </c>
      <c r="AE232" s="3">
        <f t="shared" si="47"/>
        <v>0.29371785310678244</v>
      </c>
      <c r="AF232" s="3">
        <f t="shared" si="48"/>
        <v>0.43805207092749227</v>
      </c>
    </row>
    <row r="233" spans="1:32" x14ac:dyDescent="0.2">
      <c r="A233" s="30">
        <v>231</v>
      </c>
      <c r="B233" s="9" t="s">
        <v>1032</v>
      </c>
      <c r="C233" s="12">
        <v>68260</v>
      </c>
      <c r="D233" s="13" t="s">
        <v>232</v>
      </c>
      <c r="E233" s="17">
        <v>0.861780594866</v>
      </c>
      <c r="F233" s="17">
        <v>51.825141206200001</v>
      </c>
      <c r="G233" s="14">
        <v>22</v>
      </c>
      <c r="H233" s="17">
        <v>11.35</v>
      </c>
      <c r="I233" s="17">
        <v>10.88</v>
      </c>
      <c r="J233" s="17">
        <v>12.6</v>
      </c>
      <c r="K233" s="17">
        <v>14.72</v>
      </c>
      <c r="L233" s="17">
        <v>15.83</v>
      </c>
      <c r="M233" s="17">
        <f t="shared" si="40"/>
        <v>-0.46999999999999886</v>
      </c>
      <c r="N233" s="17">
        <f t="shared" si="41"/>
        <v>1.25</v>
      </c>
      <c r="O233" s="17">
        <f t="shared" si="42"/>
        <v>3.370000000000001</v>
      </c>
      <c r="P233" s="17">
        <f t="shared" si="43"/>
        <v>4.4800000000000004</v>
      </c>
      <c r="Q233" s="17">
        <f t="shared" si="44"/>
        <v>-1.6217997141406475</v>
      </c>
      <c r="R233" s="17">
        <f t="shared" si="37"/>
        <v>-1.2041552495587884</v>
      </c>
      <c r="S233" s="17">
        <f t="shared" si="38"/>
        <v>-0.12704238624652492</v>
      </c>
      <c r="T233" s="17">
        <f t="shared" si="39"/>
        <v>-0.2599989667233899</v>
      </c>
      <c r="U233" s="16">
        <v>0</v>
      </c>
      <c r="V233" s="16">
        <v>0</v>
      </c>
      <c r="W233" s="16">
        <v>0</v>
      </c>
      <c r="X233" s="16">
        <v>0</v>
      </c>
      <c r="Y233" s="15">
        <v>0.45733333333300002</v>
      </c>
      <c r="Z233" s="15">
        <v>0.58266666666699996</v>
      </c>
      <c r="AA233" s="15">
        <v>0.67066666666700003</v>
      </c>
      <c r="AB233" s="15">
        <v>0.78466666666700002</v>
      </c>
      <c r="AC233" s="3">
        <f t="shared" si="45"/>
        <v>7.6029742978824907E-2</v>
      </c>
      <c r="AD233" s="3">
        <f t="shared" si="46"/>
        <v>0.12330415496543558</v>
      </c>
      <c r="AE233" s="3">
        <f t="shared" si="47"/>
        <v>-7.1289477577112237E-2</v>
      </c>
      <c r="AF233" s="3">
        <f t="shared" si="48"/>
        <v>6.5658956036911686E-2</v>
      </c>
    </row>
    <row r="234" spans="1:32" x14ac:dyDescent="0.2">
      <c r="A234" s="30">
        <v>232</v>
      </c>
      <c r="B234" s="9" t="s">
        <v>1033</v>
      </c>
      <c r="C234" s="12">
        <v>68262</v>
      </c>
      <c r="D234" s="13" t="s">
        <v>233</v>
      </c>
      <c r="E234" s="17">
        <v>-3.1885719897499998</v>
      </c>
      <c r="F234" s="17">
        <v>53.316575977900001</v>
      </c>
      <c r="G234" s="14">
        <v>246</v>
      </c>
      <c r="H234" s="17">
        <v>9.8699999999999992</v>
      </c>
      <c r="I234" s="17">
        <v>9.43</v>
      </c>
      <c r="J234" s="17">
        <v>10.86</v>
      </c>
      <c r="K234" s="17">
        <v>12.4</v>
      </c>
      <c r="L234" s="17">
        <v>13.6</v>
      </c>
      <c r="M234" s="17">
        <f t="shared" si="40"/>
        <v>-0.4399999999999995</v>
      </c>
      <c r="N234" s="17">
        <f t="shared" si="41"/>
        <v>0.99000000000000021</v>
      </c>
      <c r="O234" s="17">
        <f t="shared" si="42"/>
        <v>2.5300000000000011</v>
      </c>
      <c r="P234" s="17">
        <f t="shared" si="43"/>
        <v>3.7300000000000004</v>
      </c>
      <c r="Q234" s="17">
        <f t="shared" si="44"/>
        <v>-1.5852486279733671</v>
      </c>
      <c r="R234" s="17">
        <f t="shared" si="37"/>
        <v>-1.5701986725233754</v>
      </c>
      <c r="S234" s="17">
        <f t="shared" si="38"/>
        <v>-1.1024960685026162</v>
      </c>
      <c r="T234" s="17">
        <f t="shared" si="39"/>
        <v>-1.0191303556026754</v>
      </c>
      <c r="U234" s="16">
        <v>1</v>
      </c>
      <c r="V234" s="16">
        <v>2</v>
      </c>
      <c r="W234" s="16">
        <v>3</v>
      </c>
      <c r="X234" s="16">
        <v>3</v>
      </c>
      <c r="Y234" s="15">
        <v>0.42099999999999999</v>
      </c>
      <c r="Z234" s="15">
        <v>0.53866666666700003</v>
      </c>
      <c r="AA234" s="15">
        <v>0.62466666666699999</v>
      </c>
      <c r="AB234" s="15">
        <v>0.72233333333299998</v>
      </c>
      <c r="AC234" s="3">
        <f t="shared" si="45"/>
        <v>-0.25971482282629277</v>
      </c>
      <c r="AD234" s="3">
        <f t="shared" si="46"/>
        <v>-0.27152608569303693</v>
      </c>
      <c r="AE234" s="3">
        <f t="shared" si="47"/>
        <v>-0.45001888836475368</v>
      </c>
      <c r="AF234" s="3">
        <f t="shared" si="48"/>
        <v>-0.44638157694687902</v>
      </c>
    </row>
    <row r="235" spans="1:32" x14ac:dyDescent="0.2">
      <c r="A235" s="30">
        <v>233</v>
      </c>
      <c r="B235" s="9" t="s">
        <v>1034</v>
      </c>
      <c r="C235" s="12">
        <v>68263</v>
      </c>
      <c r="D235" s="13" t="s">
        <v>234</v>
      </c>
      <c r="E235" s="17">
        <v>0.87312103284499998</v>
      </c>
      <c r="F235" s="17">
        <v>51.3622494285</v>
      </c>
      <c r="G235" s="14">
        <v>66</v>
      </c>
      <c r="H235" s="17">
        <v>11.32</v>
      </c>
      <c r="I235" s="17">
        <v>10.82</v>
      </c>
      <c r="J235" s="17">
        <v>12.56</v>
      </c>
      <c r="K235" s="17">
        <v>14.74</v>
      </c>
      <c r="L235" s="17">
        <v>15.88</v>
      </c>
      <c r="M235" s="17">
        <f t="shared" si="40"/>
        <v>-0.5</v>
      </c>
      <c r="N235" s="17">
        <f t="shared" si="41"/>
        <v>1.2400000000000002</v>
      </c>
      <c r="O235" s="17">
        <f t="shared" si="42"/>
        <v>3.42</v>
      </c>
      <c r="P235" s="17">
        <f t="shared" si="43"/>
        <v>4.5600000000000005</v>
      </c>
      <c r="Q235" s="17">
        <f t="shared" si="44"/>
        <v>-1.6583508003079299</v>
      </c>
      <c r="R235" s="17">
        <f t="shared" si="37"/>
        <v>-1.2182338427497339</v>
      </c>
      <c r="S235" s="17">
        <f t="shared" si="38"/>
        <v>-6.8979667064615946E-2</v>
      </c>
      <c r="T235" s="17">
        <f t="shared" si="39"/>
        <v>-0.17902495190959938</v>
      </c>
      <c r="U235" s="16">
        <v>3</v>
      </c>
      <c r="V235" s="16">
        <v>4</v>
      </c>
      <c r="W235" s="16">
        <v>6</v>
      </c>
      <c r="X235" s="16">
        <v>8</v>
      </c>
      <c r="Y235" s="15">
        <v>0.47633333333299999</v>
      </c>
      <c r="Z235" s="15">
        <v>0.60366666666699997</v>
      </c>
      <c r="AA235" s="15">
        <v>0.69233333333299996</v>
      </c>
      <c r="AB235" s="15">
        <v>0.80466666666700004</v>
      </c>
      <c r="AC235" s="3">
        <f t="shared" si="45"/>
        <v>0.25160258931889118</v>
      </c>
      <c r="AD235" s="3">
        <f t="shared" si="46"/>
        <v>0.31174586073425248</v>
      </c>
      <c r="AE235" s="3">
        <f t="shared" si="47"/>
        <v>0.10709756373041766</v>
      </c>
      <c r="AF235" s="3">
        <f t="shared" si="48"/>
        <v>0.22995003613690565</v>
      </c>
    </row>
    <row r="236" spans="1:32" x14ac:dyDescent="0.2">
      <c r="A236" s="30">
        <v>234</v>
      </c>
      <c r="B236" s="9" t="s">
        <v>1035</v>
      </c>
      <c r="C236" s="12">
        <v>68264</v>
      </c>
      <c r="D236" s="13" t="s">
        <v>235</v>
      </c>
      <c r="E236" s="17">
        <v>-2.5374561115800001</v>
      </c>
      <c r="F236" s="17">
        <v>50.617971341699999</v>
      </c>
      <c r="G236" s="14">
        <v>39</v>
      </c>
      <c r="H236" s="17">
        <v>11.7</v>
      </c>
      <c r="I236" s="17">
        <v>11.14</v>
      </c>
      <c r="J236" s="17">
        <v>12.52</v>
      </c>
      <c r="K236" s="17">
        <v>14.35</v>
      </c>
      <c r="L236" s="17">
        <v>15.59</v>
      </c>
      <c r="M236" s="17">
        <f t="shared" si="40"/>
        <v>-0.55999999999999872</v>
      </c>
      <c r="N236" s="17">
        <f t="shared" si="41"/>
        <v>0.82000000000000028</v>
      </c>
      <c r="O236" s="17">
        <f t="shared" si="42"/>
        <v>2.6500000000000004</v>
      </c>
      <c r="P236" s="17">
        <f t="shared" si="43"/>
        <v>3.8900000000000006</v>
      </c>
      <c r="Q236" s="17">
        <f t="shared" si="44"/>
        <v>-1.7314529726424908</v>
      </c>
      <c r="R236" s="17">
        <f t="shared" si="37"/>
        <v>-1.8095347567694515</v>
      </c>
      <c r="S236" s="17">
        <f t="shared" si="38"/>
        <v>-0.96314554246603257</v>
      </c>
      <c r="T236" s="17">
        <f t="shared" si="39"/>
        <v>-0.85718232597509436</v>
      </c>
      <c r="U236" s="16">
        <v>4</v>
      </c>
      <c r="V236" s="16">
        <v>4</v>
      </c>
      <c r="W236" s="16">
        <v>4</v>
      </c>
      <c r="X236" s="16">
        <v>4</v>
      </c>
      <c r="Y236" s="15">
        <v>0.43049999999999999</v>
      </c>
      <c r="Z236" s="15">
        <v>0.54700000000000004</v>
      </c>
      <c r="AA236" s="15">
        <v>0.63800000000000001</v>
      </c>
      <c r="AB236" s="15">
        <v>0.73550000000000004</v>
      </c>
      <c r="AC236" s="3">
        <f t="shared" si="45"/>
        <v>-0.17192839965625939</v>
      </c>
      <c r="AD236" s="3">
        <f t="shared" si="46"/>
        <v>-0.1967476310258626</v>
      </c>
      <c r="AE236" s="3">
        <f t="shared" si="47"/>
        <v>-0.34024224755948601</v>
      </c>
      <c r="AF236" s="3">
        <f t="shared" si="48"/>
        <v>-0.33822328254497774</v>
      </c>
    </row>
    <row r="237" spans="1:32" x14ac:dyDescent="0.2">
      <c r="A237" s="30">
        <v>235</v>
      </c>
      <c r="B237" s="9" t="s">
        <v>1036</v>
      </c>
      <c r="C237" s="12">
        <v>68273</v>
      </c>
      <c r="D237" s="13" t="s">
        <v>236</v>
      </c>
      <c r="E237" s="17">
        <v>-3.42580493008</v>
      </c>
      <c r="F237" s="17">
        <v>54.905797530199997</v>
      </c>
      <c r="G237" s="14">
        <v>830</v>
      </c>
      <c r="H237" s="17">
        <v>8.99</v>
      </c>
      <c r="I237" s="17">
        <v>9.0399999999999991</v>
      </c>
      <c r="J237" s="17">
        <v>10.44</v>
      </c>
      <c r="K237" s="17">
        <v>11.99</v>
      </c>
      <c r="L237" s="17">
        <v>13.1</v>
      </c>
      <c r="M237" s="17">
        <f t="shared" si="40"/>
        <v>4.9999999999998934E-2</v>
      </c>
      <c r="N237" s="17">
        <f t="shared" si="41"/>
        <v>1.4499999999999993</v>
      </c>
      <c r="O237" s="17">
        <f t="shared" si="42"/>
        <v>3</v>
      </c>
      <c r="P237" s="17">
        <f t="shared" si="43"/>
        <v>4.1099999999999994</v>
      </c>
      <c r="Q237" s="17">
        <f t="shared" si="44"/>
        <v>-0.98824755390777663</v>
      </c>
      <c r="R237" s="17">
        <f t="shared" si="37"/>
        <v>-0.9225833857398763</v>
      </c>
      <c r="S237" s="17">
        <f t="shared" si="38"/>
        <v>-0.55670650819266154</v>
      </c>
      <c r="T237" s="17">
        <f t="shared" si="39"/>
        <v>-0.63450378523717177</v>
      </c>
      <c r="U237" s="16">
        <v>9</v>
      </c>
      <c r="V237" s="16">
        <v>10</v>
      </c>
      <c r="W237" s="16">
        <v>13</v>
      </c>
      <c r="X237" s="16">
        <v>14</v>
      </c>
      <c r="Y237" s="15">
        <v>0.374</v>
      </c>
      <c r="Z237" s="15">
        <v>0.49199999999999999</v>
      </c>
      <c r="AA237" s="15">
        <v>0.57299999999999995</v>
      </c>
      <c r="AB237" s="15">
        <v>0.67800000000000005</v>
      </c>
      <c r="AC237" s="3">
        <f t="shared" si="45"/>
        <v>-0.69402660061487842</v>
      </c>
      <c r="AD237" s="3">
        <f t="shared" si="46"/>
        <v>-0.69028543184895452</v>
      </c>
      <c r="AE237" s="3">
        <f t="shared" si="47"/>
        <v>-0.87540337149854464</v>
      </c>
      <c r="AF237" s="3">
        <f t="shared" si="48"/>
        <v>-0.81056013783245995</v>
      </c>
    </row>
    <row r="238" spans="1:32" x14ac:dyDescent="0.2">
      <c r="A238" s="30">
        <v>236</v>
      </c>
      <c r="B238" s="9" t="s">
        <v>1037</v>
      </c>
      <c r="C238" s="12">
        <v>68274</v>
      </c>
      <c r="D238" s="13" t="s">
        <v>237</v>
      </c>
      <c r="E238" s="17">
        <v>-0.95006276043299998</v>
      </c>
      <c r="F238" s="17">
        <v>50.812679611699998</v>
      </c>
      <c r="G238" s="14">
        <v>128</v>
      </c>
      <c r="H238" s="17">
        <v>11.95</v>
      </c>
      <c r="I238" s="17">
        <v>11.48</v>
      </c>
      <c r="J238" s="17">
        <v>12.98</v>
      </c>
      <c r="K238" s="17">
        <v>14.99</v>
      </c>
      <c r="L238" s="17">
        <v>16.25</v>
      </c>
      <c r="M238" s="17">
        <f t="shared" si="40"/>
        <v>-0.46999999999999886</v>
      </c>
      <c r="N238" s="17">
        <f t="shared" si="41"/>
        <v>1.0300000000000011</v>
      </c>
      <c r="O238" s="17">
        <f t="shared" si="42"/>
        <v>3.0400000000000009</v>
      </c>
      <c r="P238" s="17">
        <f t="shared" si="43"/>
        <v>4.3000000000000007</v>
      </c>
      <c r="Q238" s="17">
        <f t="shared" si="44"/>
        <v>-1.6217997141406475</v>
      </c>
      <c r="R238" s="17">
        <f t="shared" si="37"/>
        <v>-1.5138842997595914</v>
      </c>
      <c r="S238" s="17">
        <f t="shared" si="38"/>
        <v>-0.51025633284713234</v>
      </c>
      <c r="T238" s="17">
        <f t="shared" si="39"/>
        <v>-0.44219050005441812</v>
      </c>
      <c r="U238" s="16">
        <v>11</v>
      </c>
      <c r="V238" s="16">
        <v>13</v>
      </c>
      <c r="W238" s="16">
        <v>13</v>
      </c>
      <c r="X238" s="16">
        <v>16</v>
      </c>
      <c r="Y238" s="15">
        <v>0.42849999999999999</v>
      </c>
      <c r="Z238" s="15">
        <v>0.55249999999999999</v>
      </c>
      <c r="AA238" s="15">
        <v>0.64200000000000002</v>
      </c>
      <c r="AB238" s="15">
        <v>0.74399999999999999</v>
      </c>
      <c r="AC238" s="3">
        <f t="shared" si="45"/>
        <v>-0.19040975190258222</v>
      </c>
      <c r="AD238" s="3">
        <f t="shared" si="46"/>
        <v>-0.14739385094355389</v>
      </c>
      <c r="AE238" s="3">
        <f t="shared" si="47"/>
        <v>-0.30730925531708242</v>
      </c>
      <c r="AF238" s="3">
        <f t="shared" si="48"/>
        <v>-0.26839957350248078</v>
      </c>
    </row>
    <row r="239" spans="1:32" x14ac:dyDescent="0.2">
      <c r="A239" s="30">
        <v>237</v>
      </c>
      <c r="B239" s="9" t="s">
        <v>1038</v>
      </c>
      <c r="C239" s="12">
        <v>68276</v>
      </c>
      <c r="D239" s="13" t="s">
        <v>238</v>
      </c>
      <c r="E239" s="17">
        <v>0.28700518199000002</v>
      </c>
      <c r="F239" s="17">
        <v>52.937464312099998</v>
      </c>
      <c r="G239" s="14">
        <v>1137</v>
      </c>
      <c r="H239" s="17">
        <v>10.73</v>
      </c>
      <c r="I239" s="17">
        <v>10.210000000000001</v>
      </c>
      <c r="J239" s="17">
        <v>11.91</v>
      </c>
      <c r="K239" s="17">
        <v>14.04</v>
      </c>
      <c r="L239" s="17">
        <v>15.09</v>
      </c>
      <c r="M239" s="17">
        <f t="shared" si="40"/>
        <v>-0.51999999999999957</v>
      </c>
      <c r="N239" s="17">
        <f t="shared" si="41"/>
        <v>1.1799999999999997</v>
      </c>
      <c r="O239" s="17">
        <f t="shared" si="42"/>
        <v>3.3099999999999987</v>
      </c>
      <c r="P239" s="17">
        <f t="shared" si="43"/>
        <v>4.3599999999999994</v>
      </c>
      <c r="Q239" s="17">
        <f t="shared" si="44"/>
        <v>-1.6827181910861169</v>
      </c>
      <c r="R239" s="17">
        <f t="shared" si="37"/>
        <v>-1.3027054018954085</v>
      </c>
      <c r="S239" s="17">
        <f t="shared" si="38"/>
        <v>-0.1967176492648198</v>
      </c>
      <c r="T239" s="17">
        <f t="shared" si="39"/>
        <v>-0.38145998894407662</v>
      </c>
      <c r="U239" s="16">
        <v>21</v>
      </c>
      <c r="V239" s="16">
        <v>32</v>
      </c>
      <c r="W239" s="16">
        <v>33</v>
      </c>
      <c r="X239" s="16">
        <v>40</v>
      </c>
      <c r="Y239" s="15">
        <v>0.48399999999999999</v>
      </c>
      <c r="Z239" s="15">
        <v>0.60799999999999998</v>
      </c>
      <c r="AA239" s="15">
        <v>0.69399999999999995</v>
      </c>
      <c r="AB239" s="15">
        <v>0.80600000000000005</v>
      </c>
      <c r="AC239" s="3">
        <f t="shared" si="45"/>
        <v>0.32244777293287546</v>
      </c>
      <c r="AD239" s="3">
        <f t="shared" si="46"/>
        <v>0.35063065715974745</v>
      </c>
      <c r="AE239" s="3">
        <f t="shared" si="47"/>
        <v>0.12081964383416352</v>
      </c>
      <c r="AF239" s="3">
        <f t="shared" si="48"/>
        <v>0.24090277480750044</v>
      </c>
    </row>
    <row r="240" spans="1:32" x14ac:dyDescent="0.2">
      <c r="A240" s="30">
        <v>238</v>
      </c>
      <c r="B240" s="9" t="s">
        <v>1039</v>
      </c>
      <c r="C240" s="12">
        <v>68277</v>
      </c>
      <c r="D240" s="13" t="s">
        <v>239</v>
      </c>
      <c r="E240" s="17">
        <v>-0.76422094239299998</v>
      </c>
      <c r="F240" s="17">
        <v>50.764932428800002</v>
      </c>
      <c r="G240" s="14">
        <v>13</v>
      </c>
      <c r="H240" s="17">
        <v>12.17</v>
      </c>
      <c r="I240" s="17">
        <v>11.7</v>
      </c>
      <c r="J240" s="17">
        <v>13.22</v>
      </c>
      <c r="K240" s="17">
        <v>15.2</v>
      </c>
      <c r="L240" s="17">
        <v>16.47</v>
      </c>
      <c r="M240" s="17">
        <f t="shared" si="40"/>
        <v>-0.47000000000000064</v>
      </c>
      <c r="N240" s="17">
        <f t="shared" si="41"/>
        <v>1.0500000000000007</v>
      </c>
      <c r="O240" s="17">
        <f t="shared" si="42"/>
        <v>3.0299999999999994</v>
      </c>
      <c r="P240" s="17">
        <f t="shared" si="43"/>
        <v>4.2999999999999989</v>
      </c>
      <c r="Q240" s="17">
        <f t="shared" si="44"/>
        <v>-1.6217997141406495</v>
      </c>
      <c r="R240" s="17">
        <f t="shared" si="37"/>
        <v>-1.4857271133777008</v>
      </c>
      <c r="S240" s="17">
        <f t="shared" si="38"/>
        <v>-0.52186887668351623</v>
      </c>
      <c r="T240" s="17">
        <f t="shared" si="39"/>
        <v>-0.44219050005441995</v>
      </c>
      <c r="U240" s="16">
        <v>0</v>
      </c>
      <c r="V240" s="16">
        <v>2</v>
      </c>
      <c r="W240" s="16">
        <v>2</v>
      </c>
      <c r="X240" s="16">
        <v>2</v>
      </c>
      <c r="Y240" s="15">
        <v>0.42849999999999999</v>
      </c>
      <c r="Z240" s="15">
        <v>0.55249999999999999</v>
      </c>
      <c r="AA240" s="15">
        <v>0.64200000000000002</v>
      </c>
      <c r="AB240" s="15">
        <v>0.74399999999999999</v>
      </c>
      <c r="AC240" s="3">
        <f t="shared" si="45"/>
        <v>-0.19040975190258222</v>
      </c>
      <c r="AD240" s="3">
        <f t="shared" si="46"/>
        <v>-0.14739385094355389</v>
      </c>
      <c r="AE240" s="3">
        <f t="shared" si="47"/>
        <v>-0.30730925531708242</v>
      </c>
      <c r="AF240" s="3">
        <f t="shared" si="48"/>
        <v>-0.26839957350248078</v>
      </c>
    </row>
    <row r="241" spans="1:32" x14ac:dyDescent="0.2">
      <c r="A241" s="30">
        <v>239</v>
      </c>
      <c r="B241" s="9" t="s">
        <v>1040</v>
      </c>
      <c r="C241" s="12">
        <v>68278</v>
      </c>
      <c r="D241" s="13" t="s">
        <v>240</v>
      </c>
      <c r="E241" s="17">
        <v>-6.3253701141300001</v>
      </c>
      <c r="F241" s="17">
        <v>55.847890414600002</v>
      </c>
      <c r="G241" s="14">
        <v>29</v>
      </c>
      <c r="H241" s="17">
        <v>10.09</v>
      </c>
      <c r="I241" s="17">
        <v>10.06</v>
      </c>
      <c r="J241" s="17">
        <v>11.39</v>
      </c>
      <c r="K241" s="17">
        <v>12.58</v>
      </c>
      <c r="L241" s="17">
        <v>13.8</v>
      </c>
      <c r="M241" s="17">
        <f t="shared" si="40"/>
        <v>-2.9999999999999361E-2</v>
      </c>
      <c r="N241" s="17">
        <f t="shared" si="41"/>
        <v>1.3000000000000007</v>
      </c>
      <c r="O241" s="17">
        <f t="shared" si="42"/>
        <v>2.4900000000000002</v>
      </c>
      <c r="P241" s="17">
        <f t="shared" si="43"/>
        <v>3.7100000000000009</v>
      </c>
      <c r="Q241" s="17">
        <f t="shared" si="44"/>
        <v>-1.0857171170205242</v>
      </c>
      <c r="R241" s="17">
        <f t="shared" si="37"/>
        <v>-1.1337622836040591</v>
      </c>
      <c r="S241" s="17">
        <f t="shared" si="38"/>
        <v>-1.1489462438481455</v>
      </c>
      <c r="T241" s="17">
        <f t="shared" si="39"/>
        <v>-1.0393738593061226</v>
      </c>
      <c r="U241" s="16">
        <v>1</v>
      </c>
      <c r="V241" s="16">
        <v>1</v>
      </c>
      <c r="W241" s="16">
        <v>1</v>
      </c>
      <c r="X241" s="16">
        <v>2</v>
      </c>
      <c r="Y241" s="15">
        <v>0.27600000000000002</v>
      </c>
      <c r="Z241" s="15">
        <v>0.38500000000000001</v>
      </c>
      <c r="AA241" s="15">
        <v>0.45800000000000002</v>
      </c>
      <c r="AB241" s="15">
        <v>0.5605</v>
      </c>
      <c r="AC241" s="3">
        <f t="shared" si="45"/>
        <v>-1.5996128606846955</v>
      </c>
      <c r="AD241" s="3">
        <f t="shared" si="46"/>
        <v>-1.6504407898138778</v>
      </c>
      <c r="AE241" s="3">
        <f t="shared" si="47"/>
        <v>-1.8222268984676468</v>
      </c>
      <c r="AF241" s="3">
        <f t="shared" si="48"/>
        <v>-1.7757702334199239</v>
      </c>
    </row>
    <row r="242" spans="1:32" x14ac:dyDescent="0.2">
      <c r="A242" s="30">
        <v>240</v>
      </c>
      <c r="B242" s="9" t="s">
        <v>1041</v>
      </c>
      <c r="C242" s="12">
        <v>68280</v>
      </c>
      <c r="D242" s="13" t="s">
        <v>241</v>
      </c>
      <c r="E242" s="17">
        <v>-6.2670782423900002</v>
      </c>
      <c r="F242" s="17">
        <v>55.776645471400002</v>
      </c>
      <c r="G242" s="14">
        <v>7</v>
      </c>
      <c r="H242" s="17">
        <v>10.06</v>
      </c>
      <c r="I242" s="17">
        <v>10.02</v>
      </c>
      <c r="J242" s="17">
        <v>11.34</v>
      </c>
      <c r="K242" s="17">
        <v>12.56</v>
      </c>
      <c r="L242" s="17">
        <v>13.77</v>
      </c>
      <c r="M242" s="17">
        <f t="shared" si="40"/>
        <v>-4.0000000000000924E-2</v>
      </c>
      <c r="N242" s="17">
        <f t="shared" si="41"/>
        <v>1.2799999999999994</v>
      </c>
      <c r="O242" s="17">
        <f t="shared" si="42"/>
        <v>2.5</v>
      </c>
      <c r="P242" s="17">
        <f t="shared" si="43"/>
        <v>3.7099999999999991</v>
      </c>
      <c r="Q242" s="17">
        <f t="shared" si="44"/>
        <v>-1.0979008124096199</v>
      </c>
      <c r="R242" s="17">
        <f t="shared" si="37"/>
        <v>-1.1619194699859523</v>
      </c>
      <c r="S242" s="17">
        <f t="shared" si="38"/>
        <v>-1.1373337000117636</v>
      </c>
      <c r="T242" s="17">
        <f t="shared" si="39"/>
        <v>-1.0393738593061244</v>
      </c>
      <c r="U242" s="16">
        <v>0</v>
      </c>
      <c r="V242" s="16">
        <v>0</v>
      </c>
      <c r="W242" s="16">
        <v>0</v>
      </c>
      <c r="X242" s="16">
        <v>0</v>
      </c>
      <c r="Y242" s="15">
        <v>0.27600000000000002</v>
      </c>
      <c r="Z242" s="15">
        <v>0.38500000000000001</v>
      </c>
      <c r="AA242" s="15">
        <v>0.45800000000000002</v>
      </c>
      <c r="AB242" s="15">
        <v>0.5605</v>
      </c>
      <c r="AC242" s="3">
        <f t="shared" si="45"/>
        <v>-1.5996128606846955</v>
      </c>
      <c r="AD242" s="3">
        <f t="shared" si="46"/>
        <v>-1.6504407898138778</v>
      </c>
      <c r="AE242" s="3">
        <f t="shared" si="47"/>
        <v>-1.8222268984676468</v>
      </c>
      <c r="AF242" s="3">
        <f t="shared" si="48"/>
        <v>-1.7757702334199239</v>
      </c>
    </row>
    <row r="243" spans="1:32" x14ac:dyDescent="0.2">
      <c r="A243" s="30">
        <v>241</v>
      </c>
      <c r="B243" s="9" t="s">
        <v>1042</v>
      </c>
      <c r="C243" s="12">
        <v>68286</v>
      </c>
      <c r="D243" s="13" t="s">
        <v>242</v>
      </c>
      <c r="E243" s="17">
        <v>-7.1453183206700004</v>
      </c>
      <c r="F243" s="17">
        <v>57.649707488399997</v>
      </c>
      <c r="G243" s="14">
        <v>48</v>
      </c>
      <c r="H243" s="17">
        <v>9.27</v>
      </c>
      <c r="I243" s="17">
        <v>9.39</v>
      </c>
      <c r="J243" s="17">
        <v>10.77</v>
      </c>
      <c r="K243" s="17">
        <v>11.89</v>
      </c>
      <c r="L243" s="17">
        <v>13.27</v>
      </c>
      <c r="M243" s="17">
        <f t="shared" si="40"/>
        <v>0.12000000000000099</v>
      </c>
      <c r="N243" s="17">
        <f t="shared" si="41"/>
        <v>1.5</v>
      </c>
      <c r="O243" s="17">
        <f t="shared" si="42"/>
        <v>2.620000000000001</v>
      </c>
      <c r="P243" s="17">
        <f t="shared" si="43"/>
        <v>4</v>
      </c>
      <c r="Q243" s="17">
        <f t="shared" si="44"/>
        <v>-0.9029616861841181</v>
      </c>
      <c r="R243" s="17">
        <f t="shared" si="37"/>
        <v>-0.85219041978514698</v>
      </c>
      <c r="S243" s="17">
        <f t="shared" si="38"/>
        <v>-0.997983173975178</v>
      </c>
      <c r="T243" s="17">
        <f t="shared" si="39"/>
        <v>-0.74584305560613307</v>
      </c>
      <c r="U243" s="16">
        <v>2</v>
      </c>
      <c r="V243" s="16">
        <v>2</v>
      </c>
      <c r="W243" s="16">
        <v>3</v>
      </c>
      <c r="X243" s="16">
        <v>4</v>
      </c>
      <c r="Y243" s="15">
        <v>0.32900000000000001</v>
      </c>
      <c r="Z243" s="15">
        <v>0.434</v>
      </c>
      <c r="AA243" s="15">
        <v>0.498</v>
      </c>
      <c r="AB243" s="15">
        <v>0.59699999999999998</v>
      </c>
      <c r="AC243" s="3">
        <f t="shared" si="45"/>
        <v>-1.1098570261571412</v>
      </c>
      <c r="AD243" s="3">
        <f t="shared" si="46"/>
        <v>-1.2107434763533056</v>
      </c>
      <c r="AE243" s="3">
        <f t="shared" si="47"/>
        <v>-1.4928969760436113</v>
      </c>
      <c r="AF243" s="3">
        <f t="shared" si="48"/>
        <v>-1.4759390122374354</v>
      </c>
    </row>
    <row r="244" spans="1:32" x14ac:dyDescent="0.2">
      <c r="A244" s="30">
        <v>242</v>
      </c>
      <c r="B244" s="9" t="s">
        <v>1043</v>
      </c>
      <c r="C244" s="12">
        <v>68293</v>
      </c>
      <c r="D244" s="13" t="s">
        <v>243</v>
      </c>
      <c r="E244" s="17">
        <v>-3.4429872618499999</v>
      </c>
      <c r="F244" s="17">
        <v>50.639773828199999</v>
      </c>
      <c r="G244" s="14">
        <v>44</v>
      </c>
      <c r="H244" s="17">
        <v>10.77</v>
      </c>
      <c r="I244" s="17">
        <v>10.23</v>
      </c>
      <c r="J244" s="17">
        <v>11.6</v>
      </c>
      <c r="K244" s="17">
        <v>13.24</v>
      </c>
      <c r="L244" s="17">
        <v>14.52</v>
      </c>
      <c r="M244" s="17">
        <f t="shared" si="40"/>
        <v>-0.53999999999999915</v>
      </c>
      <c r="N244" s="17">
        <f t="shared" si="41"/>
        <v>0.83000000000000007</v>
      </c>
      <c r="O244" s="17">
        <f t="shared" si="42"/>
        <v>2.4700000000000006</v>
      </c>
      <c r="P244" s="17">
        <f t="shared" si="43"/>
        <v>3.75</v>
      </c>
      <c r="Q244" s="17">
        <f t="shared" si="44"/>
        <v>-1.7070855818643038</v>
      </c>
      <c r="R244" s="17">
        <f t="shared" si="37"/>
        <v>-1.7954561635785062</v>
      </c>
      <c r="S244" s="17">
        <f t="shared" si="38"/>
        <v>-1.172171331520909</v>
      </c>
      <c r="T244" s="17">
        <f t="shared" si="39"/>
        <v>-0.99888685189922821</v>
      </c>
      <c r="U244" s="16">
        <v>0</v>
      </c>
      <c r="V244" s="16">
        <v>0</v>
      </c>
      <c r="W244" s="16">
        <v>0</v>
      </c>
      <c r="X244" s="16">
        <v>0</v>
      </c>
      <c r="Y244" s="15">
        <v>0.43049999999999999</v>
      </c>
      <c r="Z244" s="15">
        <v>0.54700000000000004</v>
      </c>
      <c r="AA244" s="15">
        <v>0.63800000000000001</v>
      </c>
      <c r="AB244" s="15">
        <v>0.73550000000000004</v>
      </c>
      <c r="AC244" s="3">
        <f t="shared" si="45"/>
        <v>-0.17192839965625939</v>
      </c>
      <c r="AD244" s="3">
        <f t="shared" si="46"/>
        <v>-0.1967476310258626</v>
      </c>
      <c r="AE244" s="3">
        <f t="shared" si="47"/>
        <v>-0.34024224755948601</v>
      </c>
      <c r="AF244" s="3">
        <f t="shared" si="48"/>
        <v>-0.33822328254497774</v>
      </c>
    </row>
    <row r="245" spans="1:32" x14ac:dyDescent="0.2">
      <c r="A245" s="30">
        <v>243</v>
      </c>
      <c r="B245" s="9" t="s">
        <v>1044</v>
      </c>
      <c r="C245" s="12">
        <v>68296</v>
      </c>
      <c r="D245" s="13" t="s">
        <v>244</v>
      </c>
      <c r="E245" s="17">
        <v>-4.1941219806100003</v>
      </c>
      <c r="F245" s="17">
        <v>51.650127575600003</v>
      </c>
      <c r="G245" s="14">
        <v>100</v>
      </c>
      <c r="H245" s="17">
        <v>11.59</v>
      </c>
      <c r="I245" s="17">
        <v>11.03</v>
      </c>
      <c r="J245" s="17">
        <v>12.33</v>
      </c>
      <c r="K245" s="17">
        <v>13.87</v>
      </c>
      <c r="L245" s="17">
        <v>15.15</v>
      </c>
      <c r="M245" s="17">
        <f t="shared" si="40"/>
        <v>-0.5600000000000005</v>
      </c>
      <c r="N245" s="17">
        <f t="shared" si="41"/>
        <v>0.74000000000000021</v>
      </c>
      <c r="O245" s="17">
        <f t="shared" si="42"/>
        <v>2.2799999999999994</v>
      </c>
      <c r="P245" s="17">
        <f t="shared" si="43"/>
        <v>3.5600000000000005</v>
      </c>
      <c r="Q245" s="17">
        <f t="shared" si="44"/>
        <v>-1.731452972642493</v>
      </c>
      <c r="R245" s="17">
        <f t="shared" si="37"/>
        <v>-1.9221635022970169</v>
      </c>
      <c r="S245" s="17">
        <f t="shared" si="38"/>
        <v>-1.3928096644121692</v>
      </c>
      <c r="T245" s="17">
        <f t="shared" si="39"/>
        <v>-1.19120013708198</v>
      </c>
      <c r="U245" s="16">
        <v>0</v>
      </c>
      <c r="V245" s="16">
        <v>3</v>
      </c>
      <c r="W245" s="16">
        <v>3</v>
      </c>
      <c r="X245" s="16">
        <v>3</v>
      </c>
      <c r="Y245" s="15">
        <v>0.45</v>
      </c>
      <c r="Z245" s="15">
        <v>0.56299999999999994</v>
      </c>
      <c r="AA245" s="15">
        <v>0.65200000000000002</v>
      </c>
      <c r="AB245" s="15">
        <v>0.748</v>
      </c>
      <c r="AC245" s="3">
        <f t="shared" si="45"/>
        <v>8.2647847453880714E-3</v>
      </c>
      <c r="AD245" s="3">
        <f t="shared" si="46"/>
        <v>-5.3172998059145937E-2</v>
      </c>
      <c r="AE245" s="3">
        <f t="shared" si="47"/>
        <v>-0.22497677471107341</v>
      </c>
      <c r="AF245" s="3">
        <f t="shared" si="48"/>
        <v>-0.23554135748248201</v>
      </c>
    </row>
    <row r="246" spans="1:32" x14ac:dyDescent="0.2">
      <c r="A246" s="30">
        <v>244</v>
      </c>
      <c r="B246" s="9" t="s">
        <v>1045</v>
      </c>
      <c r="C246" s="12">
        <v>68303</v>
      </c>
      <c r="D246" s="13" t="s">
        <v>245</v>
      </c>
      <c r="E246" s="17">
        <v>1.2394745031500001</v>
      </c>
      <c r="F246" s="17">
        <v>51.882174161000002</v>
      </c>
      <c r="G246" s="14">
        <v>26</v>
      </c>
      <c r="H246" s="17">
        <v>11.57</v>
      </c>
      <c r="I246" s="17">
        <v>11.1</v>
      </c>
      <c r="J246" s="17">
        <v>12.83</v>
      </c>
      <c r="K246" s="17">
        <v>14.87</v>
      </c>
      <c r="L246" s="17">
        <v>15.97</v>
      </c>
      <c r="M246" s="17">
        <f t="shared" si="40"/>
        <v>-0.47000000000000064</v>
      </c>
      <c r="N246" s="17">
        <f t="shared" si="41"/>
        <v>1.2599999999999998</v>
      </c>
      <c r="O246" s="17">
        <f t="shared" si="42"/>
        <v>3.2999999999999989</v>
      </c>
      <c r="P246" s="17">
        <f t="shared" si="43"/>
        <v>4.4000000000000004</v>
      </c>
      <c r="Q246" s="17">
        <f t="shared" si="44"/>
        <v>-1.6217997141406495</v>
      </c>
      <c r="R246" s="17">
        <f t="shared" si="37"/>
        <v>-1.1900766563678431</v>
      </c>
      <c r="S246" s="17">
        <f t="shared" si="38"/>
        <v>-0.2083301931012016</v>
      </c>
      <c r="T246" s="17">
        <f t="shared" si="39"/>
        <v>-0.34097298153718042</v>
      </c>
      <c r="U246" s="16">
        <v>14</v>
      </c>
      <c r="V246" s="16">
        <v>15</v>
      </c>
      <c r="W246" s="16">
        <v>17</v>
      </c>
      <c r="X246" s="16">
        <v>19</v>
      </c>
      <c r="Y246" s="15">
        <v>0.45733333333300002</v>
      </c>
      <c r="Z246" s="15">
        <v>0.58266666666699996</v>
      </c>
      <c r="AA246" s="15">
        <v>0.67066666666700003</v>
      </c>
      <c r="AB246" s="15">
        <v>0.78466666666700002</v>
      </c>
      <c r="AC246" s="3">
        <f t="shared" si="45"/>
        <v>7.6029742978824907E-2</v>
      </c>
      <c r="AD246" s="3">
        <f t="shared" si="46"/>
        <v>0.12330415496543558</v>
      </c>
      <c r="AE246" s="3">
        <f t="shared" si="47"/>
        <v>-7.1289477577112237E-2</v>
      </c>
      <c r="AF246" s="3">
        <f t="shared" si="48"/>
        <v>6.5658956036911686E-2</v>
      </c>
    </row>
    <row r="247" spans="1:32" x14ac:dyDescent="0.2">
      <c r="A247" s="30">
        <v>245</v>
      </c>
      <c r="B247" s="9" t="s">
        <v>796</v>
      </c>
      <c r="C247" s="12">
        <v>68305</v>
      </c>
      <c r="D247" s="13" t="s">
        <v>246</v>
      </c>
      <c r="E247" s="17">
        <v>-71.829097470500002</v>
      </c>
      <c r="F247" s="17">
        <v>21.787515192099999</v>
      </c>
      <c r="G247" s="14">
        <v>287</v>
      </c>
      <c r="H247" s="17">
        <v>24.77</v>
      </c>
      <c r="I247" s="17">
        <v>25.66</v>
      </c>
      <c r="J247" s="17">
        <v>26.76</v>
      </c>
      <c r="K247" s="17">
        <v>28.1</v>
      </c>
      <c r="L247" s="17">
        <v>28.97</v>
      </c>
      <c r="M247" s="17">
        <f t="shared" si="40"/>
        <v>0.89000000000000057</v>
      </c>
      <c r="N247" s="17">
        <f t="shared" si="41"/>
        <v>1.990000000000002</v>
      </c>
      <c r="O247" s="17">
        <f t="shared" si="42"/>
        <v>3.3300000000000018</v>
      </c>
      <c r="P247" s="17">
        <f t="shared" si="43"/>
        <v>4.1999999999999993</v>
      </c>
      <c r="Q247" s="17">
        <f t="shared" si="44"/>
        <v>3.5182858776097982E-2</v>
      </c>
      <c r="R247" s="17">
        <f t="shared" si="37"/>
        <v>-0.16233935342880676</v>
      </c>
      <c r="S247" s="17">
        <f t="shared" si="38"/>
        <v>-0.17349256159205209</v>
      </c>
      <c r="T247" s="17">
        <f t="shared" si="39"/>
        <v>-0.54340801857165766</v>
      </c>
      <c r="U247" s="16">
        <v>67</v>
      </c>
      <c r="V247" s="16">
        <v>88</v>
      </c>
      <c r="W247" s="16">
        <v>99</v>
      </c>
      <c r="X247" s="16">
        <v>101</v>
      </c>
      <c r="Y247" s="15">
        <v>0.51700000000000002</v>
      </c>
      <c r="Z247" s="15">
        <v>0.64600000000000002</v>
      </c>
      <c r="AA247" s="15">
        <v>0.73799999999999999</v>
      </c>
      <c r="AB247" s="15">
        <v>0.84199999999999997</v>
      </c>
      <c r="AC247" s="3">
        <f t="shared" si="45"/>
        <v>0.62739008499720195</v>
      </c>
      <c r="AD247" s="3">
        <f t="shared" si="46"/>
        <v>0.69162041045570188</v>
      </c>
      <c r="AE247" s="3">
        <f t="shared" si="47"/>
        <v>0.48308255850060317</v>
      </c>
      <c r="AF247" s="3">
        <f t="shared" si="48"/>
        <v>0.53662671898748859</v>
      </c>
    </row>
    <row r="248" spans="1:32" x14ac:dyDescent="0.2">
      <c r="A248" s="30">
        <v>246</v>
      </c>
      <c r="B248" s="9" t="s">
        <v>797</v>
      </c>
      <c r="C248" s="12">
        <v>68307</v>
      </c>
      <c r="D248" s="13" t="s">
        <v>247</v>
      </c>
      <c r="E248" s="17">
        <v>-74.302853827000007</v>
      </c>
      <c r="F248" s="17">
        <v>39.566873268800002</v>
      </c>
      <c r="G248" s="14">
        <v>104</v>
      </c>
      <c r="H248" s="17">
        <v>12.38</v>
      </c>
      <c r="I248" s="17">
        <v>13.5</v>
      </c>
      <c r="J248" s="17">
        <v>15.26</v>
      </c>
      <c r="K248" s="17">
        <v>16.68</v>
      </c>
      <c r="L248" s="17">
        <v>17.54</v>
      </c>
      <c r="M248" s="17">
        <f t="shared" si="40"/>
        <v>1.1199999999999992</v>
      </c>
      <c r="N248" s="17">
        <f t="shared" si="41"/>
        <v>2.879999999999999</v>
      </c>
      <c r="O248" s="17">
        <f t="shared" si="42"/>
        <v>4.2999999999999989</v>
      </c>
      <c r="P248" s="17">
        <f t="shared" si="43"/>
        <v>5.1599999999999984</v>
      </c>
      <c r="Q248" s="17">
        <f t="shared" si="44"/>
        <v>0.31540785272525196</v>
      </c>
      <c r="R248" s="17">
        <f t="shared" si="37"/>
        <v>1.0906554405653528</v>
      </c>
      <c r="S248" s="17">
        <f t="shared" si="38"/>
        <v>0.9529241905370025</v>
      </c>
      <c r="T248" s="17">
        <f t="shared" si="39"/>
        <v>0.42828015919382684</v>
      </c>
      <c r="U248" s="16">
        <v>41</v>
      </c>
      <c r="V248" s="16">
        <v>42</v>
      </c>
      <c r="W248" s="16">
        <v>43</v>
      </c>
      <c r="X248" s="16">
        <v>43</v>
      </c>
      <c r="Y248" s="15">
        <v>0.73550000000000004</v>
      </c>
      <c r="Z248" s="15">
        <v>0.88200000000000001</v>
      </c>
      <c r="AA248" s="15">
        <v>0.999</v>
      </c>
      <c r="AB248" s="15">
        <v>1.1045</v>
      </c>
      <c r="AC248" s="3">
        <f t="shared" si="45"/>
        <v>2.646477817907968</v>
      </c>
      <c r="AD248" s="3">
        <f t="shared" si="46"/>
        <v>2.8093462467147852</v>
      </c>
      <c r="AE248" s="3">
        <f t="shared" si="47"/>
        <v>2.6319603023174367</v>
      </c>
      <c r="AF248" s="3">
        <f t="shared" si="48"/>
        <v>2.6929471452999079</v>
      </c>
    </row>
    <row r="249" spans="1:32" x14ac:dyDescent="0.2">
      <c r="A249" s="30">
        <v>247</v>
      </c>
      <c r="B249" s="9" t="s">
        <v>798</v>
      </c>
      <c r="C249" s="12">
        <v>68308</v>
      </c>
      <c r="D249" s="13" t="s">
        <v>248</v>
      </c>
      <c r="E249" s="17">
        <v>-162.66777824499999</v>
      </c>
      <c r="F249" s="17">
        <v>55.290578659600001</v>
      </c>
      <c r="G249" s="14">
        <v>1786</v>
      </c>
      <c r="H249" s="17">
        <v>4.34</v>
      </c>
      <c r="I249" s="17">
        <v>7.96</v>
      </c>
      <c r="J249" s="17">
        <v>7.8</v>
      </c>
      <c r="K249" s="17">
        <v>9.9700000000000006</v>
      </c>
      <c r="L249" s="17">
        <v>11.9</v>
      </c>
      <c r="M249" s="17">
        <f t="shared" si="40"/>
        <v>3.62</v>
      </c>
      <c r="N249" s="17">
        <f t="shared" si="41"/>
        <v>3.46</v>
      </c>
      <c r="O249" s="17">
        <f t="shared" si="42"/>
        <v>5.6300000000000008</v>
      </c>
      <c r="P249" s="17">
        <f t="shared" si="43"/>
        <v>7.5600000000000005</v>
      </c>
      <c r="Q249" s="17">
        <f t="shared" si="44"/>
        <v>3.3613316999986838</v>
      </c>
      <c r="R249" s="17">
        <f t="shared" si="37"/>
        <v>1.9072138456402026</v>
      </c>
      <c r="S249" s="17">
        <f t="shared" si="38"/>
        <v>2.4973925207758163</v>
      </c>
      <c r="T249" s="17">
        <f t="shared" si="39"/>
        <v>2.8575006036075425</v>
      </c>
      <c r="U249" s="16">
        <v>60</v>
      </c>
      <c r="V249" s="16">
        <v>84</v>
      </c>
      <c r="W249" s="16">
        <v>99</v>
      </c>
      <c r="X249" s="16">
        <v>128</v>
      </c>
      <c r="Y249" s="15">
        <v>0.32300000000000001</v>
      </c>
      <c r="Z249" s="15">
        <v>0.42399999999999999</v>
      </c>
      <c r="AA249" s="15">
        <v>0.50700000000000001</v>
      </c>
      <c r="AB249" s="15">
        <v>0.60799999999999998</v>
      </c>
      <c r="AC249" s="3">
        <f t="shared" si="45"/>
        <v>-1.1653010828961097</v>
      </c>
      <c r="AD249" s="3">
        <f t="shared" si="46"/>
        <v>-1.300477621957504</v>
      </c>
      <c r="AE249" s="3">
        <f t="shared" si="47"/>
        <v>-1.4187977434982031</v>
      </c>
      <c r="AF249" s="3">
        <f t="shared" si="48"/>
        <v>-1.3855789181824387</v>
      </c>
    </row>
    <row r="250" spans="1:32" x14ac:dyDescent="0.2">
      <c r="A250" s="30">
        <v>248</v>
      </c>
      <c r="B250" s="9" t="s">
        <v>761</v>
      </c>
      <c r="C250" s="12">
        <v>68310</v>
      </c>
      <c r="D250" s="13" t="s">
        <v>249</v>
      </c>
      <c r="E250" s="17">
        <v>-80.907590769099997</v>
      </c>
      <c r="F250" s="17">
        <v>25.3554776344</v>
      </c>
      <c r="G250" s="14">
        <v>5384</v>
      </c>
      <c r="H250" s="17">
        <v>22.56</v>
      </c>
      <c r="I250" s="17">
        <v>23.2</v>
      </c>
      <c r="J250" s="17">
        <v>24.45</v>
      </c>
      <c r="K250" s="17">
        <v>26.12</v>
      </c>
      <c r="L250" s="17">
        <v>26.56</v>
      </c>
      <c r="M250" s="17">
        <f t="shared" si="40"/>
        <v>0.64000000000000057</v>
      </c>
      <c r="N250" s="17">
        <f t="shared" si="41"/>
        <v>1.8900000000000006</v>
      </c>
      <c r="O250" s="17">
        <f t="shared" si="42"/>
        <v>3.5600000000000023</v>
      </c>
      <c r="P250" s="17">
        <f t="shared" si="43"/>
        <v>4</v>
      </c>
      <c r="Q250" s="17">
        <f t="shared" si="44"/>
        <v>-0.26940952595124507</v>
      </c>
      <c r="R250" s="17">
        <f t="shared" si="37"/>
        <v>-0.30312528533826538</v>
      </c>
      <c r="S250" s="17">
        <f t="shared" si="38"/>
        <v>9.3595946644735348E-2</v>
      </c>
      <c r="T250" s="17">
        <f t="shared" si="39"/>
        <v>-0.74584305560613307</v>
      </c>
      <c r="U250" s="16">
        <v>1337</v>
      </c>
      <c r="V250" s="16">
        <v>1477</v>
      </c>
      <c r="W250" s="16">
        <v>1560</v>
      </c>
      <c r="X250" s="16">
        <v>1611</v>
      </c>
      <c r="Y250" s="15">
        <v>0.59799999999999998</v>
      </c>
      <c r="Z250" s="15">
        <v>0.72499999999999998</v>
      </c>
      <c r="AA250" s="15">
        <v>0.84550000000000003</v>
      </c>
      <c r="AB250" s="15">
        <v>0.93500000000000005</v>
      </c>
      <c r="AC250" s="3">
        <f t="shared" si="45"/>
        <v>1.3758848509732751</v>
      </c>
      <c r="AD250" s="3">
        <f t="shared" si="46"/>
        <v>1.4005201607288693</v>
      </c>
      <c r="AE250" s="3">
        <f t="shared" si="47"/>
        <v>1.3681567250151996</v>
      </c>
      <c r="AF250" s="3">
        <f t="shared" si="48"/>
        <v>1.3005802414524605</v>
      </c>
    </row>
    <row r="251" spans="1:32" x14ac:dyDescent="0.2">
      <c r="A251" s="30">
        <v>249</v>
      </c>
      <c r="B251" s="9" t="s">
        <v>799</v>
      </c>
      <c r="C251" s="12">
        <v>68311</v>
      </c>
      <c r="D251" s="13" t="s">
        <v>250</v>
      </c>
      <c r="E251" s="17">
        <v>-76.247822451299996</v>
      </c>
      <c r="F251" s="17">
        <v>37.613424154500002</v>
      </c>
      <c r="G251" s="14">
        <v>1514</v>
      </c>
      <c r="H251" s="17">
        <v>14.7</v>
      </c>
      <c r="I251" s="17">
        <v>15.76</v>
      </c>
      <c r="J251" s="17">
        <v>17.39</v>
      </c>
      <c r="K251" s="17">
        <v>18.760000000000002</v>
      </c>
      <c r="L251" s="17">
        <v>19.420000000000002</v>
      </c>
      <c r="M251" s="17">
        <f t="shared" si="40"/>
        <v>1.0600000000000005</v>
      </c>
      <c r="N251" s="17">
        <f t="shared" si="41"/>
        <v>2.6900000000000013</v>
      </c>
      <c r="O251" s="17">
        <f t="shared" si="42"/>
        <v>4.0600000000000023</v>
      </c>
      <c r="P251" s="17">
        <f t="shared" si="43"/>
        <v>4.7200000000000024</v>
      </c>
      <c r="Q251" s="17">
        <f t="shared" si="44"/>
        <v>0.24230568039069117</v>
      </c>
      <c r="R251" s="17">
        <f t="shared" si="37"/>
        <v>0.82316216993738855</v>
      </c>
      <c r="S251" s="17">
        <f t="shared" si="38"/>
        <v>0.67422313846383741</v>
      </c>
      <c r="T251" s="17">
        <f t="shared" si="39"/>
        <v>-1.7076922282016543E-2</v>
      </c>
      <c r="U251" s="16">
        <v>504</v>
      </c>
      <c r="V251" s="16">
        <v>523</v>
      </c>
      <c r="W251" s="16">
        <v>535</v>
      </c>
      <c r="X251" s="16">
        <v>540</v>
      </c>
      <c r="Y251" s="15">
        <v>0.749</v>
      </c>
      <c r="Z251" s="15">
        <v>0.88500000000000001</v>
      </c>
      <c r="AA251" s="15">
        <v>1.006</v>
      </c>
      <c r="AB251" s="15">
        <v>1.09866666667</v>
      </c>
      <c r="AC251" s="3">
        <f t="shared" si="45"/>
        <v>2.7712269455706466</v>
      </c>
      <c r="AD251" s="3">
        <f t="shared" si="46"/>
        <v>2.8362664903960448</v>
      </c>
      <c r="AE251" s="3">
        <f t="shared" si="47"/>
        <v>2.6895930387416427</v>
      </c>
      <c r="AF251" s="3">
        <f t="shared" si="48"/>
        <v>2.645028913631458</v>
      </c>
    </row>
    <row r="252" spans="1:32" x14ac:dyDescent="0.2">
      <c r="A252" s="30">
        <v>250</v>
      </c>
      <c r="B252" s="9" t="s">
        <v>800</v>
      </c>
      <c r="C252" s="12">
        <v>68316</v>
      </c>
      <c r="D252" s="13" t="s">
        <v>251</v>
      </c>
      <c r="E252" s="17">
        <v>-75.251275052899999</v>
      </c>
      <c r="F252" s="17">
        <v>39.233455098299999</v>
      </c>
      <c r="G252" s="14">
        <v>538</v>
      </c>
      <c r="H252" s="17">
        <v>12.36</v>
      </c>
      <c r="I252" s="17">
        <v>13.53</v>
      </c>
      <c r="J252" s="17">
        <v>15.14</v>
      </c>
      <c r="K252" s="17">
        <v>16.59</v>
      </c>
      <c r="L252" s="17">
        <v>17.690000000000001</v>
      </c>
      <c r="M252" s="17">
        <f t="shared" si="40"/>
        <v>1.17</v>
      </c>
      <c r="N252" s="17">
        <f t="shared" si="41"/>
        <v>2.7800000000000011</v>
      </c>
      <c r="O252" s="17">
        <f t="shared" si="42"/>
        <v>4.2300000000000004</v>
      </c>
      <c r="P252" s="17">
        <f t="shared" si="43"/>
        <v>5.3300000000000018</v>
      </c>
      <c r="Q252" s="17">
        <f t="shared" si="44"/>
        <v>0.37632632967072138</v>
      </c>
      <c r="R252" s="17">
        <f t="shared" si="37"/>
        <v>0.94986950865589925</v>
      </c>
      <c r="S252" s="17">
        <f t="shared" si="38"/>
        <v>0.87163638368232998</v>
      </c>
      <c r="T252" s="17">
        <f t="shared" si="39"/>
        <v>0.60034994067313507</v>
      </c>
      <c r="U252" s="16">
        <v>265</v>
      </c>
      <c r="V252" s="16">
        <v>276</v>
      </c>
      <c r="W252" s="16">
        <v>285</v>
      </c>
      <c r="X252" s="16">
        <v>289</v>
      </c>
      <c r="Y252" s="15">
        <v>0.72799999999999998</v>
      </c>
      <c r="Z252" s="15">
        <v>0.868333333333</v>
      </c>
      <c r="AA252" s="15">
        <v>0.99</v>
      </c>
      <c r="AB252" s="15">
        <v>1.089</v>
      </c>
      <c r="AC252" s="3">
        <f t="shared" si="45"/>
        <v>2.5771727469842571</v>
      </c>
      <c r="AD252" s="3">
        <f t="shared" si="46"/>
        <v>2.6867095810527228</v>
      </c>
      <c r="AE252" s="3">
        <f t="shared" si="47"/>
        <v>2.5578610697720285</v>
      </c>
      <c r="AF252" s="3">
        <f t="shared" si="48"/>
        <v>2.565621558222412</v>
      </c>
    </row>
    <row r="253" spans="1:32" x14ac:dyDescent="0.2">
      <c r="A253" s="30">
        <v>251</v>
      </c>
      <c r="B253" s="9" t="s">
        <v>1440</v>
      </c>
      <c r="C253" s="12">
        <v>68318</v>
      </c>
      <c r="D253" s="13" t="s">
        <v>252</v>
      </c>
      <c r="E253" s="17">
        <v>-53.736937481799998</v>
      </c>
      <c r="F253" s="17">
        <v>-33.488606272200002</v>
      </c>
      <c r="G253" s="14">
        <v>3339</v>
      </c>
      <c r="H253" s="17">
        <v>15.28</v>
      </c>
      <c r="I253" s="17">
        <v>17.64</v>
      </c>
      <c r="J253" s="17">
        <v>17.899999999999999</v>
      </c>
      <c r="K253" s="17">
        <v>19.91</v>
      </c>
      <c r="L253" s="17">
        <v>20.72</v>
      </c>
      <c r="M253" s="17">
        <f t="shared" si="40"/>
        <v>2.3600000000000012</v>
      </c>
      <c r="N253" s="17">
        <f t="shared" si="41"/>
        <v>2.6199999999999992</v>
      </c>
      <c r="O253" s="17">
        <f t="shared" si="42"/>
        <v>4.6300000000000008</v>
      </c>
      <c r="P253" s="17">
        <f t="shared" si="43"/>
        <v>5.4399999999999995</v>
      </c>
      <c r="Q253" s="17">
        <f t="shared" si="44"/>
        <v>1.8261860809728758</v>
      </c>
      <c r="R253" s="17">
        <f t="shared" si="37"/>
        <v>0.72461201760076599</v>
      </c>
      <c r="S253" s="17">
        <f t="shared" si="38"/>
        <v>1.336138137137612</v>
      </c>
      <c r="T253" s="17">
        <f t="shared" si="39"/>
        <v>0.71168921104209459</v>
      </c>
      <c r="U253" s="16">
        <v>22</v>
      </c>
      <c r="V253" s="16">
        <v>120</v>
      </c>
      <c r="W253" s="16">
        <v>173</v>
      </c>
      <c r="X253" s="16">
        <v>198</v>
      </c>
      <c r="Y253" s="15">
        <v>0.371</v>
      </c>
      <c r="Z253" s="15">
        <v>0.502</v>
      </c>
      <c r="AA253" s="15">
        <v>0.63800000000000001</v>
      </c>
      <c r="AB253" s="15">
        <v>0.72099999999999997</v>
      </c>
      <c r="AC253" s="3">
        <f t="shared" si="45"/>
        <v>-0.72174862898436265</v>
      </c>
      <c r="AD253" s="3">
        <f t="shared" si="46"/>
        <v>-0.60055128624475596</v>
      </c>
      <c r="AE253" s="3">
        <f t="shared" si="47"/>
        <v>-0.34024224755948601</v>
      </c>
      <c r="AF253" s="3">
        <f t="shared" si="48"/>
        <v>-0.45733431561747384</v>
      </c>
    </row>
    <row r="254" spans="1:32" x14ac:dyDescent="0.2">
      <c r="A254" s="30">
        <v>252</v>
      </c>
      <c r="B254" s="9" t="s">
        <v>801</v>
      </c>
      <c r="C254" s="12">
        <v>68319</v>
      </c>
      <c r="D254" s="13" t="s">
        <v>253</v>
      </c>
      <c r="E254" s="17">
        <v>-68.332727594199994</v>
      </c>
      <c r="F254" s="17">
        <v>10.9345667105</v>
      </c>
      <c r="G254" s="14">
        <v>64</v>
      </c>
      <c r="H254" s="17">
        <v>24.9</v>
      </c>
      <c r="I254" s="17">
        <v>25.45</v>
      </c>
      <c r="J254" s="17">
        <v>26.71</v>
      </c>
      <c r="K254" s="17">
        <v>27.74</v>
      </c>
      <c r="L254" s="17">
        <v>29.26</v>
      </c>
      <c r="M254" s="17">
        <f t="shared" si="40"/>
        <v>0.55000000000000071</v>
      </c>
      <c r="N254" s="17">
        <f t="shared" si="41"/>
        <v>1.8100000000000023</v>
      </c>
      <c r="O254" s="17">
        <f t="shared" si="42"/>
        <v>2.84</v>
      </c>
      <c r="P254" s="17">
        <f t="shared" si="43"/>
        <v>4.360000000000003</v>
      </c>
      <c r="Q254" s="17">
        <f t="shared" si="44"/>
        <v>-0.37906278445308839</v>
      </c>
      <c r="R254" s="17">
        <f t="shared" si="37"/>
        <v>-0.41575403086582824</v>
      </c>
      <c r="S254" s="17">
        <f t="shared" si="38"/>
        <v>-0.74250720957477445</v>
      </c>
      <c r="T254" s="17">
        <f t="shared" si="39"/>
        <v>-0.38145998894407301</v>
      </c>
      <c r="U254" s="16">
        <v>9</v>
      </c>
      <c r="V254" s="16">
        <v>13</v>
      </c>
      <c r="W254" s="16">
        <v>14</v>
      </c>
      <c r="X254" s="16">
        <v>14</v>
      </c>
      <c r="Y254" s="15">
        <v>0.498</v>
      </c>
      <c r="Z254" s="15">
        <v>0.626</v>
      </c>
      <c r="AA254" s="15">
        <v>0.74199999999999999</v>
      </c>
      <c r="AB254" s="15">
        <v>0.83399999999999996</v>
      </c>
      <c r="AC254" s="3">
        <f t="shared" si="45"/>
        <v>0.45181723865713513</v>
      </c>
      <c r="AD254" s="3">
        <f t="shared" si="46"/>
        <v>0.51215211924730486</v>
      </c>
      <c r="AE254" s="3">
        <f t="shared" si="47"/>
        <v>0.51601555074300676</v>
      </c>
      <c r="AF254" s="3">
        <f t="shared" si="48"/>
        <v>0.47091028694749104</v>
      </c>
    </row>
    <row r="255" spans="1:32" x14ac:dyDescent="0.2">
      <c r="A255" s="30">
        <v>253</v>
      </c>
      <c r="B255" s="9" t="s">
        <v>1046</v>
      </c>
      <c r="C255" s="12">
        <v>68324</v>
      </c>
      <c r="D255" s="13" t="s">
        <v>254</v>
      </c>
      <c r="E255" s="17">
        <v>23.575184631199999</v>
      </c>
      <c r="F255" s="17">
        <v>58.7580454191</v>
      </c>
      <c r="G255" s="14">
        <v>660</v>
      </c>
      <c r="H255" s="17">
        <v>6.35</v>
      </c>
      <c r="I255" s="17">
        <v>7.01</v>
      </c>
      <c r="J255" s="17">
        <v>9.64</v>
      </c>
      <c r="K255" s="17">
        <v>12.18</v>
      </c>
      <c r="L255" s="17">
        <v>12.19</v>
      </c>
      <c r="M255" s="17">
        <f t="shared" si="40"/>
        <v>0.66000000000000014</v>
      </c>
      <c r="N255" s="17">
        <f t="shared" si="41"/>
        <v>3.2900000000000009</v>
      </c>
      <c r="O255" s="17">
        <f t="shared" si="42"/>
        <v>5.83</v>
      </c>
      <c r="P255" s="17">
        <f t="shared" si="43"/>
        <v>5.84</v>
      </c>
      <c r="Q255" s="17">
        <f t="shared" si="44"/>
        <v>-0.24504213517305812</v>
      </c>
      <c r="R255" s="17">
        <f t="shared" si="37"/>
        <v>1.6678777613941276</v>
      </c>
      <c r="S255" s="17">
        <f t="shared" si="38"/>
        <v>2.7296433975034562</v>
      </c>
      <c r="T255" s="17">
        <f t="shared" si="39"/>
        <v>1.1165592851110471</v>
      </c>
      <c r="U255" s="16">
        <v>13</v>
      </c>
      <c r="V255" s="16">
        <v>28</v>
      </c>
      <c r="W255" s="16">
        <v>33</v>
      </c>
      <c r="X255" s="16">
        <v>41</v>
      </c>
      <c r="Y255" s="15">
        <v>0.19600000000000001</v>
      </c>
      <c r="Z255" s="15">
        <v>0.34200000000000003</v>
      </c>
      <c r="AA255" s="15">
        <v>0.42799999999999999</v>
      </c>
      <c r="AB255" s="15">
        <v>0.55200000000000005</v>
      </c>
      <c r="AC255" s="3">
        <f t="shared" si="45"/>
        <v>-2.3388669505376076</v>
      </c>
      <c r="AD255" s="3">
        <f t="shared" si="46"/>
        <v>-2.036297615911931</v>
      </c>
      <c r="AE255" s="3">
        <f t="shared" si="47"/>
        <v>-2.069224340285674</v>
      </c>
      <c r="AF255" s="3">
        <f t="shared" si="48"/>
        <v>-1.8455939424624208</v>
      </c>
    </row>
    <row r="256" spans="1:32" x14ac:dyDescent="0.2">
      <c r="A256" s="30">
        <v>254</v>
      </c>
      <c r="B256" s="9" t="s">
        <v>802</v>
      </c>
      <c r="C256" s="12">
        <v>68918</v>
      </c>
      <c r="D256" s="13" t="s">
        <v>255</v>
      </c>
      <c r="E256" s="17">
        <v>-113.84177903600001</v>
      </c>
      <c r="F256" s="17">
        <v>27.4035564948</v>
      </c>
      <c r="G256" s="14">
        <v>1855</v>
      </c>
      <c r="H256" s="17">
        <v>20.65</v>
      </c>
      <c r="I256" s="17">
        <v>22.73</v>
      </c>
      <c r="J256" s="17">
        <v>23.49</v>
      </c>
      <c r="K256" s="17">
        <v>24.88</v>
      </c>
      <c r="L256" s="17">
        <v>25.44</v>
      </c>
      <c r="M256" s="17">
        <f t="shared" si="40"/>
        <v>2.0800000000000018</v>
      </c>
      <c r="N256" s="17">
        <f t="shared" si="41"/>
        <v>2.84</v>
      </c>
      <c r="O256" s="17">
        <f t="shared" si="42"/>
        <v>4.2300000000000004</v>
      </c>
      <c r="P256" s="17">
        <f t="shared" si="43"/>
        <v>4.7900000000000027</v>
      </c>
      <c r="Q256" s="17">
        <f t="shared" si="44"/>
        <v>1.4850426100782523</v>
      </c>
      <c r="R256" s="17">
        <f t="shared" si="37"/>
        <v>1.0343410678015714</v>
      </c>
      <c r="S256" s="17">
        <f t="shared" si="38"/>
        <v>0.87163638368232998</v>
      </c>
      <c r="T256" s="17">
        <f t="shared" si="39"/>
        <v>5.3775340680050389E-2</v>
      </c>
      <c r="U256" s="16">
        <v>116</v>
      </c>
      <c r="V256" s="16">
        <v>142</v>
      </c>
      <c r="W256" s="16">
        <v>170</v>
      </c>
      <c r="X256" s="16">
        <v>198</v>
      </c>
      <c r="Y256" s="15">
        <v>0.52700000000000002</v>
      </c>
      <c r="Z256" s="15">
        <v>0.63200000000000001</v>
      </c>
      <c r="AA256" s="15">
        <v>0.74399999999999999</v>
      </c>
      <c r="AB256" s="15">
        <v>0.83</v>
      </c>
      <c r="AC256" s="3">
        <f t="shared" si="45"/>
        <v>0.71979684622881601</v>
      </c>
      <c r="AD256" s="3">
        <f t="shared" si="46"/>
        <v>0.56599260660982398</v>
      </c>
      <c r="AE256" s="3">
        <f t="shared" si="47"/>
        <v>0.53248204686420852</v>
      </c>
      <c r="AF256" s="3">
        <f t="shared" si="48"/>
        <v>0.43805207092749227</v>
      </c>
    </row>
    <row r="257" spans="1:32" x14ac:dyDescent="0.2">
      <c r="A257" s="30">
        <v>255</v>
      </c>
      <c r="B257" s="9" t="s">
        <v>1047</v>
      </c>
      <c r="C257" s="12">
        <v>93767</v>
      </c>
      <c r="D257" s="13" t="s">
        <v>256</v>
      </c>
      <c r="E257" s="17">
        <v>-10.912841347200001</v>
      </c>
      <c r="F257" s="17">
        <v>-39.259960572099999</v>
      </c>
      <c r="G257" s="14">
        <v>1880</v>
      </c>
      <c r="H257" s="17">
        <v>12.47</v>
      </c>
      <c r="I257" s="17">
        <v>13.29</v>
      </c>
      <c r="J257" s="17">
        <v>14.34</v>
      </c>
      <c r="K257" s="17">
        <v>15.12</v>
      </c>
      <c r="L257" s="17">
        <v>16.510000000000002</v>
      </c>
      <c r="M257" s="17">
        <f t="shared" si="40"/>
        <v>0.81999999999999851</v>
      </c>
      <c r="N257" s="17">
        <f t="shared" si="41"/>
        <v>1.8699999999999992</v>
      </c>
      <c r="O257" s="17">
        <f t="shared" si="42"/>
        <v>2.6499999999999986</v>
      </c>
      <c r="P257" s="17">
        <f t="shared" si="43"/>
        <v>4.0400000000000009</v>
      </c>
      <c r="Q257" s="17">
        <f t="shared" si="44"/>
        <v>-5.0103008947560576E-2</v>
      </c>
      <c r="R257" s="17">
        <f t="shared" si="37"/>
        <v>-0.33128247172015862</v>
      </c>
      <c r="S257" s="17">
        <f t="shared" si="38"/>
        <v>-0.96314554246603468</v>
      </c>
      <c r="T257" s="17">
        <f t="shared" si="39"/>
        <v>-0.70535604819923692</v>
      </c>
      <c r="U257" s="16">
        <v>0</v>
      </c>
      <c r="V257" s="16">
        <v>0</v>
      </c>
      <c r="W257" s="16">
        <v>0</v>
      </c>
      <c r="X257" s="16">
        <v>0</v>
      </c>
      <c r="Y257" s="15">
        <v>0.47899999999999998</v>
      </c>
      <c r="Z257" s="15">
        <v>0.622</v>
      </c>
      <c r="AA257" s="15">
        <v>0.81499999999999995</v>
      </c>
      <c r="AB257" s="15">
        <v>0.92900000000000005</v>
      </c>
      <c r="AC257" s="3">
        <f t="shared" si="45"/>
        <v>0.27624439231706838</v>
      </c>
      <c r="AD257" s="3">
        <f t="shared" si="46"/>
        <v>0.47625846100562541</v>
      </c>
      <c r="AE257" s="3">
        <f t="shared" si="47"/>
        <v>1.1170426591668716</v>
      </c>
      <c r="AF257" s="3">
        <f t="shared" si="48"/>
        <v>1.2512929174224623</v>
      </c>
    </row>
    <row r="258" spans="1:32" x14ac:dyDescent="0.2">
      <c r="A258" s="30">
        <v>256</v>
      </c>
      <c r="B258" s="9" t="s">
        <v>803</v>
      </c>
      <c r="C258" s="12">
        <v>94064</v>
      </c>
      <c r="D258" s="13" t="s">
        <v>257</v>
      </c>
      <c r="E258" s="17">
        <v>-44.862625091200002</v>
      </c>
      <c r="F258" s="17">
        <v>-1.61311989941</v>
      </c>
      <c r="G258" s="14">
        <v>7119</v>
      </c>
      <c r="H258" s="17">
        <v>25.33</v>
      </c>
      <c r="I258" s="17">
        <v>26.27</v>
      </c>
      <c r="J258" s="17">
        <v>27.43</v>
      </c>
      <c r="K258" s="17">
        <v>28.67</v>
      </c>
      <c r="L258" s="17">
        <v>29.92</v>
      </c>
      <c r="M258" s="17">
        <f t="shared" si="40"/>
        <v>0.94000000000000128</v>
      </c>
      <c r="N258" s="17">
        <f t="shared" si="41"/>
        <v>2.1000000000000014</v>
      </c>
      <c r="O258" s="17">
        <f t="shared" si="42"/>
        <v>3.3400000000000034</v>
      </c>
      <c r="P258" s="17">
        <f t="shared" si="43"/>
        <v>4.5900000000000034</v>
      </c>
      <c r="Q258" s="17">
        <f t="shared" si="44"/>
        <v>9.6101335721567455E-2</v>
      </c>
      <c r="R258" s="17">
        <f t="shared" si="37"/>
        <v>-7.474828328405291E-3</v>
      </c>
      <c r="S258" s="17">
        <f t="shared" si="38"/>
        <v>-0.16188001775566824</v>
      </c>
      <c r="T258" s="17">
        <f t="shared" si="39"/>
        <v>-0.14865969635442502</v>
      </c>
      <c r="U258" s="16">
        <v>46</v>
      </c>
      <c r="V258" s="16">
        <v>81</v>
      </c>
      <c r="W258" s="16">
        <v>87</v>
      </c>
      <c r="X258" s="16">
        <v>115</v>
      </c>
      <c r="Y258" s="15">
        <v>0.45400000000000001</v>
      </c>
      <c r="Z258" s="15">
        <v>0.58599999999999997</v>
      </c>
      <c r="AA258" s="15">
        <v>0.70299999999999996</v>
      </c>
      <c r="AB258" s="15">
        <v>0.79</v>
      </c>
      <c r="AC258" s="3">
        <f t="shared" si="45"/>
        <v>4.5227489238033707E-2</v>
      </c>
      <c r="AD258" s="3">
        <f t="shared" si="46"/>
        <v>0.1532155368305107</v>
      </c>
      <c r="AE258" s="3">
        <f t="shared" si="47"/>
        <v>0.19491887637957162</v>
      </c>
      <c r="AF258" s="3">
        <f t="shared" si="48"/>
        <v>0.10946991072750528</v>
      </c>
    </row>
    <row r="259" spans="1:32" x14ac:dyDescent="0.2">
      <c r="A259" s="30">
        <v>257</v>
      </c>
      <c r="B259" s="9" t="s">
        <v>804</v>
      </c>
      <c r="C259" s="12">
        <v>94070</v>
      </c>
      <c r="D259" s="13" t="s">
        <v>258</v>
      </c>
      <c r="E259" s="17">
        <v>-53.789416709699999</v>
      </c>
      <c r="F259" s="17">
        <v>5.6692471272700002</v>
      </c>
      <c r="G259" s="14">
        <v>358</v>
      </c>
      <c r="H259" s="17">
        <v>25.15</v>
      </c>
      <c r="I259" s="17">
        <v>25.97</v>
      </c>
      <c r="J259" s="17">
        <v>27.12</v>
      </c>
      <c r="K259" s="17">
        <v>28.48</v>
      </c>
      <c r="L259" s="17">
        <v>29.89</v>
      </c>
      <c r="M259" s="17">
        <f t="shared" si="40"/>
        <v>0.82000000000000028</v>
      </c>
      <c r="N259" s="17">
        <f t="shared" si="41"/>
        <v>1.9700000000000024</v>
      </c>
      <c r="O259" s="17">
        <f t="shared" si="42"/>
        <v>3.3300000000000018</v>
      </c>
      <c r="P259" s="17">
        <f t="shared" si="43"/>
        <v>4.740000000000002</v>
      </c>
      <c r="Q259" s="17">
        <f t="shared" si="44"/>
        <v>-5.0103008947558411E-2</v>
      </c>
      <c r="R259" s="17">
        <f t="shared" ref="R259:R322" si="49">(N259-N$764)/N$767</f>
        <v>-0.19049653981069747</v>
      </c>
      <c r="S259" s="17">
        <f t="shared" ref="S259:S322" si="50">(O259-O$764)/O$767</f>
        <v>-0.17349256159205209</v>
      </c>
      <c r="T259" s="17">
        <f t="shared" ref="T259:T322" si="51">(P259-P$764)/P$767</f>
        <v>3.1665814214306364E-3</v>
      </c>
      <c r="U259" s="16">
        <v>33</v>
      </c>
      <c r="V259" s="16">
        <v>38</v>
      </c>
      <c r="W259" s="16">
        <v>40</v>
      </c>
      <c r="X259" s="16">
        <v>42</v>
      </c>
      <c r="Y259" s="15">
        <v>0.48199999999999998</v>
      </c>
      <c r="Z259" s="15">
        <v>0.61199999999999999</v>
      </c>
      <c r="AA259" s="15">
        <v>0.72399999999999998</v>
      </c>
      <c r="AB259" s="15">
        <v>0.81799999999999995</v>
      </c>
      <c r="AC259" s="3">
        <f t="shared" si="45"/>
        <v>0.30396642068655261</v>
      </c>
      <c r="AD259" s="3">
        <f t="shared" si="46"/>
        <v>0.38652431540142684</v>
      </c>
      <c r="AE259" s="3">
        <f t="shared" si="47"/>
        <v>0.36781708565219057</v>
      </c>
      <c r="AF259" s="3">
        <f t="shared" si="48"/>
        <v>0.33947742286749588</v>
      </c>
    </row>
    <row r="260" spans="1:32" x14ac:dyDescent="0.2">
      <c r="A260" s="30">
        <v>258</v>
      </c>
      <c r="B260" s="9" t="s">
        <v>805</v>
      </c>
      <c r="C260" s="12">
        <v>94071</v>
      </c>
      <c r="D260" s="13" t="s">
        <v>259</v>
      </c>
      <c r="E260" s="17">
        <v>-52.093544338900003</v>
      </c>
      <c r="F260" s="17">
        <v>4.6653691753500004</v>
      </c>
      <c r="G260" s="14">
        <v>333</v>
      </c>
      <c r="H260" s="17">
        <v>24.52</v>
      </c>
      <c r="I260" s="17">
        <v>25.37</v>
      </c>
      <c r="J260" s="17">
        <v>26.56</v>
      </c>
      <c r="K260" s="17">
        <v>27.88</v>
      </c>
      <c r="L260" s="17">
        <v>29.37</v>
      </c>
      <c r="M260" s="17">
        <f t="shared" ref="M260:M323" si="52">I260-H260</f>
        <v>0.85000000000000142</v>
      </c>
      <c r="N260" s="17">
        <f t="shared" ref="N260:N323" si="53">J260-H260</f>
        <v>2.0399999999999991</v>
      </c>
      <c r="O260" s="17">
        <f t="shared" ref="O260:O323" si="54">K260-H260</f>
        <v>3.3599999999999994</v>
      </c>
      <c r="P260" s="17">
        <f t="shared" ref="P260:P323" si="55">L260-H260</f>
        <v>4.8500000000000014</v>
      </c>
      <c r="Q260" s="17">
        <f t="shared" ref="Q260:Q323" si="56">(M260-M$764)/M$767</f>
        <v>-1.3551922780275862E-2</v>
      </c>
      <c r="R260" s="17">
        <f t="shared" si="49"/>
        <v>-9.1946387474082458E-2</v>
      </c>
      <c r="S260" s="17">
        <f t="shared" si="50"/>
        <v>-0.13865493008290877</v>
      </c>
      <c r="T260" s="17">
        <f t="shared" si="51"/>
        <v>0.11450585179039192</v>
      </c>
      <c r="U260" s="16">
        <v>6</v>
      </c>
      <c r="V260" s="16">
        <v>11</v>
      </c>
      <c r="W260" s="16">
        <v>12</v>
      </c>
      <c r="X260" s="16">
        <v>15</v>
      </c>
      <c r="Y260" s="15">
        <v>0.48</v>
      </c>
      <c r="Z260" s="15">
        <v>0.61</v>
      </c>
      <c r="AA260" s="15">
        <v>0.72299999999999998</v>
      </c>
      <c r="AB260" s="15">
        <v>0.81299999999999994</v>
      </c>
      <c r="AC260" s="3">
        <f t="shared" ref="AC260:AC323" si="57">(Y260-Y$764)/Y$767</f>
        <v>0.28548506844022981</v>
      </c>
      <c r="AD260" s="3">
        <f t="shared" ref="AD260:AD323" si="58">(Z260-Z$764)/Z$767</f>
        <v>0.36857748628058717</v>
      </c>
      <c r="AE260" s="3">
        <f t="shared" ref="AE260:AE323" si="59">(AA260-AA$764)/AA$767</f>
        <v>0.35958383759158963</v>
      </c>
      <c r="AF260" s="3">
        <f t="shared" ref="AF260:AF323" si="60">(AB260-AB$764)/AB$767</f>
        <v>0.2984046528424974</v>
      </c>
    </row>
    <row r="261" spans="1:32" x14ac:dyDescent="0.2">
      <c r="A261" s="30">
        <v>259</v>
      </c>
      <c r="B261" s="9" t="s">
        <v>1048</v>
      </c>
      <c r="C261" s="12">
        <v>94075</v>
      </c>
      <c r="D261" s="13" t="s">
        <v>260</v>
      </c>
      <c r="E261" s="17">
        <v>21.340693361300001</v>
      </c>
      <c r="F261" s="17">
        <v>55.342329102599997</v>
      </c>
      <c r="G261" s="14">
        <v>129</v>
      </c>
      <c r="H261" s="17">
        <v>8.1</v>
      </c>
      <c r="I261" s="17">
        <v>8.4</v>
      </c>
      <c r="J261" s="17">
        <v>10.65</v>
      </c>
      <c r="K261" s="17">
        <v>13.15</v>
      </c>
      <c r="L261" s="17">
        <v>13.27</v>
      </c>
      <c r="M261" s="17">
        <f t="shared" si="52"/>
        <v>0.30000000000000071</v>
      </c>
      <c r="N261" s="17">
        <f t="shared" si="53"/>
        <v>2.5500000000000007</v>
      </c>
      <c r="O261" s="17">
        <f t="shared" si="54"/>
        <v>5.0500000000000007</v>
      </c>
      <c r="P261" s="17">
        <f t="shared" si="55"/>
        <v>5.17</v>
      </c>
      <c r="Q261" s="17">
        <f t="shared" si="56"/>
        <v>-0.68365516918043145</v>
      </c>
      <c r="R261" s="17">
        <f t="shared" si="49"/>
        <v>0.62606186526414842</v>
      </c>
      <c r="S261" s="17">
        <f t="shared" si="50"/>
        <v>1.8238649782656577</v>
      </c>
      <c r="T261" s="17">
        <f t="shared" si="51"/>
        <v>0.43840191104555221</v>
      </c>
      <c r="U261" s="16">
        <v>43</v>
      </c>
      <c r="V261" s="16">
        <v>50</v>
      </c>
      <c r="W261" s="16">
        <v>52</v>
      </c>
      <c r="X261" s="16">
        <v>56</v>
      </c>
      <c r="Y261" s="15">
        <v>0.48799999999999999</v>
      </c>
      <c r="Z261" s="15">
        <v>0.63600000000000001</v>
      </c>
      <c r="AA261" s="15">
        <v>0.73</v>
      </c>
      <c r="AB261" s="15">
        <v>0.85399999999999998</v>
      </c>
      <c r="AC261" s="3">
        <f t="shared" si="57"/>
        <v>0.35941047742552107</v>
      </c>
      <c r="AD261" s="3">
        <f t="shared" si="58"/>
        <v>0.60188626485150332</v>
      </c>
      <c r="AE261" s="3">
        <f t="shared" si="59"/>
        <v>0.41721657401579598</v>
      </c>
      <c r="AF261" s="3">
        <f t="shared" si="60"/>
        <v>0.63520136704748498</v>
      </c>
    </row>
    <row r="262" spans="1:32" x14ac:dyDescent="0.2">
      <c r="A262" s="30">
        <v>260</v>
      </c>
      <c r="B262" s="9" t="s">
        <v>1049</v>
      </c>
      <c r="C262" s="12">
        <v>94077</v>
      </c>
      <c r="D262" s="13" t="s">
        <v>261</v>
      </c>
      <c r="E262" s="17">
        <v>1.4083738291000001</v>
      </c>
      <c r="F262" s="17">
        <v>38.8091776212</v>
      </c>
      <c r="G262" s="14">
        <v>56</v>
      </c>
      <c r="H262" s="17">
        <v>18.37</v>
      </c>
      <c r="I262" s="17">
        <v>18.75</v>
      </c>
      <c r="J262" s="17">
        <v>20.52</v>
      </c>
      <c r="K262" s="17">
        <v>21.27</v>
      </c>
      <c r="L262" s="17">
        <v>22.94</v>
      </c>
      <c r="M262" s="17">
        <f t="shared" si="52"/>
        <v>0.37999999999999901</v>
      </c>
      <c r="N262" s="17">
        <f t="shared" si="53"/>
        <v>2.1499999999999986</v>
      </c>
      <c r="O262" s="17">
        <f t="shared" si="54"/>
        <v>2.8999999999999986</v>
      </c>
      <c r="P262" s="17">
        <f t="shared" si="55"/>
        <v>4.57</v>
      </c>
      <c r="Q262" s="17">
        <f t="shared" si="56"/>
        <v>-0.58618560606768366</v>
      </c>
      <c r="R262" s="17">
        <f t="shared" si="49"/>
        <v>6.291813762631901E-2</v>
      </c>
      <c r="S262" s="17">
        <f t="shared" si="50"/>
        <v>-0.6728319465564836</v>
      </c>
      <c r="T262" s="17">
        <f t="shared" si="51"/>
        <v>-0.16890320005787579</v>
      </c>
      <c r="U262" s="16">
        <v>0</v>
      </c>
      <c r="V262" s="16">
        <v>0</v>
      </c>
      <c r="W262" s="16">
        <v>0</v>
      </c>
      <c r="X262" s="16">
        <v>0</v>
      </c>
      <c r="Y262" s="15">
        <v>0.46500000000000002</v>
      </c>
      <c r="Z262" s="15">
        <v>0.57799999999999996</v>
      </c>
      <c r="AA262" s="15">
        <v>0.69299999999999995</v>
      </c>
      <c r="AB262" s="15">
        <v>0.79</v>
      </c>
      <c r="AC262" s="3">
        <f t="shared" si="57"/>
        <v>0.14687492659280921</v>
      </c>
      <c r="AD262" s="3">
        <f t="shared" si="58"/>
        <v>8.1428220347151858E-2</v>
      </c>
      <c r="AE262" s="3">
        <f t="shared" si="59"/>
        <v>0.11258639577356261</v>
      </c>
      <c r="AF262" s="3">
        <f t="shared" si="60"/>
        <v>0.10946991072750528</v>
      </c>
    </row>
    <row r="263" spans="1:32" x14ac:dyDescent="0.2">
      <c r="A263" s="30">
        <v>261</v>
      </c>
      <c r="B263" s="9" t="s">
        <v>1050</v>
      </c>
      <c r="C263" s="12">
        <v>94082</v>
      </c>
      <c r="D263" s="13" t="s">
        <v>262</v>
      </c>
      <c r="E263" s="17">
        <v>0.658125397715</v>
      </c>
      <c r="F263" s="17">
        <v>51.407784124400003</v>
      </c>
      <c r="G263" s="14">
        <v>85</v>
      </c>
      <c r="H263" s="17">
        <v>11.14</v>
      </c>
      <c r="I263" s="17">
        <v>10.65</v>
      </c>
      <c r="J263" s="17">
        <v>12.39</v>
      </c>
      <c r="K263" s="17">
        <v>14.61</v>
      </c>
      <c r="L263" s="17">
        <v>15.74</v>
      </c>
      <c r="M263" s="17">
        <f t="shared" si="52"/>
        <v>-0.49000000000000021</v>
      </c>
      <c r="N263" s="17">
        <f t="shared" si="53"/>
        <v>1.25</v>
      </c>
      <c r="O263" s="17">
        <f t="shared" si="54"/>
        <v>3.4699999999999989</v>
      </c>
      <c r="P263" s="17">
        <f t="shared" si="55"/>
        <v>4.5999999999999996</v>
      </c>
      <c r="Q263" s="17">
        <f t="shared" si="56"/>
        <v>-1.6461671049188364</v>
      </c>
      <c r="R263" s="17">
        <f t="shared" si="49"/>
        <v>-1.2041552495587884</v>
      </c>
      <c r="S263" s="17">
        <f t="shared" si="50"/>
        <v>-1.0916947882706977E-2</v>
      </c>
      <c r="T263" s="17">
        <f t="shared" si="51"/>
        <v>-0.13853794450270501</v>
      </c>
      <c r="U263" s="16">
        <v>4</v>
      </c>
      <c r="V263" s="16">
        <v>5</v>
      </c>
      <c r="W263" s="16">
        <v>9</v>
      </c>
      <c r="X263" s="16">
        <v>16</v>
      </c>
      <c r="Y263" s="15">
        <v>0.47633333333299999</v>
      </c>
      <c r="Z263" s="15">
        <v>0.60366666666699997</v>
      </c>
      <c r="AA263" s="15">
        <v>0.69233333333299996</v>
      </c>
      <c r="AB263" s="15">
        <v>0.80466666666700004</v>
      </c>
      <c r="AC263" s="3">
        <f t="shared" si="57"/>
        <v>0.25160258931889118</v>
      </c>
      <c r="AD263" s="3">
        <f t="shared" si="58"/>
        <v>0.31174586073425248</v>
      </c>
      <c r="AE263" s="3">
        <f t="shared" si="59"/>
        <v>0.10709756373041766</v>
      </c>
      <c r="AF263" s="3">
        <f t="shared" si="60"/>
        <v>0.22995003613690565</v>
      </c>
    </row>
    <row r="264" spans="1:32" x14ac:dyDescent="0.2">
      <c r="A264" s="30">
        <v>262</v>
      </c>
      <c r="B264" s="9" t="s">
        <v>1051</v>
      </c>
      <c r="C264" s="12">
        <v>94085</v>
      </c>
      <c r="D264" s="13" t="s">
        <v>263</v>
      </c>
      <c r="E264" s="17">
        <v>0.68261756305400001</v>
      </c>
      <c r="F264" s="17">
        <v>51.526028592800003</v>
      </c>
      <c r="G264" s="14">
        <v>54</v>
      </c>
      <c r="H264" s="17">
        <v>11.28</v>
      </c>
      <c r="I264" s="17">
        <v>10.78</v>
      </c>
      <c r="J264" s="17">
        <v>12.53</v>
      </c>
      <c r="K264" s="17">
        <v>14.71</v>
      </c>
      <c r="L264" s="17">
        <v>15.83</v>
      </c>
      <c r="M264" s="17">
        <f t="shared" si="52"/>
        <v>-0.5</v>
      </c>
      <c r="N264" s="17">
        <f t="shared" si="53"/>
        <v>1.25</v>
      </c>
      <c r="O264" s="17">
        <f t="shared" si="54"/>
        <v>3.4300000000000015</v>
      </c>
      <c r="P264" s="17">
        <f t="shared" si="55"/>
        <v>4.5500000000000007</v>
      </c>
      <c r="Q264" s="17">
        <f t="shared" si="56"/>
        <v>-1.6583508003079299</v>
      </c>
      <c r="R264" s="17">
        <f t="shared" si="49"/>
        <v>-1.2041552495587884</v>
      </c>
      <c r="S264" s="17">
        <f t="shared" si="50"/>
        <v>-5.7367123228232092E-2</v>
      </c>
      <c r="T264" s="17">
        <f t="shared" si="51"/>
        <v>-0.18914670376132298</v>
      </c>
      <c r="U264" s="16">
        <v>0</v>
      </c>
      <c r="V264" s="16">
        <v>0</v>
      </c>
      <c r="W264" s="16">
        <v>0</v>
      </c>
      <c r="X264" s="16">
        <v>1</v>
      </c>
      <c r="Y264" s="15">
        <v>0.45733333333300002</v>
      </c>
      <c r="Z264" s="15">
        <v>0.58266666666699996</v>
      </c>
      <c r="AA264" s="15">
        <v>0.67066666666700003</v>
      </c>
      <c r="AB264" s="15">
        <v>0.78466666666700002</v>
      </c>
      <c r="AC264" s="3">
        <f t="shared" si="57"/>
        <v>7.6029742978824907E-2</v>
      </c>
      <c r="AD264" s="3">
        <f t="shared" si="58"/>
        <v>0.12330415496543558</v>
      </c>
      <c r="AE264" s="3">
        <f t="shared" si="59"/>
        <v>-7.1289477577112237E-2</v>
      </c>
      <c r="AF264" s="3">
        <f t="shared" si="60"/>
        <v>6.5658956036911686E-2</v>
      </c>
    </row>
    <row r="265" spans="1:32" x14ac:dyDescent="0.2">
      <c r="A265" s="30">
        <v>263</v>
      </c>
      <c r="B265" s="9" t="s">
        <v>1052</v>
      </c>
      <c r="C265" s="12">
        <v>95287</v>
      </c>
      <c r="D265" s="13" t="s">
        <v>264</v>
      </c>
      <c r="E265" s="17">
        <v>0.95358796911300003</v>
      </c>
      <c r="F265" s="17">
        <v>51.6911548215</v>
      </c>
      <c r="G265" s="14">
        <v>72</v>
      </c>
      <c r="H265" s="17">
        <v>11.56</v>
      </c>
      <c r="I265" s="17">
        <v>11.07</v>
      </c>
      <c r="J265" s="17">
        <v>12.82</v>
      </c>
      <c r="K265" s="17">
        <v>14.9</v>
      </c>
      <c r="L265" s="17">
        <v>16.02</v>
      </c>
      <c r="M265" s="17">
        <f t="shared" si="52"/>
        <v>-0.49000000000000021</v>
      </c>
      <c r="N265" s="17">
        <f t="shared" si="53"/>
        <v>1.2599999999999998</v>
      </c>
      <c r="O265" s="17">
        <f t="shared" si="54"/>
        <v>3.34</v>
      </c>
      <c r="P265" s="17">
        <f t="shared" si="55"/>
        <v>4.4599999999999991</v>
      </c>
      <c r="Q265" s="17">
        <f t="shared" si="56"/>
        <v>-1.6461671049188364</v>
      </c>
      <c r="R265" s="17">
        <f t="shared" si="49"/>
        <v>-1.1900766563678431</v>
      </c>
      <c r="S265" s="17">
        <f t="shared" si="50"/>
        <v>-0.16188001775567235</v>
      </c>
      <c r="T265" s="17">
        <f t="shared" si="51"/>
        <v>-0.28024247042683886</v>
      </c>
      <c r="U265" s="16">
        <v>1</v>
      </c>
      <c r="V265" s="16">
        <v>5</v>
      </c>
      <c r="W265" s="16">
        <v>5</v>
      </c>
      <c r="X265" s="16">
        <v>5</v>
      </c>
      <c r="Y265" s="15">
        <v>0.45733333333300002</v>
      </c>
      <c r="Z265" s="15">
        <v>0.58266666666699996</v>
      </c>
      <c r="AA265" s="15">
        <v>0.67066666666700003</v>
      </c>
      <c r="AB265" s="15">
        <v>0.78466666666700002</v>
      </c>
      <c r="AC265" s="3">
        <f t="shared" si="57"/>
        <v>7.6029742978824907E-2</v>
      </c>
      <c r="AD265" s="3">
        <f t="shared" si="58"/>
        <v>0.12330415496543558</v>
      </c>
      <c r="AE265" s="3">
        <f t="shared" si="59"/>
        <v>-7.1289477577112237E-2</v>
      </c>
      <c r="AF265" s="3">
        <f t="shared" si="60"/>
        <v>6.5658956036911686E-2</v>
      </c>
    </row>
    <row r="266" spans="1:32" x14ac:dyDescent="0.2">
      <c r="A266" s="30">
        <v>264</v>
      </c>
      <c r="B266" s="9" t="s">
        <v>1053</v>
      </c>
      <c r="C266" s="12">
        <v>95290</v>
      </c>
      <c r="D266" s="13" t="s">
        <v>265</v>
      </c>
      <c r="E266" s="17">
        <v>1.18556996493</v>
      </c>
      <c r="F266" s="17">
        <v>51.967607086199997</v>
      </c>
      <c r="G266" s="14">
        <v>81</v>
      </c>
      <c r="H266" s="17">
        <v>11.28</v>
      </c>
      <c r="I266" s="17">
        <v>10.82</v>
      </c>
      <c r="J266" s="17">
        <v>12.52</v>
      </c>
      <c r="K266" s="17">
        <v>14.64</v>
      </c>
      <c r="L266" s="17">
        <v>15.71</v>
      </c>
      <c r="M266" s="17">
        <f t="shared" si="52"/>
        <v>-0.45999999999999908</v>
      </c>
      <c r="N266" s="17">
        <f t="shared" si="53"/>
        <v>1.2400000000000002</v>
      </c>
      <c r="O266" s="17">
        <f t="shared" si="54"/>
        <v>3.3600000000000012</v>
      </c>
      <c r="P266" s="17">
        <f t="shared" si="55"/>
        <v>4.4300000000000015</v>
      </c>
      <c r="Q266" s="17">
        <f t="shared" si="56"/>
        <v>-1.609616018751554</v>
      </c>
      <c r="R266" s="17">
        <f t="shared" si="49"/>
        <v>-1.2182338427497339</v>
      </c>
      <c r="S266" s="17">
        <f t="shared" si="50"/>
        <v>-0.13865493008290672</v>
      </c>
      <c r="T266" s="17">
        <f t="shared" si="51"/>
        <v>-0.31060772598200787</v>
      </c>
      <c r="U266" s="16">
        <v>4</v>
      </c>
      <c r="V266" s="16">
        <v>12</v>
      </c>
      <c r="W266" s="16">
        <v>13</v>
      </c>
      <c r="X266" s="16">
        <v>18</v>
      </c>
      <c r="Y266" s="15">
        <v>0.45733333333300002</v>
      </c>
      <c r="Z266" s="15">
        <v>0.58266666666699996</v>
      </c>
      <c r="AA266" s="15">
        <v>0.67066666666700003</v>
      </c>
      <c r="AB266" s="15">
        <v>0.78466666666700002</v>
      </c>
      <c r="AC266" s="3">
        <f t="shared" si="57"/>
        <v>7.6029742978824907E-2</v>
      </c>
      <c r="AD266" s="3">
        <f t="shared" si="58"/>
        <v>0.12330415496543558</v>
      </c>
      <c r="AE266" s="3">
        <f t="shared" si="59"/>
        <v>-7.1289477577112237E-2</v>
      </c>
      <c r="AF266" s="3">
        <f t="shared" si="60"/>
        <v>6.5658956036911686E-2</v>
      </c>
    </row>
    <row r="267" spans="1:32" x14ac:dyDescent="0.2">
      <c r="A267" s="30">
        <v>265</v>
      </c>
      <c r="B267" s="9" t="s">
        <v>1054</v>
      </c>
      <c r="C267" s="12">
        <v>95291</v>
      </c>
      <c r="D267" s="13" t="s">
        <v>266</v>
      </c>
      <c r="E267" s="17">
        <v>-0.16574918836899999</v>
      </c>
      <c r="F267" s="17">
        <v>53.6188491646</v>
      </c>
      <c r="G267" s="14">
        <v>380</v>
      </c>
      <c r="H267" s="17">
        <v>9.99</v>
      </c>
      <c r="I267" s="17">
        <v>9.6300000000000008</v>
      </c>
      <c r="J267" s="17">
        <v>11.23</v>
      </c>
      <c r="K267" s="17">
        <v>13.32</v>
      </c>
      <c r="L267" s="17">
        <v>14.43</v>
      </c>
      <c r="M267" s="17">
        <f t="shared" si="52"/>
        <v>-0.35999999999999943</v>
      </c>
      <c r="N267" s="17">
        <f t="shared" si="53"/>
        <v>1.2400000000000002</v>
      </c>
      <c r="O267" s="17">
        <f t="shared" si="54"/>
        <v>3.33</v>
      </c>
      <c r="P267" s="17">
        <f t="shared" si="55"/>
        <v>4.4399999999999995</v>
      </c>
      <c r="Q267" s="17">
        <f t="shared" si="56"/>
        <v>-1.4877790648606173</v>
      </c>
      <c r="R267" s="17">
        <f t="shared" si="49"/>
        <v>-1.2182338427497339</v>
      </c>
      <c r="S267" s="17">
        <f t="shared" si="50"/>
        <v>-0.17349256159205415</v>
      </c>
      <c r="T267" s="17">
        <f t="shared" si="51"/>
        <v>-0.30048597413028605</v>
      </c>
      <c r="U267" s="16">
        <v>37</v>
      </c>
      <c r="V267" s="16">
        <v>49</v>
      </c>
      <c r="W267" s="16">
        <v>51</v>
      </c>
      <c r="X267" s="16">
        <v>56</v>
      </c>
      <c r="Y267" s="15">
        <v>0.48399999999999999</v>
      </c>
      <c r="Z267" s="15">
        <v>0.60699999999999998</v>
      </c>
      <c r="AA267" s="15">
        <v>0.69099999999999995</v>
      </c>
      <c r="AB267" s="15">
        <v>0.80500000000000005</v>
      </c>
      <c r="AC267" s="3">
        <f t="shared" si="57"/>
        <v>0.32244777293287546</v>
      </c>
      <c r="AD267" s="3">
        <f t="shared" si="58"/>
        <v>0.34165724259932762</v>
      </c>
      <c r="AE267" s="3">
        <f t="shared" si="59"/>
        <v>9.6119899652360813E-2</v>
      </c>
      <c r="AF267" s="3">
        <f t="shared" si="60"/>
        <v>0.23268822080250073</v>
      </c>
    </row>
    <row r="268" spans="1:32" x14ac:dyDescent="0.2">
      <c r="A268" s="30">
        <v>266</v>
      </c>
      <c r="B268" s="9" t="s">
        <v>1055</v>
      </c>
      <c r="C268" s="12">
        <v>95292</v>
      </c>
      <c r="D268" s="13" t="s">
        <v>267</v>
      </c>
      <c r="E268" s="17">
        <v>1.3367525892800001</v>
      </c>
      <c r="F268" s="17">
        <v>51.320886083700003</v>
      </c>
      <c r="G268" s="14">
        <v>67</v>
      </c>
      <c r="H268" s="17">
        <v>11.73</v>
      </c>
      <c r="I268" s="17">
        <v>11.22</v>
      </c>
      <c r="J268" s="17">
        <v>12.98</v>
      </c>
      <c r="K268" s="17">
        <v>15.01</v>
      </c>
      <c r="L268" s="17">
        <v>16.190000000000001</v>
      </c>
      <c r="M268" s="17">
        <f t="shared" si="52"/>
        <v>-0.50999999999999979</v>
      </c>
      <c r="N268" s="17">
        <f t="shared" si="53"/>
        <v>1.25</v>
      </c>
      <c r="O268" s="17">
        <f t="shared" si="54"/>
        <v>3.2799999999999994</v>
      </c>
      <c r="P268" s="17">
        <f t="shared" si="55"/>
        <v>4.4600000000000009</v>
      </c>
      <c r="Q268" s="17">
        <f t="shared" si="56"/>
        <v>-1.6705344956970234</v>
      </c>
      <c r="R268" s="17">
        <f t="shared" si="49"/>
        <v>-1.2041552495587884</v>
      </c>
      <c r="S268" s="17">
        <f t="shared" si="50"/>
        <v>-0.23155528077396517</v>
      </c>
      <c r="T268" s="17">
        <f t="shared" si="51"/>
        <v>-0.28024247042683709</v>
      </c>
      <c r="U268" s="16">
        <v>5</v>
      </c>
      <c r="V268" s="16">
        <v>7</v>
      </c>
      <c r="W268" s="16">
        <v>9</v>
      </c>
      <c r="X268" s="16">
        <v>13</v>
      </c>
      <c r="Y268" s="15">
        <v>0.47633333333299999</v>
      </c>
      <c r="Z268" s="15">
        <v>0.60366666666699997</v>
      </c>
      <c r="AA268" s="15">
        <v>0.69233333333299996</v>
      </c>
      <c r="AB268" s="15">
        <v>0.80466666666700004</v>
      </c>
      <c r="AC268" s="3">
        <f t="shared" si="57"/>
        <v>0.25160258931889118</v>
      </c>
      <c r="AD268" s="3">
        <f t="shared" si="58"/>
        <v>0.31174586073425248</v>
      </c>
      <c r="AE268" s="3">
        <f t="shared" si="59"/>
        <v>0.10709756373041766</v>
      </c>
      <c r="AF268" s="3">
        <f t="shared" si="60"/>
        <v>0.22995003613690565</v>
      </c>
    </row>
    <row r="269" spans="1:32" x14ac:dyDescent="0.2">
      <c r="A269" s="30">
        <v>267</v>
      </c>
      <c r="B269" s="9" t="s">
        <v>1056</v>
      </c>
      <c r="C269" s="12">
        <v>95293</v>
      </c>
      <c r="D269" s="13" t="s">
        <v>268</v>
      </c>
      <c r="E269" s="17">
        <v>0.98993351244600003</v>
      </c>
      <c r="F269" s="17">
        <v>51.805252703699999</v>
      </c>
      <c r="G269" s="14">
        <v>45</v>
      </c>
      <c r="H269" s="17">
        <v>11.51</v>
      </c>
      <c r="I269" s="17">
        <v>11.03</v>
      </c>
      <c r="J269" s="17">
        <v>12.77</v>
      </c>
      <c r="K269" s="17">
        <v>14.85</v>
      </c>
      <c r="L269" s="17">
        <v>15.96</v>
      </c>
      <c r="M269" s="17">
        <f t="shared" si="52"/>
        <v>-0.48000000000000043</v>
      </c>
      <c r="N269" s="17">
        <f t="shared" si="53"/>
        <v>1.2599999999999998</v>
      </c>
      <c r="O269" s="17">
        <f t="shared" si="54"/>
        <v>3.34</v>
      </c>
      <c r="P269" s="17">
        <f t="shared" si="55"/>
        <v>4.4500000000000011</v>
      </c>
      <c r="Q269" s="17">
        <f t="shared" si="56"/>
        <v>-1.633983409529743</v>
      </c>
      <c r="R269" s="17">
        <f t="shared" si="49"/>
        <v>-1.1900766563678431</v>
      </c>
      <c r="S269" s="17">
        <f t="shared" si="50"/>
        <v>-0.16188001775567235</v>
      </c>
      <c r="T269" s="17">
        <f t="shared" si="51"/>
        <v>-0.29036422227856068</v>
      </c>
      <c r="U269" s="16">
        <v>3</v>
      </c>
      <c r="V269" s="16">
        <v>10</v>
      </c>
      <c r="W269" s="16">
        <v>10</v>
      </c>
      <c r="X269" s="16">
        <v>12</v>
      </c>
      <c r="Y269" s="15">
        <v>0.45733333333300002</v>
      </c>
      <c r="Z269" s="15">
        <v>0.58266666666699996</v>
      </c>
      <c r="AA269" s="15">
        <v>0.67066666666700003</v>
      </c>
      <c r="AB269" s="15">
        <v>0.78466666666700002</v>
      </c>
      <c r="AC269" s="3">
        <f t="shared" si="57"/>
        <v>7.6029742978824907E-2</v>
      </c>
      <c r="AD269" s="3">
        <f t="shared" si="58"/>
        <v>0.12330415496543558</v>
      </c>
      <c r="AE269" s="3">
        <f t="shared" si="59"/>
        <v>-7.1289477577112237E-2</v>
      </c>
      <c r="AF269" s="3">
        <f t="shared" si="60"/>
        <v>6.5658956036911686E-2</v>
      </c>
    </row>
    <row r="270" spans="1:32" x14ac:dyDescent="0.2">
      <c r="A270" s="30">
        <v>268</v>
      </c>
      <c r="B270" s="9" t="s">
        <v>1057</v>
      </c>
      <c r="C270" s="12">
        <v>95296</v>
      </c>
      <c r="D270" s="13" t="s">
        <v>269</v>
      </c>
      <c r="E270" s="17">
        <v>-2.50886252374</v>
      </c>
      <c r="F270" s="17">
        <v>56.712649939099997</v>
      </c>
      <c r="G270" s="14">
        <v>17</v>
      </c>
      <c r="H270" s="17">
        <v>5.87</v>
      </c>
      <c r="I270" s="17">
        <v>6.38</v>
      </c>
      <c r="J270" s="17">
        <v>7.92</v>
      </c>
      <c r="K270" s="17">
        <v>9.58</v>
      </c>
      <c r="L270" s="17">
        <v>10.81</v>
      </c>
      <c r="M270" s="17">
        <f t="shared" si="52"/>
        <v>0.50999999999999979</v>
      </c>
      <c r="N270" s="17">
        <f t="shared" si="53"/>
        <v>2.0499999999999998</v>
      </c>
      <c r="O270" s="17">
        <f t="shared" si="54"/>
        <v>3.71</v>
      </c>
      <c r="P270" s="17">
        <f t="shared" si="55"/>
        <v>4.9400000000000004</v>
      </c>
      <c r="Q270" s="17">
        <f t="shared" si="56"/>
        <v>-0.42779756600946439</v>
      </c>
      <c r="R270" s="17">
        <f t="shared" si="49"/>
        <v>-7.7867794283135852E-2</v>
      </c>
      <c r="S270" s="17">
        <f t="shared" si="50"/>
        <v>0.26778410419046328</v>
      </c>
      <c r="T270" s="17">
        <f t="shared" si="51"/>
        <v>0.20560161845590513</v>
      </c>
      <c r="U270" s="16">
        <v>0</v>
      </c>
      <c r="V270" s="16">
        <v>0</v>
      </c>
      <c r="W270" s="16">
        <v>1</v>
      </c>
      <c r="X270" s="16">
        <v>1</v>
      </c>
      <c r="Y270" s="15">
        <v>0.34799999999999998</v>
      </c>
      <c r="Z270" s="15">
        <v>0.46400000000000002</v>
      </c>
      <c r="AA270" s="15">
        <v>0.53600000000000003</v>
      </c>
      <c r="AB270" s="15">
        <v>0.65</v>
      </c>
      <c r="AC270" s="3">
        <f t="shared" si="57"/>
        <v>-0.93428417981707512</v>
      </c>
      <c r="AD270" s="3">
        <f t="shared" si="58"/>
        <v>-0.94154103954070989</v>
      </c>
      <c r="AE270" s="3">
        <f t="shared" si="59"/>
        <v>-1.180033549740777</v>
      </c>
      <c r="AF270" s="3">
        <f t="shared" si="60"/>
        <v>-1.0405676499724514</v>
      </c>
    </row>
    <row r="271" spans="1:32" x14ac:dyDescent="0.2">
      <c r="A271" s="30">
        <v>269</v>
      </c>
      <c r="B271" s="9" t="s">
        <v>1058</v>
      </c>
      <c r="C271" s="12">
        <v>95297</v>
      </c>
      <c r="D271" s="13" t="s">
        <v>270</v>
      </c>
      <c r="E271" s="17">
        <v>-3.0154033019900002</v>
      </c>
      <c r="F271" s="17">
        <v>53.669220770899997</v>
      </c>
      <c r="G271" s="14">
        <v>240</v>
      </c>
      <c r="H271" s="17">
        <v>10.87</v>
      </c>
      <c r="I271" s="17">
        <v>10.48</v>
      </c>
      <c r="J271" s="17">
        <v>11.91</v>
      </c>
      <c r="K271" s="17">
        <v>13.4</v>
      </c>
      <c r="L271" s="17">
        <v>14.6</v>
      </c>
      <c r="M271" s="17">
        <f t="shared" si="52"/>
        <v>-0.38999999999999879</v>
      </c>
      <c r="N271" s="17">
        <f t="shared" si="53"/>
        <v>1.0400000000000009</v>
      </c>
      <c r="O271" s="17">
        <f t="shared" si="54"/>
        <v>2.5300000000000011</v>
      </c>
      <c r="P271" s="17">
        <f t="shared" si="55"/>
        <v>3.7300000000000004</v>
      </c>
      <c r="Q271" s="17">
        <f t="shared" si="56"/>
        <v>-1.5243301510278975</v>
      </c>
      <c r="R271" s="17">
        <f t="shared" si="49"/>
        <v>-1.4998057065686461</v>
      </c>
      <c r="S271" s="17">
        <f t="shared" si="50"/>
        <v>-1.1024960685026162</v>
      </c>
      <c r="T271" s="17">
        <f t="shared" si="51"/>
        <v>-1.0191303556026754</v>
      </c>
      <c r="U271" s="16">
        <v>2</v>
      </c>
      <c r="V271" s="16">
        <v>3</v>
      </c>
      <c r="W271" s="16">
        <v>5</v>
      </c>
      <c r="X271" s="16">
        <v>5</v>
      </c>
      <c r="Y271" s="15">
        <v>0.39100000000000001</v>
      </c>
      <c r="Z271" s="15">
        <v>0.50800000000000001</v>
      </c>
      <c r="AA271" s="15">
        <v>0.59399999999999997</v>
      </c>
      <c r="AB271" s="15">
        <v>0.69099999999999995</v>
      </c>
      <c r="AC271" s="3">
        <f t="shared" si="57"/>
        <v>-0.53693510652113452</v>
      </c>
      <c r="AD271" s="3">
        <f t="shared" si="58"/>
        <v>-0.54671079888223684</v>
      </c>
      <c r="AE271" s="3">
        <f t="shared" si="59"/>
        <v>-0.70250516222592574</v>
      </c>
      <c r="AF271" s="3">
        <f t="shared" si="60"/>
        <v>-0.70377093576746474</v>
      </c>
    </row>
    <row r="272" spans="1:32" x14ac:dyDescent="0.2">
      <c r="A272" s="30">
        <v>270</v>
      </c>
      <c r="B272" s="9" t="s">
        <v>1059</v>
      </c>
      <c r="C272" s="12">
        <v>95298</v>
      </c>
      <c r="D272" s="13" t="s">
        <v>271</v>
      </c>
      <c r="E272" s="17">
        <v>-1.12495548688</v>
      </c>
      <c r="F272" s="17">
        <v>50.827277791100002</v>
      </c>
      <c r="G272" s="14">
        <v>33</v>
      </c>
      <c r="H272" s="17">
        <v>11.76</v>
      </c>
      <c r="I272" s="17">
        <v>11.3</v>
      </c>
      <c r="J272" s="17">
        <v>12.77</v>
      </c>
      <c r="K272" s="17">
        <v>14.78</v>
      </c>
      <c r="L272" s="17">
        <v>16.03</v>
      </c>
      <c r="M272" s="17">
        <f t="shared" si="52"/>
        <v>-0.45999999999999908</v>
      </c>
      <c r="N272" s="17">
        <f t="shared" si="53"/>
        <v>1.0099999999999998</v>
      </c>
      <c r="O272" s="17">
        <f t="shared" si="54"/>
        <v>3.0199999999999996</v>
      </c>
      <c r="P272" s="17">
        <f t="shared" si="55"/>
        <v>4.2700000000000014</v>
      </c>
      <c r="Q272" s="17">
        <f t="shared" si="56"/>
        <v>-1.609616018751554</v>
      </c>
      <c r="R272" s="17">
        <f t="shared" si="49"/>
        <v>-1.5420414861414846</v>
      </c>
      <c r="S272" s="17">
        <f t="shared" si="50"/>
        <v>-0.533481420519898</v>
      </c>
      <c r="T272" s="17">
        <f t="shared" si="51"/>
        <v>-0.4725557556095889</v>
      </c>
      <c r="U272" s="16">
        <v>1</v>
      </c>
      <c r="V272" s="16">
        <v>1</v>
      </c>
      <c r="W272" s="16">
        <v>2</v>
      </c>
      <c r="X272" s="16">
        <v>2</v>
      </c>
      <c r="Y272" s="15">
        <v>0.42849999999999999</v>
      </c>
      <c r="Z272" s="15">
        <v>0.55249999999999999</v>
      </c>
      <c r="AA272" s="15">
        <v>0.64200000000000002</v>
      </c>
      <c r="AB272" s="15">
        <v>0.74399999999999999</v>
      </c>
      <c r="AC272" s="3">
        <f t="shared" si="57"/>
        <v>-0.19040975190258222</v>
      </c>
      <c r="AD272" s="3">
        <f t="shared" si="58"/>
        <v>-0.14739385094355389</v>
      </c>
      <c r="AE272" s="3">
        <f t="shared" si="59"/>
        <v>-0.30730925531708242</v>
      </c>
      <c r="AF272" s="3">
        <f t="shared" si="60"/>
        <v>-0.26839957350248078</v>
      </c>
    </row>
    <row r="273" spans="1:32" x14ac:dyDescent="0.2">
      <c r="A273" s="30">
        <v>271</v>
      </c>
      <c r="B273" s="9" t="s">
        <v>1060</v>
      </c>
      <c r="C273" s="12">
        <v>95299</v>
      </c>
      <c r="D273" s="13" t="s">
        <v>272</v>
      </c>
      <c r="E273" s="17">
        <v>0.72943695721500001</v>
      </c>
      <c r="F273" s="17">
        <v>51.625180182299999</v>
      </c>
      <c r="G273" s="14">
        <v>48</v>
      </c>
      <c r="H273" s="17">
        <v>11.42</v>
      </c>
      <c r="I273" s="17">
        <v>10.92</v>
      </c>
      <c r="J273" s="17">
        <v>12.67</v>
      </c>
      <c r="K273" s="17">
        <v>14.81</v>
      </c>
      <c r="L273" s="17">
        <v>15.93</v>
      </c>
      <c r="M273" s="17">
        <f t="shared" si="52"/>
        <v>-0.5</v>
      </c>
      <c r="N273" s="17">
        <f t="shared" si="53"/>
        <v>1.25</v>
      </c>
      <c r="O273" s="17">
        <f t="shared" si="54"/>
        <v>3.3900000000000006</v>
      </c>
      <c r="P273" s="17">
        <f t="shared" si="55"/>
        <v>4.51</v>
      </c>
      <c r="Q273" s="17">
        <f t="shared" si="56"/>
        <v>-1.6583508003079299</v>
      </c>
      <c r="R273" s="17">
        <f t="shared" si="49"/>
        <v>-1.2041552495587884</v>
      </c>
      <c r="S273" s="17">
        <f t="shared" si="50"/>
        <v>-0.10381729857376132</v>
      </c>
      <c r="T273" s="17">
        <f t="shared" si="51"/>
        <v>-0.22963371116821915</v>
      </c>
      <c r="U273" s="16">
        <v>3</v>
      </c>
      <c r="V273" s="16">
        <v>6</v>
      </c>
      <c r="W273" s="16">
        <v>8</v>
      </c>
      <c r="X273" s="16">
        <v>8</v>
      </c>
      <c r="Y273" s="15">
        <v>0.45733333333300002</v>
      </c>
      <c r="Z273" s="15">
        <v>0.58266666666699996</v>
      </c>
      <c r="AA273" s="15">
        <v>0.67066666666700003</v>
      </c>
      <c r="AB273" s="15">
        <v>0.78466666666700002</v>
      </c>
      <c r="AC273" s="3">
        <f t="shared" si="57"/>
        <v>7.6029742978824907E-2</v>
      </c>
      <c r="AD273" s="3">
        <f t="shared" si="58"/>
        <v>0.12330415496543558</v>
      </c>
      <c r="AE273" s="3">
        <f t="shared" si="59"/>
        <v>-7.1289477577112237E-2</v>
      </c>
      <c r="AF273" s="3">
        <f t="shared" si="60"/>
        <v>6.5658956036911686E-2</v>
      </c>
    </row>
    <row r="274" spans="1:32" x14ac:dyDescent="0.2">
      <c r="A274" s="30">
        <v>272</v>
      </c>
      <c r="B274" s="9" t="s">
        <v>1061</v>
      </c>
      <c r="C274" s="12">
        <v>95301</v>
      </c>
      <c r="D274" s="13" t="s">
        <v>273</v>
      </c>
      <c r="E274" s="17">
        <v>0.81387868553999998</v>
      </c>
      <c r="F274" s="17">
        <v>51.741199046799998</v>
      </c>
      <c r="G274" s="14">
        <v>88</v>
      </c>
      <c r="H274" s="17">
        <v>11.44</v>
      </c>
      <c r="I274" s="17">
        <v>10.95</v>
      </c>
      <c r="J274" s="17">
        <v>12.69</v>
      </c>
      <c r="K274" s="17">
        <v>14.81</v>
      </c>
      <c r="L274" s="17">
        <v>15.92</v>
      </c>
      <c r="M274" s="17">
        <f t="shared" si="52"/>
        <v>-0.49000000000000021</v>
      </c>
      <c r="N274" s="17">
        <f t="shared" si="53"/>
        <v>1.25</v>
      </c>
      <c r="O274" s="17">
        <f t="shared" si="54"/>
        <v>3.370000000000001</v>
      </c>
      <c r="P274" s="17">
        <f t="shared" si="55"/>
        <v>4.4800000000000004</v>
      </c>
      <c r="Q274" s="17">
        <f t="shared" si="56"/>
        <v>-1.6461671049188364</v>
      </c>
      <c r="R274" s="17">
        <f t="shared" si="49"/>
        <v>-1.2041552495587884</v>
      </c>
      <c r="S274" s="17">
        <f t="shared" si="50"/>
        <v>-0.12704238624652492</v>
      </c>
      <c r="T274" s="17">
        <f t="shared" si="51"/>
        <v>-0.2599989667233899</v>
      </c>
      <c r="U274" s="16">
        <v>14</v>
      </c>
      <c r="V274" s="16">
        <v>17</v>
      </c>
      <c r="W274" s="16">
        <v>22</v>
      </c>
      <c r="X274" s="16">
        <v>27</v>
      </c>
      <c r="Y274" s="15">
        <v>0.45733333333300002</v>
      </c>
      <c r="Z274" s="15">
        <v>0.58266666666699996</v>
      </c>
      <c r="AA274" s="15">
        <v>0.67066666666700003</v>
      </c>
      <c r="AB274" s="15">
        <v>0.78466666666700002</v>
      </c>
      <c r="AC274" s="3">
        <f t="shared" si="57"/>
        <v>7.6029742978824907E-2</v>
      </c>
      <c r="AD274" s="3">
        <f t="shared" si="58"/>
        <v>0.12330415496543558</v>
      </c>
      <c r="AE274" s="3">
        <f t="shared" si="59"/>
        <v>-7.1289477577112237E-2</v>
      </c>
      <c r="AF274" s="3">
        <f t="shared" si="60"/>
        <v>6.5658956036911686E-2</v>
      </c>
    </row>
    <row r="275" spans="1:32" x14ac:dyDescent="0.2">
      <c r="A275" s="30">
        <v>273</v>
      </c>
      <c r="B275" s="9" t="s">
        <v>1062</v>
      </c>
      <c r="C275" s="12">
        <v>95302</v>
      </c>
      <c r="D275" s="13" t="s">
        <v>274</v>
      </c>
      <c r="E275" s="17">
        <v>-2.8055668270499998</v>
      </c>
      <c r="F275" s="17">
        <v>51.495380686099999</v>
      </c>
      <c r="G275" s="14">
        <v>602</v>
      </c>
      <c r="H275" s="17">
        <v>10.58</v>
      </c>
      <c r="I275" s="17">
        <v>10.07</v>
      </c>
      <c r="J275" s="17">
        <v>11.46</v>
      </c>
      <c r="K275" s="17">
        <v>13.19</v>
      </c>
      <c r="L275" s="17">
        <v>14.41</v>
      </c>
      <c r="M275" s="17">
        <f t="shared" si="52"/>
        <v>-0.50999999999999979</v>
      </c>
      <c r="N275" s="17">
        <f t="shared" si="53"/>
        <v>0.88000000000000078</v>
      </c>
      <c r="O275" s="17">
        <f t="shared" si="54"/>
        <v>2.6099999999999994</v>
      </c>
      <c r="P275" s="17">
        <f t="shared" si="55"/>
        <v>3.83</v>
      </c>
      <c r="Q275" s="17">
        <f t="shared" si="56"/>
        <v>-1.6705344956970234</v>
      </c>
      <c r="R275" s="17">
        <f t="shared" si="49"/>
        <v>-1.7250631976237769</v>
      </c>
      <c r="S275" s="17">
        <f t="shared" si="50"/>
        <v>-1.0095957178115618</v>
      </c>
      <c r="T275" s="17">
        <f t="shared" si="51"/>
        <v>-0.91791283708543769</v>
      </c>
      <c r="U275" s="16">
        <v>6</v>
      </c>
      <c r="V275" s="16">
        <v>34</v>
      </c>
      <c r="W275" s="16">
        <v>40</v>
      </c>
      <c r="X275" s="16">
        <v>42</v>
      </c>
      <c r="Y275" s="15">
        <v>0.43049999999999999</v>
      </c>
      <c r="Z275" s="15">
        <v>0.54700000000000004</v>
      </c>
      <c r="AA275" s="15">
        <v>0.63800000000000001</v>
      </c>
      <c r="AB275" s="15">
        <v>0.73550000000000004</v>
      </c>
      <c r="AC275" s="3">
        <f t="shared" si="57"/>
        <v>-0.17192839965625939</v>
      </c>
      <c r="AD275" s="3">
        <f t="shared" si="58"/>
        <v>-0.1967476310258626</v>
      </c>
      <c r="AE275" s="3">
        <f t="shared" si="59"/>
        <v>-0.34024224755948601</v>
      </c>
      <c r="AF275" s="3">
        <f t="shared" si="60"/>
        <v>-0.33822328254497774</v>
      </c>
    </row>
    <row r="276" spans="1:32" x14ac:dyDescent="0.2">
      <c r="A276" s="30">
        <v>274</v>
      </c>
      <c r="B276" s="9" t="s">
        <v>1063</v>
      </c>
      <c r="C276" s="12">
        <v>95303</v>
      </c>
      <c r="D276" s="13" t="s">
        <v>275</v>
      </c>
      <c r="E276" s="17">
        <v>-1.16881802208</v>
      </c>
      <c r="F276" s="17">
        <v>54.631312888099998</v>
      </c>
      <c r="G276" s="14">
        <v>30</v>
      </c>
      <c r="H276" s="17">
        <v>8.02</v>
      </c>
      <c r="I276" s="17">
        <v>7.94</v>
      </c>
      <c r="J276" s="17">
        <v>9.5500000000000007</v>
      </c>
      <c r="K276" s="17">
        <v>11.37</v>
      </c>
      <c r="L276" s="17">
        <v>12.55</v>
      </c>
      <c r="M276" s="17">
        <f t="shared" si="52"/>
        <v>-7.9999999999999183E-2</v>
      </c>
      <c r="N276" s="17">
        <f t="shared" si="53"/>
        <v>1.5300000000000011</v>
      </c>
      <c r="O276" s="17">
        <f t="shared" si="54"/>
        <v>3.3499999999999996</v>
      </c>
      <c r="P276" s="17">
        <f t="shared" si="55"/>
        <v>4.5300000000000011</v>
      </c>
      <c r="Q276" s="17">
        <f t="shared" si="56"/>
        <v>-1.1466355939659927</v>
      </c>
      <c r="R276" s="17">
        <f t="shared" si="49"/>
        <v>-0.80995464021230834</v>
      </c>
      <c r="S276" s="17">
        <f t="shared" si="50"/>
        <v>-0.15026747391929057</v>
      </c>
      <c r="T276" s="17">
        <f t="shared" si="51"/>
        <v>-0.20939020746477016</v>
      </c>
      <c r="U276" s="16">
        <v>4</v>
      </c>
      <c r="V276" s="16">
        <v>6</v>
      </c>
      <c r="W276" s="16">
        <v>6</v>
      </c>
      <c r="X276" s="16">
        <v>8</v>
      </c>
      <c r="Y276" s="15">
        <v>0.47199999999999998</v>
      </c>
      <c r="Z276" s="15">
        <v>0.59050000000000002</v>
      </c>
      <c r="AA276" s="15">
        <v>0.67300000000000004</v>
      </c>
      <c r="AB276" s="15">
        <v>0.78600000000000003</v>
      </c>
      <c r="AC276" s="3">
        <f t="shared" si="57"/>
        <v>0.21155965945493854</v>
      </c>
      <c r="AD276" s="3">
        <f t="shared" si="58"/>
        <v>0.19359590235240054</v>
      </c>
      <c r="AE276" s="3">
        <f t="shared" si="59"/>
        <v>-5.2078565438454495E-2</v>
      </c>
      <c r="AF276" s="3">
        <f t="shared" si="60"/>
        <v>7.6611694707506492E-2</v>
      </c>
    </row>
    <row r="277" spans="1:32" x14ac:dyDescent="0.2">
      <c r="A277" s="30">
        <v>275</v>
      </c>
      <c r="B277" s="9" t="s">
        <v>1064</v>
      </c>
      <c r="C277" s="12">
        <v>95307</v>
      </c>
      <c r="D277" s="13" t="s">
        <v>276</v>
      </c>
      <c r="E277" s="17">
        <v>-1.8862517167799999</v>
      </c>
      <c r="F277" s="17">
        <v>57.623585747900002</v>
      </c>
      <c r="G277" s="14">
        <v>7</v>
      </c>
      <c r="H277" s="17">
        <v>8.1300000000000008</v>
      </c>
      <c r="I277" s="17">
        <v>8.4600000000000009</v>
      </c>
      <c r="J277" s="17">
        <v>9.86</v>
      </c>
      <c r="K277" s="17">
        <v>11.51</v>
      </c>
      <c r="L277" s="17">
        <v>12.76</v>
      </c>
      <c r="M277" s="17">
        <f t="shared" si="52"/>
        <v>0.33000000000000007</v>
      </c>
      <c r="N277" s="17">
        <f t="shared" si="53"/>
        <v>1.7299999999999986</v>
      </c>
      <c r="O277" s="17">
        <f t="shared" si="54"/>
        <v>3.379999999999999</v>
      </c>
      <c r="P277" s="17">
        <f t="shared" si="55"/>
        <v>4.629999999999999</v>
      </c>
      <c r="Q277" s="17">
        <f t="shared" si="56"/>
        <v>-0.64710408301315103</v>
      </c>
      <c r="R277" s="17">
        <f t="shared" si="49"/>
        <v>-0.5283827763933987</v>
      </c>
      <c r="S277" s="17">
        <f t="shared" si="50"/>
        <v>-0.11542984241014519</v>
      </c>
      <c r="T277" s="17">
        <f t="shared" si="51"/>
        <v>-0.10817268894753425</v>
      </c>
      <c r="U277" s="16">
        <v>0</v>
      </c>
      <c r="V277" s="16">
        <v>0</v>
      </c>
      <c r="W277" s="16">
        <v>0</v>
      </c>
      <c r="X277" s="16">
        <v>0</v>
      </c>
      <c r="Y277" s="15">
        <v>0.35399999999999998</v>
      </c>
      <c r="Z277" s="15">
        <v>0.47</v>
      </c>
      <c r="AA277" s="15">
        <v>0.53800000000000003</v>
      </c>
      <c r="AB277" s="15">
        <v>0.65400000000000003</v>
      </c>
      <c r="AC277" s="3">
        <f t="shared" si="57"/>
        <v>-0.87884012307810666</v>
      </c>
      <c r="AD277" s="3">
        <f t="shared" si="58"/>
        <v>-0.88770055217819133</v>
      </c>
      <c r="AE277" s="3">
        <f t="shared" si="59"/>
        <v>-1.1635670536195752</v>
      </c>
      <c r="AF277" s="3">
        <f t="shared" si="60"/>
        <v>-1.0077094339524526</v>
      </c>
    </row>
    <row r="278" spans="1:32" x14ac:dyDescent="0.2">
      <c r="A278" s="30">
        <v>276</v>
      </c>
      <c r="B278" s="9" t="s">
        <v>1065</v>
      </c>
      <c r="C278" s="12">
        <v>95308</v>
      </c>
      <c r="D278" s="13" t="s">
        <v>277</v>
      </c>
      <c r="E278" s="17">
        <v>-6.4167270523399997</v>
      </c>
      <c r="F278" s="17">
        <v>55.802581114100001</v>
      </c>
      <c r="G278" s="14">
        <v>10</v>
      </c>
      <c r="H278" s="17">
        <v>10.119999999999999</v>
      </c>
      <c r="I278" s="17">
        <v>10.07</v>
      </c>
      <c r="J278" s="17">
        <v>11.39</v>
      </c>
      <c r="K278" s="17">
        <v>12.58</v>
      </c>
      <c r="L278" s="17">
        <v>13.8</v>
      </c>
      <c r="M278" s="17">
        <f t="shared" si="52"/>
        <v>-4.9999999999998934E-2</v>
      </c>
      <c r="N278" s="17">
        <f t="shared" si="53"/>
        <v>1.2700000000000014</v>
      </c>
      <c r="O278" s="17">
        <f t="shared" si="54"/>
        <v>2.4600000000000009</v>
      </c>
      <c r="P278" s="17">
        <f t="shared" si="55"/>
        <v>3.6800000000000015</v>
      </c>
      <c r="Q278" s="17">
        <f t="shared" si="56"/>
        <v>-1.1100845077987112</v>
      </c>
      <c r="R278" s="17">
        <f t="shared" si="49"/>
        <v>-1.1759980631768951</v>
      </c>
      <c r="S278" s="17">
        <f t="shared" si="50"/>
        <v>-1.1837838753572909</v>
      </c>
      <c r="T278" s="17">
        <f t="shared" si="51"/>
        <v>-1.0697391148612934</v>
      </c>
      <c r="U278" s="16">
        <v>0</v>
      </c>
      <c r="V278" s="16">
        <v>0</v>
      </c>
      <c r="W278" s="16">
        <v>0</v>
      </c>
      <c r="X278" s="16">
        <v>0</v>
      </c>
      <c r="Y278" s="15">
        <v>0.27600000000000002</v>
      </c>
      <c r="Z278" s="15">
        <v>0.38500000000000001</v>
      </c>
      <c r="AA278" s="15">
        <v>0.45800000000000002</v>
      </c>
      <c r="AB278" s="15">
        <v>0.5605</v>
      </c>
      <c r="AC278" s="3">
        <f t="shared" si="57"/>
        <v>-1.5996128606846955</v>
      </c>
      <c r="AD278" s="3">
        <f t="shared" si="58"/>
        <v>-1.6504407898138778</v>
      </c>
      <c r="AE278" s="3">
        <f t="shared" si="59"/>
        <v>-1.8222268984676468</v>
      </c>
      <c r="AF278" s="3">
        <f t="shared" si="60"/>
        <v>-1.7757702334199239</v>
      </c>
    </row>
    <row r="279" spans="1:32" x14ac:dyDescent="0.2">
      <c r="A279" s="30">
        <v>277</v>
      </c>
      <c r="B279" s="9" t="s">
        <v>806</v>
      </c>
      <c r="C279" s="12">
        <v>95310</v>
      </c>
      <c r="D279" s="13" t="s">
        <v>278</v>
      </c>
      <c r="E279" s="17">
        <v>-80.075205570799994</v>
      </c>
      <c r="F279" s="17">
        <v>19.6664066148</v>
      </c>
      <c r="G279" s="14">
        <v>1</v>
      </c>
      <c r="H279" s="17">
        <v>25.6</v>
      </c>
      <c r="I279" s="17">
        <v>26.37</v>
      </c>
      <c r="J279" s="17">
        <v>27.55</v>
      </c>
      <c r="K279" s="17">
        <v>28.82</v>
      </c>
      <c r="L279" s="17">
        <v>29.6</v>
      </c>
      <c r="M279" s="17">
        <f t="shared" si="52"/>
        <v>0.76999999999999957</v>
      </c>
      <c r="N279" s="17">
        <f t="shared" si="53"/>
        <v>1.9499999999999993</v>
      </c>
      <c r="O279" s="17">
        <f t="shared" si="54"/>
        <v>3.2199999999999989</v>
      </c>
      <c r="P279" s="17">
        <f t="shared" si="55"/>
        <v>4</v>
      </c>
      <c r="Q279" s="17">
        <f t="shared" si="56"/>
        <v>-0.11102148589302789</v>
      </c>
      <c r="R279" s="17">
        <f t="shared" si="49"/>
        <v>-0.21865372619259321</v>
      </c>
      <c r="S279" s="17">
        <f t="shared" si="50"/>
        <v>-0.301230543792258</v>
      </c>
      <c r="T279" s="17">
        <f t="shared" si="51"/>
        <v>-0.74584305560613307</v>
      </c>
      <c r="U279" s="16">
        <v>0</v>
      </c>
      <c r="V279" s="16">
        <v>0</v>
      </c>
      <c r="W279" s="16">
        <v>0</v>
      </c>
      <c r="X279" s="16">
        <v>0</v>
      </c>
      <c r="Y279" s="15">
        <v>0.49199999999999999</v>
      </c>
      <c r="Z279" s="15">
        <v>0.61799999999999999</v>
      </c>
      <c r="AA279" s="15">
        <v>0.72499999999999998</v>
      </c>
      <c r="AB279" s="15">
        <v>0.81399999999999995</v>
      </c>
      <c r="AC279" s="3">
        <f t="shared" si="57"/>
        <v>0.39637318191816673</v>
      </c>
      <c r="AD279" s="3">
        <f t="shared" si="58"/>
        <v>0.44036480276394602</v>
      </c>
      <c r="AE279" s="3">
        <f t="shared" si="59"/>
        <v>0.37605033371279145</v>
      </c>
      <c r="AF279" s="3">
        <f t="shared" si="60"/>
        <v>0.30661920684749711</v>
      </c>
    </row>
    <row r="280" spans="1:32" x14ac:dyDescent="0.2">
      <c r="A280" s="30">
        <v>278</v>
      </c>
      <c r="B280" s="9" t="s">
        <v>807</v>
      </c>
      <c r="C280" s="12">
        <v>95315</v>
      </c>
      <c r="D280" s="13" t="s">
        <v>279</v>
      </c>
      <c r="E280" s="17">
        <v>-67.968811191399993</v>
      </c>
      <c r="F280" s="17">
        <v>-53.571310523699999</v>
      </c>
      <c r="G280" s="14">
        <v>418</v>
      </c>
      <c r="H280" s="17">
        <v>4.68</v>
      </c>
      <c r="I280" s="17">
        <v>6.64</v>
      </c>
      <c r="J280" s="17">
        <v>8.27</v>
      </c>
      <c r="K280" s="17">
        <v>8.32</v>
      </c>
      <c r="L280" s="17">
        <v>9.5500000000000007</v>
      </c>
      <c r="M280" s="17">
        <f t="shared" si="52"/>
        <v>1.96</v>
      </c>
      <c r="N280" s="17">
        <f t="shared" si="53"/>
        <v>3.59</v>
      </c>
      <c r="O280" s="17">
        <f t="shared" si="54"/>
        <v>3.6400000000000006</v>
      </c>
      <c r="P280" s="17">
        <f t="shared" si="55"/>
        <v>4.870000000000001</v>
      </c>
      <c r="Q280" s="17">
        <f t="shared" si="56"/>
        <v>1.3388382654091255</v>
      </c>
      <c r="R280" s="17">
        <f t="shared" si="49"/>
        <v>2.090235557122496</v>
      </c>
      <c r="S280" s="17">
        <f t="shared" si="50"/>
        <v>0.18649629733578971</v>
      </c>
      <c r="T280" s="17">
        <f t="shared" si="51"/>
        <v>0.13474935549383912</v>
      </c>
      <c r="U280" s="16">
        <v>2</v>
      </c>
      <c r="V280" s="16">
        <v>12</v>
      </c>
      <c r="W280" s="16">
        <v>12</v>
      </c>
      <c r="X280" s="16">
        <v>13</v>
      </c>
      <c r="Y280" s="15">
        <v>0.16200000000000001</v>
      </c>
      <c r="Z280" s="15">
        <v>0.26200000000000001</v>
      </c>
      <c r="AA280" s="15">
        <v>0.36099999999999999</v>
      </c>
      <c r="AB280" s="15">
        <v>0.433</v>
      </c>
      <c r="AC280" s="3">
        <f t="shared" si="57"/>
        <v>-2.6530499387250952</v>
      </c>
      <c r="AD280" s="3">
        <f t="shared" si="58"/>
        <v>-2.7541707807455187</v>
      </c>
      <c r="AE280" s="3">
        <f t="shared" si="59"/>
        <v>-2.6208519603459339</v>
      </c>
      <c r="AF280" s="3">
        <f t="shared" si="60"/>
        <v>-2.8231258690573844</v>
      </c>
    </row>
    <row r="281" spans="1:32" x14ac:dyDescent="0.2">
      <c r="A281" s="30">
        <v>279</v>
      </c>
      <c r="B281" s="9" t="s">
        <v>1309</v>
      </c>
      <c r="C281" s="12">
        <v>95317</v>
      </c>
      <c r="D281" s="13" t="s">
        <v>280</v>
      </c>
      <c r="E281" s="17">
        <v>153.320584518</v>
      </c>
      <c r="F281" s="17">
        <v>-27.389031524100002</v>
      </c>
      <c r="G281" s="14">
        <v>1252</v>
      </c>
      <c r="H281" s="17">
        <v>19.75</v>
      </c>
      <c r="I281" s="17">
        <v>21.54</v>
      </c>
      <c r="J281" s="17">
        <v>22.06</v>
      </c>
      <c r="K281" s="17">
        <v>24.61</v>
      </c>
      <c r="L281" s="17">
        <v>25.59</v>
      </c>
      <c r="M281" s="17">
        <f t="shared" si="52"/>
        <v>1.7899999999999991</v>
      </c>
      <c r="N281" s="17">
        <f t="shared" si="53"/>
        <v>2.3099999999999987</v>
      </c>
      <c r="O281" s="17">
        <f t="shared" si="54"/>
        <v>4.8599999999999994</v>
      </c>
      <c r="P281" s="17">
        <f t="shared" si="55"/>
        <v>5.84</v>
      </c>
      <c r="Q281" s="17">
        <f t="shared" si="56"/>
        <v>1.1317154437945312</v>
      </c>
      <c r="R281" s="17">
        <f t="shared" si="49"/>
        <v>0.2881756286814498</v>
      </c>
      <c r="S281" s="17">
        <f t="shared" si="50"/>
        <v>1.6032266453743973</v>
      </c>
      <c r="T281" s="17">
        <f t="shared" si="51"/>
        <v>1.1165592851110471</v>
      </c>
      <c r="U281" s="16">
        <v>41</v>
      </c>
      <c r="V281" s="16">
        <v>62</v>
      </c>
      <c r="W281" s="16">
        <v>72</v>
      </c>
      <c r="X281" s="16">
        <v>79</v>
      </c>
      <c r="Y281" s="15">
        <v>0.41166666666700003</v>
      </c>
      <c r="Z281" s="15">
        <v>0.53233333333300004</v>
      </c>
      <c r="AA281" s="15">
        <v>0.67766666666700004</v>
      </c>
      <c r="AB281" s="15">
        <v>0.77</v>
      </c>
      <c r="AC281" s="3">
        <f t="shared" si="57"/>
        <v>-0.34596113330605194</v>
      </c>
      <c r="AD281" s="3">
        <f t="shared" si="58"/>
        <v>-0.32835771124834484</v>
      </c>
      <c r="AE281" s="3">
        <f t="shared" si="59"/>
        <v>-1.3656741152905934E-2</v>
      </c>
      <c r="AF281" s="3">
        <f t="shared" si="60"/>
        <v>-5.4821169372488661E-2</v>
      </c>
    </row>
    <row r="282" spans="1:32" x14ac:dyDescent="0.2">
      <c r="A282" s="30">
        <v>280</v>
      </c>
      <c r="B282" s="9" t="s">
        <v>1310</v>
      </c>
      <c r="C282" s="12">
        <v>95318</v>
      </c>
      <c r="D282" s="13" t="s">
        <v>281</v>
      </c>
      <c r="E282" s="17">
        <v>147.153086446</v>
      </c>
      <c r="F282" s="17">
        <v>-19.394872573499999</v>
      </c>
      <c r="G282" s="14">
        <v>251</v>
      </c>
      <c r="H282" s="17">
        <v>22.82</v>
      </c>
      <c r="I282" s="17">
        <v>23.83</v>
      </c>
      <c r="J282" s="17">
        <v>24.74</v>
      </c>
      <c r="K282" s="17">
        <v>26.24</v>
      </c>
      <c r="L282" s="17">
        <v>27.28</v>
      </c>
      <c r="M282" s="17">
        <f t="shared" si="52"/>
        <v>1.009999999999998</v>
      </c>
      <c r="N282" s="17">
        <f t="shared" si="53"/>
        <v>1.9199999999999982</v>
      </c>
      <c r="O282" s="17">
        <f t="shared" si="54"/>
        <v>3.4199999999999982</v>
      </c>
      <c r="P282" s="17">
        <f t="shared" si="55"/>
        <v>4.4600000000000009</v>
      </c>
      <c r="Q282" s="17">
        <f t="shared" si="56"/>
        <v>0.18138720344521952</v>
      </c>
      <c r="R282" s="17">
        <f t="shared" si="49"/>
        <v>-0.2608895057654318</v>
      </c>
      <c r="S282" s="17">
        <f t="shared" si="50"/>
        <v>-6.8979667064618014E-2</v>
      </c>
      <c r="T282" s="17">
        <f t="shared" si="51"/>
        <v>-0.28024247042683709</v>
      </c>
      <c r="U282" s="16">
        <v>10</v>
      </c>
      <c r="V282" s="16">
        <v>11</v>
      </c>
      <c r="W282" s="16">
        <v>12</v>
      </c>
      <c r="X282" s="16">
        <v>12</v>
      </c>
      <c r="Y282" s="15">
        <v>0.47533333333299999</v>
      </c>
      <c r="Z282" s="15">
        <v>0.59233333333299998</v>
      </c>
      <c r="AA282" s="15">
        <v>0.73466666666699998</v>
      </c>
      <c r="AB282" s="15">
        <v>0.83799999999999997</v>
      </c>
      <c r="AC282" s="3">
        <f t="shared" si="57"/>
        <v>0.24236191319572975</v>
      </c>
      <c r="AD282" s="3">
        <f t="shared" si="58"/>
        <v>0.21004716237684534</v>
      </c>
      <c r="AE282" s="3">
        <f t="shared" si="59"/>
        <v>0.4556383983013445</v>
      </c>
      <c r="AF282" s="3">
        <f t="shared" si="60"/>
        <v>0.50376850296748987</v>
      </c>
    </row>
    <row r="283" spans="1:32" x14ac:dyDescent="0.2">
      <c r="A283" s="30">
        <v>281</v>
      </c>
      <c r="B283" s="9" t="s">
        <v>1066</v>
      </c>
      <c r="C283" s="12">
        <v>95331</v>
      </c>
      <c r="D283" s="13" t="s">
        <v>282</v>
      </c>
      <c r="E283" s="17">
        <v>-1.6259122851600001</v>
      </c>
      <c r="F283" s="17">
        <v>48.6630446789</v>
      </c>
      <c r="G283" s="14">
        <v>611</v>
      </c>
      <c r="H283" s="17">
        <v>13.44</v>
      </c>
      <c r="I283" s="17">
        <v>12.65</v>
      </c>
      <c r="J283" s="17">
        <v>14.2</v>
      </c>
      <c r="K283" s="17">
        <v>15.91</v>
      </c>
      <c r="L283" s="17">
        <v>17.13</v>
      </c>
      <c r="M283" s="17">
        <f t="shared" si="52"/>
        <v>-0.78999999999999915</v>
      </c>
      <c r="N283" s="17">
        <f t="shared" si="53"/>
        <v>0.75999999999999979</v>
      </c>
      <c r="O283" s="17">
        <f t="shared" si="54"/>
        <v>2.4700000000000006</v>
      </c>
      <c r="P283" s="17">
        <f t="shared" si="55"/>
        <v>3.6899999999999995</v>
      </c>
      <c r="Q283" s="17">
        <f t="shared" si="56"/>
        <v>-2.0116779665916469</v>
      </c>
      <c r="R283" s="17">
        <f t="shared" si="49"/>
        <v>-1.8940063159151261</v>
      </c>
      <c r="S283" s="17">
        <f t="shared" si="50"/>
        <v>-1.172171331520909</v>
      </c>
      <c r="T283" s="17">
        <f t="shared" si="51"/>
        <v>-1.0596173630095715</v>
      </c>
      <c r="U283" s="16">
        <v>5</v>
      </c>
      <c r="V283" s="16">
        <v>6</v>
      </c>
      <c r="W283" s="16">
        <v>6</v>
      </c>
      <c r="X283" s="16">
        <v>8</v>
      </c>
      <c r="Y283" s="15">
        <v>0.41333333333299999</v>
      </c>
      <c r="Z283" s="15">
        <v>0.53166666666700002</v>
      </c>
      <c r="AA283" s="15">
        <v>0.62733333333300001</v>
      </c>
      <c r="AB283" s="15">
        <v>0.72699999999999998</v>
      </c>
      <c r="AC283" s="3">
        <f t="shared" si="57"/>
        <v>-0.33056000644027705</v>
      </c>
      <c r="AD283" s="3">
        <f t="shared" si="58"/>
        <v>-0.33433998761597594</v>
      </c>
      <c r="AE283" s="3">
        <f t="shared" si="59"/>
        <v>-0.42806356020864</v>
      </c>
      <c r="AF283" s="3">
        <f t="shared" si="60"/>
        <v>-0.40804699158747565</v>
      </c>
    </row>
    <row r="284" spans="1:32" x14ac:dyDescent="0.2">
      <c r="A284" s="30">
        <v>282</v>
      </c>
      <c r="B284" s="9" t="s">
        <v>1441</v>
      </c>
      <c r="C284" s="12">
        <v>95335</v>
      </c>
      <c r="D284" s="13" t="s">
        <v>283</v>
      </c>
      <c r="E284" s="17">
        <v>-2.4535564922500002</v>
      </c>
      <c r="F284" s="17">
        <v>47.347648277600001</v>
      </c>
      <c r="G284" s="14">
        <v>55</v>
      </c>
      <c r="H284" s="17">
        <v>13.75</v>
      </c>
      <c r="I284" s="17">
        <v>13.39</v>
      </c>
      <c r="J284" s="17">
        <v>14.82</v>
      </c>
      <c r="K284" s="17">
        <v>16.059999999999999</v>
      </c>
      <c r="L284" s="17">
        <v>17.39</v>
      </c>
      <c r="M284" s="17">
        <f t="shared" si="52"/>
        <v>-0.35999999999999943</v>
      </c>
      <c r="N284" s="17">
        <f t="shared" si="53"/>
        <v>1.0700000000000003</v>
      </c>
      <c r="O284" s="17">
        <f t="shared" si="54"/>
        <v>2.3099999999999987</v>
      </c>
      <c r="P284" s="17">
        <f t="shared" si="55"/>
        <v>3.6400000000000006</v>
      </c>
      <c r="Q284" s="17">
        <f t="shared" si="56"/>
        <v>-1.4877790648606173</v>
      </c>
      <c r="R284" s="17">
        <f t="shared" si="49"/>
        <v>-1.45756992699581</v>
      </c>
      <c r="S284" s="17">
        <f t="shared" si="50"/>
        <v>-1.3579720329030238</v>
      </c>
      <c r="T284" s="17">
        <f t="shared" si="51"/>
        <v>-1.1102261222681895</v>
      </c>
      <c r="U284" s="16">
        <v>7</v>
      </c>
      <c r="V284" s="16">
        <v>9</v>
      </c>
      <c r="W284" s="16">
        <v>12</v>
      </c>
      <c r="X284" s="16">
        <v>12</v>
      </c>
      <c r="Y284" s="15">
        <v>0.41075</v>
      </c>
      <c r="Z284" s="15">
        <v>0.52075000000000005</v>
      </c>
      <c r="AA284" s="15">
        <v>0.62275000000000003</v>
      </c>
      <c r="AB284" s="15">
        <v>0.71650000000000003</v>
      </c>
      <c r="AC284" s="3">
        <f t="shared" si="57"/>
        <v>-0.35443175308869695</v>
      </c>
      <c r="AD284" s="3">
        <f t="shared" si="58"/>
        <v>-0.43229976323688346</v>
      </c>
      <c r="AE284" s="3">
        <f t="shared" si="59"/>
        <v>-0.46579928048364955</v>
      </c>
      <c r="AF284" s="3">
        <f t="shared" si="60"/>
        <v>-0.49429980863997203</v>
      </c>
    </row>
    <row r="285" spans="1:32" x14ac:dyDescent="0.2">
      <c r="A285" s="30">
        <v>283</v>
      </c>
      <c r="B285" s="9" t="s">
        <v>1442</v>
      </c>
      <c r="C285" s="12">
        <v>95336</v>
      </c>
      <c r="D285" s="13" t="s">
        <v>284</v>
      </c>
      <c r="E285" s="17">
        <v>-92.068184509600002</v>
      </c>
      <c r="F285" s="17">
        <v>14.4681707167</v>
      </c>
      <c r="G285" s="14">
        <v>32</v>
      </c>
      <c r="H285" s="17">
        <v>27.28</v>
      </c>
      <c r="I285" s="17">
        <v>28.13</v>
      </c>
      <c r="J285" s="17">
        <v>29.33</v>
      </c>
      <c r="K285" s="17">
        <v>30.74</v>
      </c>
      <c r="L285" s="17">
        <v>31.38</v>
      </c>
      <c r="M285" s="17">
        <f t="shared" si="52"/>
        <v>0.84999999999999787</v>
      </c>
      <c r="N285" s="17">
        <f t="shared" si="53"/>
        <v>2.0499999999999972</v>
      </c>
      <c r="O285" s="17">
        <f t="shared" si="54"/>
        <v>3.4599999999999973</v>
      </c>
      <c r="P285" s="17">
        <f t="shared" si="55"/>
        <v>4.0999999999999979</v>
      </c>
      <c r="Q285" s="17">
        <f t="shared" si="56"/>
        <v>-1.355192278028019E-2</v>
      </c>
      <c r="R285" s="17">
        <f t="shared" si="49"/>
        <v>-7.7867794283139599E-2</v>
      </c>
      <c r="S285" s="17">
        <f t="shared" si="50"/>
        <v>-2.2529491719090834E-2</v>
      </c>
      <c r="T285" s="17">
        <f t="shared" si="51"/>
        <v>-0.64462553708889714</v>
      </c>
      <c r="U285" s="16">
        <v>0</v>
      </c>
      <c r="V285" s="16">
        <v>0</v>
      </c>
      <c r="W285" s="16">
        <v>0</v>
      </c>
      <c r="X285" s="16">
        <v>0</v>
      </c>
      <c r="Y285" s="15">
        <v>0.49399999999999999</v>
      </c>
      <c r="Z285" s="15">
        <v>0.59799999999999998</v>
      </c>
      <c r="AA285" s="15">
        <v>0.73199999999999998</v>
      </c>
      <c r="AB285" s="15">
        <v>0.80700000000000005</v>
      </c>
      <c r="AC285" s="3">
        <f t="shared" si="57"/>
        <v>0.41485453416448953</v>
      </c>
      <c r="AD285" s="3">
        <f t="shared" si="58"/>
        <v>0.26089651155554894</v>
      </c>
      <c r="AE285" s="3">
        <f t="shared" si="59"/>
        <v>0.43368307013699775</v>
      </c>
      <c r="AF285" s="3">
        <f t="shared" si="60"/>
        <v>0.24911732881250015</v>
      </c>
    </row>
    <row r="286" spans="1:32" x14ac:dyDescent="0.2">
      <c r="A286" s="30">
        <v>284</v>
      </c>
      <c r="B286" s="9" t="s">
        <v>808</v>
      </c>
      <c r="C286" s="12">
        <v>95337</v>
      </c>
      <c r="D286" s="13" t="s">
        <v>285</v>
      </c>
      <c r="E286" s="17">
        <v>-87.3675301942</v>
      </c>
      <c r="F286" s="17">
        <v>15.818494271600001</v>
      </c>
      <c r="G286" s="14">
        <v>5</v>
      </c>
      <c r="H286" s="17">
        <v>24.48</v>
      </c>
      <c r="I286" s="17">
        <v>25.01</v>
      </c>
      <c r="J286" s="17">
        <v>26.16</v>
      </c>
      <c r="K286" s="17">
        <v>27.59</v>
      </c>
      <c r="L286" s="17">
        <v>28.68</v>
      </c>
      <c r="M286" s="17">
        <f t="shared" si="52"/>
        <v>0.53000000000000114</v>
      </c>
      <c r="N286" s="17">
        <f t="shared" si="53"/>
        <v>1.6799999999999997</v>
      </c>
      <c r="O286" s="17">
        <f t="shared" si="54"/>
        <v>3.1099999999999994</v>
      </c>
      <c r="P286" s="17">
        <f t="shared" si="55"/>
        <v>4.1999999999999993</v>
      </c>
      <c r="Q286" s="17">
        <f t="shared" si="56"/>
        <v>-0.40343017523127528</v>
      </c>
      <c r="R286" s="17">
        <f t="shared" si="49"/>
        <v>-0.59877574234812547</v>
      </c>
      <c r="S286" s="17">
        <f t="shared" si="50"/>
        <v>-0.42896852599245977</v>
      </c>
      <c r="T286" s="17">
        <f t="shared" si="51"/>
        <v>-0.54340801857165766</v>
      </c>
      <c r="U286" s="16">
        <v>0</v>
      </c>
      <c r="V286" s="16">
        <v>0</v>
      </c>
      <c r="W286" s="16">
        <v>0</v>
      </c>
      <c r="X286" s="16">
        <v>0</v>
      </c>
      <c r="Y286" s="15">
        <v>0.80100000000000005</v>
      </c>
      <c r="Z286" s="15">
        <v>0.92800000000000005</v>
      </c>
      <c r="AA286" s="15">
        <v>1.05</v>
      </c>
      <c r="AB286" s="15">
        <v>1.1419999999999999</v>
      </c>
      <c r="AC286" s="3">
        <f t="shared" si="57"/>
        <v>3.2517421039750398</v>
      </c>
      <c r="AD286" s="3">
        <f t="shared" si="58"/>
        <v>3.2221233164940983</v>
      </c>
      <c r="AE286" s="3">
        <f t="shared" si="59"/>
        <v>3.0518559534080825</v>
      </c>
      <c r="AF286" s="3">
        <f t="shared" si="60"/>
        <v>3.0009929204873953</v>
      </c>
    </row>
    <row r="287" spans="1:32" x14ac:dyDescent="0.2">
      <c r="A287" s="30">
        <v>285</v>
      </c>
      <c r="B287" s="9" t="s">
        <v>1067</v>
      </c>
      <c r="C287" s="12">
        <v>95339</v>
      </c>
      <c r="D287" s="13" t="s">
        <v>286</v>
      </c>
      <c r="E287" s="17">
        <v>23.145785982100001</v>
      </c>
      <c r="F287" s="17">
        <v>57.259964992900002</v>
      </c>
      <c r="G287" s="14">
        <v>273</v>
      </c>
      <c r="H287" s="17">
        <v>7.07</v>
      </c>
      <c r="I287" s="17">
        <v>7.58</v>
      </c>
      <c r="J287" s="17">
        <v>10.050000000000001</v>
      </c>
      <c r="K287" s="17">
        <v>12.59</v>
      </c>
      <c r="L287" s="17">
        <v>12.65</v>
      </c>
      <c r="M287" s="17">
        <f t="shared" si="52"/>
        <v>0.50999999999999979</v>
      </c>
      <c r="N287" s="17">
        <f t="shared" si="53"/>
        <v>2.9800000000000004</v>
      </c>
      <c r="O287" s="17">
        <f t="shared" si="54"/>
        <v>5.52</v>
      </c>
      <c r="P287" s="17">
        <f t="shared" si="55"/>
        <v>5.58</v>
      </c>
      <c r="Q287" s="17">
        <f t="shared" si="56"/>
        <v>-0.42779756600946439</v>
      </c>
      <c r="R287" s="17">
        <f t="shared" si="49"/>
        <v>1.2314413724748114</v>
      </c>
      <c r="S287" s="17">
        <f t="shared" si="50"/>
        <v>2.3696545385756123</v>
      </c>
      <c r="T287" s="17">
        <f t="shared" si="51"/>
        <v>0.85339373696622844</v>
      </c>
      <c r="U287" s="16">
        <v>34</v>
      </c>
      <c r="V287" s="16">
        <v>36</v>
      </c>
      <c r="W287" s="16">
        <v>38</v>
      </c>
      <c r="X287" s="16">
        <v>42</v>
      </c>
      <c r="Y287" s="15">
        <v>0.39600000000000002</v>
      </c>
      <c r="Z287" s="15">
        <v>0.54200000000000004</v>
      </c>
      <c r="AA287" s="15">
        <v>0.63300000000000001</v>
      </c>
      <c r="AB287" s="15">
        <v>0.75800000000000001</v>
      </c>
      <c r="AC287" s="3">
        <f t="shared" si="57"/>
        <v>-0.49073172590532749</v>
      </c>
      <c r="AD287" s="3">
        <f t="shared" si="58"/>
        <v>-0.24161470382796185</v>
      </c>
      <c r="AE287" s="3">
        <f t="shared" si="59"/>
        <v>-0.38140848786249054</v>
      </c>
      <c r="AF287" s="3">
        <f t="shared" si="60"/>
        <v>-0.15339581743248504</v>
      </c>
    </row>
    <row r="288" spans="1:32" x14ac:dyDescent="0.2">
      <c r="A288" s="30">
        <v>286</v>
      </c>
      <c r="B288" s="9" t="s">
        <v>1068</v>
      </c>
      <c r="C288" s="12">
        <v>95340</v>
      </c>
      <c r="D288" s="13" t="s">
        <v>287</v>
      </c>
      <c r="E288" s="17">
        <v>23.451096739299999</v>
      </c>
      <c r="F288" s="17">
        <v>57.006239360499997</v>
      </c>
      <c r="G288" s="14">
        <v>23</v>
      </c>
      <c r="H288" s="17">
        <v>6.83</v>
      </c>
      <c r="I288" s="17">
        <v>7.38</v>
      </c>
      <c r="J288" s="17">
        <v>9.81</v>
      </c>
      <c r="K288" s="17">
        <v>12.49</v>
      </c>
      <c r="L288" s="17">
        <v>12.39</v>
      </c>
      <c r="M288" s="17">
        <f t="shared" si="52"/>
        <v>0.54999999999999982</v>
      </c>
      <c r="N288" s="17">
        <f t="shared" si="53"/>
        <v>2.9800000000000004</v>
      </c>
      <c r="O288" s="17">
        <f t="shared" si="54"/>
        <v>5.66</v>
      </c>
      <c r="P288" s="17">
        <f t="shared" si="55"/>
        <v>5.5600000000000005</v>
      </c>
      <c r="Q288" s="17">
        <f t="shared" si="56"/>
        <v>-0.37906278445308944</v>
      </c>
      <c r="R288" s="17">
        <f t="shared" si="49"/>
        <v>1.2314413724748114</v>
      </c>
      <c r="S288" s="17">
        <f t="shared" si="50"/>
        <v>2.5322301522849613</v>
      </c>
      <c r="T288" s="17">
        <f t="shared" si="51"/>
        <v>0.83315023326278126</v>
      </c>
      <c r="U288" s="16">
        <v>0</v>
      </c>
      <c r="V288" s="16">
        <v>1</v>
      </c>
      <c r="W288" s="16">
        <v>1</v>
      </c>
      <c r="X288" s="16">
        <v>6</v>
      </c>
      <c r="Y288" s="15">
        <v>0.39600000000000002</v>
      </c>
      <c r="Z288" s="15">
        <v>0.54200000000000004</v>
      </c>
      <c r="AA288" s="15">
        <v>0.63300000000000001</v>
      </c>
      <c r="AB288" s="15">
        <v>0.75800000000000001</v>
      </c>
      <c r="AC288" s="3">
        <f t="shared" si="57"/>
        <v>-0.49073172590532749</v>
      </c>
      <c r="AD288" s="3">
        <f t="shared" si="58"/>
        <v>-0.24161470382796185</v>
      </c>
      <c r="AE288" s="3">
        <f t="shared" si="59"/>
        <v>-0.38140848786249054</v>
      </c>
      <c r="AF288" s="3">
        <f t="shared" si="60"/>
        <v>-0.15339581743248504</v>
      </c>
    </row>
    <row r="289" spans="1:32" x14ac:dyDescent="0.2">
      <c r="A289" s="30">
        <v>287</v>
      </c>
      <c r="B289" s="9" t="s">
        <v>1069</v>
      </c>
      <c r="C289" s="12">
        <v>95349</v>
      </c>
      <c r="D289" s="13" t="s">
        <v>288</v>
      </c>
      <c r="E289" s="17">
        <v>-16.406764069400001</v>
      </c>
      <c r="F289" s="17">
        <v>16.3448743945</v>
      </c>
      <c r="G289" s="14">
        <v>536</v>
      </c>
      <c r="H289" s="17">
        <v>23.26</v>
      </c>
      <c r="I289" s="17">
        <v>24.13</v>
      </c>
      <c r="J289" s="17">
        <v>25.01</v>
      </c>
      <c r="K289" s="17">
        <v>25.02</v>
      </c>
      <c r="L289" s="17">
        <v>26.21</v>
      </c>
      <c r="M289" s="17">
        <f t="shared" si="52"/>
        <v>0.86999999999999744</v>
      </c>
      <c r="N289" s="17">
        <f t="shared" si="53"/>
        <v>1.75</v>
      </c>
      <c r="O289" s="17">
        <f t="shared" si="54"/>
        <v>1.759999999999998</v>
      </c>
      <c r="P289" s="17">
        <f t="shared" si="55"/>
        <v>2.9499999999999993</v>
      </c>
      <c r="Q289" s="17">
        <f t="shared" si="56"/>
        <v>1.0815467997906733E-2</v>
      </c>
      <c r="R289" s="17">
        <f t="shared" si="49"/>
        <v>-0.50022559001150546</v>
      </c>
      <c r="S289" s="17">
        <f t="shared" si="50"/>
        <v>-1.996661943904037</v>
      </c>
      <c r="T289" s="17">
        <f t="shared" si="51"/>
        <v>-1.8086270000371334</v>
      </c>
      <c r="U289" s="16">
        <v>59</v>
      </c>
      <c r="V289" s="16">
        <v>96</v>
      </c>
      <c r="W289" s="16">
        <v>122</v>
      </c>
      <c r="X289" s="16">
        <v>145</v>
      </c>
      <c r="Y289" s="15">
        <v>0.45</v>
      </c>
      <c r="Z289" s="15">
        <v>0.57199999999999995</v>
      </c>
      <c r="AA289" s="15">
        <v>0.68400000000000005</v>
      </c>
      <c r="AB289" s="15">
        <v>0.77600000000000002</v>
      </c>
      <c r="AC289" s="3">
        <f t="shared" si="57"/>
        <v>8.2647847453880714E-3</v>
      </c>
      <c r="AD289" s="3">
        <f t="shared" si="58"/>
        <v>2.7587732984632744E-2</v>
      </c>
      <c r="AE289" s="3">
        <f t="shared" si="59"/>
        <v>3.8487163228155416E-2</v>
      </c>
      <c r="AF289" s="3">
        <f t="shared" si="60"/>
        <v>-5.5338453424904786E-3</v>
      </c>
    </row>
    <row r="290" spans="1:32" x14ac:dyDescent="0.2">
      <c r="A290" s="30">
        <v>288</v>
      </c>
      <c r="B290" s="9" t="s">
        <v>809</v>
      </c>
      <c r="C290" s="12">
        <v>95350</v>
      </c>
      <c r="D290" s="13" t="s">
        <v>289</v>
      </c>
      <c r="E290" s="17">
        <v>-105.569377989</v>
      </c>
      <c r="F290" s="17">
        <v>22.2682166783</v>
      </c>
      <c r="G290" s="14">
        <v>1538</v>
      </c>
      <c r="H290" s="17">
        <v>24.87</v>
      </c>
      <c r="I290" s="17">
        <v>26.15</v>
      </c>
      <c r="J290" s="17">
        <v>26.78</v>
      </c>
      <c r="K290" s="17">
        <v>28.36</v>
      </c>
      <c r="L290" s="17">
        <v>29.5</v>
      </c>
      <c r="M290" s="17">
        <f t="shared" si="52"/>
        <v>1.2799999999999976</v>
      </c>
      <c r="N290" s="17">
        <f t="shared" si="53"/>
        <v>1.9100000000000001</v>
      </c>
      <c r="O290" s="17">
        <f t="shared" si="54"/>
        <v>3.4899999999999984</v>
      </c>
      <c r="P290" s="17">
        <f t="shared" si="55"/>
        <v>4.629999999999999</v>
      </c>
      <c r="Q290" s="17">
        <f t="shared" si="56"/>
        <v>0.51034697895074943</v>
      </c>
      <c r="R290" s="17">
        <f t="shared" si="49"/>
        <v>-0.27496809895637464</v>
      </c>
      <c r="S290" s="17">
        <f t="shared" si="50"/>
        <v>1.230813979005661E-2</v>
      </c>
      <c r="T290" s="17">
        <f t="shared" si="51"/>
        <v>-0.10817268894753425</v>
      </c>
      <c r="U290" s="16">
        <v>225</v>
      </c>
      <c r="V290" s="16">
        <v>260</v>
      </c>
      <c r="W290" s="16">
        <v>310</v>
      </c>
      <c r="X290" s="16">
        <v>343</v>
      </c>
      <c r="Y290" s="15">
        <v>0.55400000000000005</v>
      </c>
      <c r="Z290" s="15">
        <v>0.65600000000000003</v>
      </c>
      <c r="AA290" s="15">
        <v>0.77300000000000002</v>
      </c>
      <c r="AB290" s="15">
        <v>0.84899999999999998</v>
      </c>
      <c r="AC290" s="3">
        <f t="shared" si="57"/>
        <v>0.96929510155417398</v>
      </c>
      <c r="AD290" s="3">
        <f t="shared" si="58"/>
        <v>0.78135455605990045</v>
      </c>
      <c r="AE290" s="3">
        <f t="shared" si="59"/>
        <v>0.77124624062163472</v>
      </c>
      <c r="AF290" s="3">
        <f t="shared" si="60"/>
        <v>0.59412859702248655</v>
      </c>
    </row>
    <row r="291" spans="1:32" x14ac:dyDescent="0.2">
      <c r="A291" s="30">
        <v>289</v>
      </c>
      <c r="B291" s="9" t="s">
        <v>810</v>
      </c>
      <c r="C291" s="12">
        <v>95351</v>
      </c>
      <c r="D291" s="13" t="s">
        <v>290</v>
      </c>
      <c r="E291" s="17">
        <v>-92.453455800900002</v>
      </c>
      <c r="F291" s="17">
        <v>18.2962864219</v>
      </c>
      <c r="G291" s="14">
        <v>599</v>
      </c>
      <c r="H291" s="17">
        <v>26.65</v>
      </c>
      <c r="I291" s="17">
        <v>27.83</v>
      </c>
      <c r="J291" s="17">
        <v>28.5</v>
      </c>
      <c r="K291" s="17">
        <v>29.45</v>
      </c>
      <c r="L291" s="17">
        <v>31.51</v>
      </c>
      <c r="M291" s="17">
        <f t="shared" si="52"/>
        <v>1.1799999999999997</v>
      </c>
      <c r="N291" s="17">
        <f t="shared" si="53"/>
        <v>1.8500000000000014</v>
      </c>
      <c r="O291" s="17">
        <f t="shared" si="54"/>
        <v>2.8000000000000007</v>
      </c>
      <c r="P291" s="17">
        <f t="shared" si="55"/>
        <v>4.860000000000003</v>
      </c>
      <c r="Q291" s="17">
        <f t="shared" si="56"/>
        <v>0.38851002505981486</v>
      </c>
      <c r="R291" s="17">
        <f t="shared" si="49"/>
        <v>-0.35943965810204681</v>
      </c>
      <c r="S291" s="17">
        <f t="shared" si="50"/>
        <v>-0.78895738492030154</v>
      </c>
      <c r="T291" s="17">
        <f t="shared" si="51"/>
        <v>0.12462760364211732</v>
      </c>
      <c r="U291" s="16">
        <v>242</v>
      </c>
      <c r="V291" s="16">
        <v>277</v>
      </c>
      <c r="W291" s="16">
        <v>319</v>
      </c>
      <c r="X291" s="16">
        <v>350</v>
      </c>
      <c r="Y291" s="15">
        <v>0.64</v>
      </c>
      <c r="Z291" s="15">
        <v>0.75700000000000001</v>
      </c>
      <c r="AA291" s="15">
        <v>0.88</v>
      </c>
      <c r="AB291" s="15">
        <v>0.97399999999999998</v>
      </c>
      <c r="AC291" s="3">
        <f t="shared" si="57"/>
        <v>1.7639932481460541</v>
      </c>
      <c r="AD291" s="3">
        <f t="shared" si="58"/>
        <v>1.6876694266623047</v>
      </c>
      <c r="AE291" s="3">
        <f t="shared" si="59"/>
        <v>1.6522037831059302</v>
      </c>
      <c r="AF291" s="3">
        <f t="shared" si="60"/>
        <v>1.6209478476474477</v>
      </c>
    </row>
    <row r="292" spans="1:32" x14ac:dyDescent="0.2">
      <c r="A292" s="30">
        <v>290</v>
      </c>
      <c r="B292" s="9" t="s">
        <v>1070</v>
      </c>
      <c r="C292" s="12">
        <v>95353</v>
      </c>
      <c r="D292" s="13" t="s">
        <v>291</v>
      </c>
      <c r="E292" s="17">
        <v>14.455401155400001</v>
      </c>
      <c r="F292" s="17">
        <v>-23.025778328099999</v>
      </c>
      <c r="G292" s="14">
        <v>84</v>
      </c>
      <c r="H292" s="17">
        <v>20.399999999999999</v>
      </c>
      <c r="I292" s="17">
        <v>22.87</v>
      </c>
      <c r="J292" s="17">
        <v>22.98</v>
      </c>
      <c r="K292" s="17">
        <v>24.86</v>
      </c>
      <c r="L292" s="17">
        <v>25.78</v>
      </c>
      <c r="M292" s="17">
        <f t="shared" si="52"/>
        <v>2.4700000000000024</v>
      </c>
      <c r="N292" s="17">
        <f t="shared" si="53"/>
        <v>2.5800000000000018</v>
      </c>
      <c r="O292" s="17">
        <f t="shared" si="54"/>
        <v>4.4600000000000009</v>
      </c>
      <c r="P292" s="17">
        <f t="shared" si="55"/>
        <v>5.3800000000000026</v>
      </c>
      <c r="Q292" s="17">
        <f t="shared" si="56"/>
        <v>1.9602067302529083</v>
      </c>
      <c r="R292" s="17">
        <f t="shared" si="49"/>
        <v>0.66829764483698706</v>
      </c>
      <c r="S292" s="17">
        <f t="shared" si="50"/>
        <v>1.1387248919191173</v>
      </c>
      <c r="T292" s="17">
        <f t="shared" si="51"/>
        <v>0.65095869993175481</v>
      </c>
      <c r="U292" s="16">
        <v>1</v>
      </c>
      <c r="V292" s="16">
        <v>2</v>
      </c>
      <c r="W292" s="16">
        <v>7</v>
      </c>
      <c r="X292" s="16">
        <v>10</v>
      </c>
      <c r="Y292" s="15">
        <v>0.44900000000000001</v>
      </c>
      <c r="Z292" s="15">
        <v>0.58250000000000002</v>
      </c>
      <c r="AA292" s="15">
        <v>0.72399999999999998</v>
      </c>
      <c r="AB292" s="15">
        <v>0.82099999999999995</v>
      </c>
      <c r="AC292" s="3">
        <f t="shared" si="57"/>
        <v>-9.7589137777333735E-4</v>
      </c>
      <c r="AD292" s="3">
        <f t="shared" si="58"/>
        <v>0.1218085858690417</v>
      </c>
      <c r="AE292" s="3">
        <f t="shared" si="59"/>
        <v>0.36781708565219057</v>
      </c>
      <c r="AF292" s="3">
        <f t="shared" si="60"/>
        <v>0.36412108488249501</v>
      </c>
    </row>
    <row r="293" spans="1:32" x14ac:dyDescent="0.2">
      <c r="A293" s="30">
        <v>291</v>
      </c>
      <c r="B293" s="9" t="s">
        <v>1071</v>
      </c>
      <c r="C293" s="12">
        <v>95354</v>
      </c>
      <c r="D293" s="13" t="s">
        <v>292</v>
      </c>
      <c r="E293" s="17">
        <v>14.482226497899999</v>
      </c>
      <c r="F293" s="17">
        <v>-23.436124966400001</v>
      </c>
      <c r="G293" s="14">
        <v>68</v>
      </c>
      <c r="H293" s="17">
        <v>20.03</v>
      </c>
      <c r="I293" s="17">
        <v>22.5</v>
      </c>
      <c r="J293" s="17">
        <v>22.64</v>
      </c>
      <c r="K293" s="17">
        <v>24.49</v>
      </c>
      <c r="L293" s="17">
        <v>25.53</v>
      </c>
      <c r="M293" s="17">
        <f t="shared" si="52"/>
        <v>2.4699999999999989</v>
      </c>
      <c r="N293" s="17">
        <f t="shared" si="53"/>
        <v>2.6099999999999994</v>
      </c>
      <c r="O293" s="17">
        <f t="shared" si="54"/>
        <v>4.4599999999999973</v>
      </c>
      <c r="P293" s="17">
        <f t="shared" si="55"/>
        <v>5.5</v>
      </c>
      <c r="Q293" s="17">
        <f t="shared" si="56"/>
        <v>1.9602067302529038</v>
      </c>
      <c r="R293" s="17">
        <f t="shared" si="49"/>
        <v>0.71053342440982059</v>
      </c>
      <c r="S293" s="17">
        <f t="shared" si="50"/>
        <v>1.1387248919191133</v>
      </c>
      <c r="T293" s="17">
        <f t="shared" si="51"/>
        <v>0.77241972215243793</v>
      </c>
      <c r="U293" s="16">
        <v>6</v>
      </c>
      <c r="V293" s="16">
        <v>11</v>
      </c>
      <c r="W293" s="16">
        <v>13</v>
      </c>
      <c r="X293" s="16">
        <v>14</v>
      </c>
      <c r="Y293" s="15">
        <v>0.44900000000000001</v>
      </c>
      <c r="Z293" s="15">
        <v>0.58250000000000002</v>
      </c>
      <c r="AA293" s="15">
        <v>0.72399999999999998</v>
      </c>
      <c r="AB293" s="15">
        <v>0.82099999999999995</v>
      </c>
      <c r="AC293" s="3">
        <f t="shared" si="57"/>
        <v>-9.7589137777333735E-4</v>
      </c>
      <c r="AD293" s="3">
        <f t="shared" si="58"/>
        <v>0.1218085858690417</v>
      </c>
      <c r="AE293" s="3">
        <f t="shared" si="59"/>
        <v>0.36781708565219057</v>
      </c>
      <c r="AF293" s="3">
        <f t="shared" si="60"/>
        <v>0.36412108488249501</v>
      </c>
    </row>
    <row r="294" spans="1:32" x14ac:dyDescent="0.2">
      <c r="A294" s="30">
        <v>292</v>
      </c>
      <c r="B294" s="9" t="s">
        <v>1072</v>
      </c>
      <c r="C294" s="12">
        <v>95357</v>
      </c>
      <c r="D294" s="13" t="s">
        <v>293</v>
      </c>
      <c r="E294" s="17">
        <v>4.2705834625400003</v>
      </c>
      <c r="F294" s="17">
        <v>51.658318544899998</v>
      </c>
      <c r="G294" s="14">
        <v>116</v>
      </c>
      <c r="H294" s="17">
        <v>11.56</v>
      </c>
      <c r="I294" s="17">
        <v>11.13</v>
      </c>
      <c r="J294" s="17">
        <v>12.55</v>
      </c>
      <c r="K294" s="17">
        <v>14.77</v>
      </c>
      <c r="L294" s="17">
        <v>16.03</v>
      </c>
      <c r="M294" s="17">
        <f t="shared" si="52"/>
        <v>-0.42999999999999972</v>
      </c>
      <c r="N294" s="17">
        <f t="shared" si="53"/>
        <v>0.99000000000000021</v>
      </c>
      <c r="O294" s="17">
        <f t="shared" si="54"/>
        <v>3.2099999999999991</v>
      </c>
      <c r="P294" s="17">
        <f t="shared" si="55"/>
        <v>4.4700000000000006</v>
      </c>
      <c r="Q294" s="17">
        <f t="shared" si="56"/>
        <v>-1.5730649325842736</v>
      </c>
      <c r="R294" s="17">
        <f t="shared" si="49"/>
        <v>-1.5701986725233754</v>
      </c>
      <c r="S294" s="17">
        <f t="shared" si="50"/>
        <v>-0.31284308762863977</v>
      </c>
      <c r="T294" s="17">
        <f t="shared" si="51"/>
        <v>-0.27012071857511349</v>
      </c>
      <c r="U294" s="16">
        <v>36</v>
      </c>
      <c r="V294" s="16">
        <v>37</v>
      </c>
      <c r="W294" s="16">
        <v>37</v>
      </c>
      <c r="X294" s="16">
        <v>37</v>
      </c>
      <c r="Y294" s="15">
        <v>0.49075000000000002</v>
      </c>
      <c r="Z294" s="15">
        <v>0.61375000000000002</v>
      </c>
      <c r="AA294" s="15">
        <v>0.70550000000000002</v>
      </c>
      <c r="AB294" s="15">
        <v>0.82150000000000001</v>
      </c>
      <c r="AC294" s="3">
        <f t="shared" si="57"/>
        <v>0.38482233676421523</v>
      </c>
      <c r="AD294" s="3">
        <f t="shared" si="58"/>
        <v>0.40222779088216187</v>
      </c>
      <c r="AE294" s="3">
        <f t="shared" si="59"/>
        <v>0.21550199653107432</v>
      </c>
      <c r="AF294" s="3">
        <f t="shared" si="60"/>
        <v>0.3682283618849953</v>
      </c>
    </row>
    <row r="295" spans="1:32" x14ac:dyDescent="0.2">
      <c r="A295" s="30">
        <v>293</v>
      </c>
      <c r="B295" s="9" t="s">
        <v>1073</v>
      </c>
      <c r="C295" s="12">
        <v>95358</v>
      </c>
      <c r="D295" s="13" t="s">
        <v>294</v>
      </c>
      <c r="E295" s="17">
        <v>3.9379511040500002</v>
      </c>
      <c r="F295" s="17">
        <v>51.387610639499997</v>
      </c>
      <c r="G295" s="14">
        <v>485</v>
      </c>
      <c r="H295" s="17">
        <v>11.5</v>
      </c>
      <c r="I295" s="17">
        <v>11.1</v>
      </c>
      <c r="J295" s="17">
        <v>12.45</v>
      </c>
      <c r="K295" s="17">
        <v>14.82</v>
      </c>
      <c r="L295" s="17">
        <v>15.98</v>
      </c>
      <c r="M295" s="17">
        <f t="shared" si="52"/>
        <v>-0.40000000000000036</v>
      </c>
      <c r="N295" s="17">
        <f t="shared" si="53"/>
        <v>0.94999999999999929</v>
      </c>
      <c r="O295" s="17">
        <f t="shared" si="54"/>
        <v>3.3200000000000003</v>
      </c>
      <c r="P295" s="17">
        <f t="shared" si="55"/>
        <v>4.4800000000000004</v>
      </c>
      <c r="Q295" s="17">
        <f t="shared" si="56"/>
        <v>-1.5365138464169932</v>
      </c>
      <c r="R295" s="17">
        <f t="shared" si="49"/>
        <v>-1.6265130452871592</v>
      </c>
      <c r="S295" s="17">
        <f t="shared" si="50"/>
        <v>-0.18510510542843595</v>
      </c>
      <c r="T295" s="17">
        <f t="shared" si="51"/>
        <v>-0.2599989667233899</v>
      </c>
      <c r="U295" s="16">
        <v>19</v>
      </c>
      <c r="V295" s="16">
        <v>22</v>
      </c>
      <c r="W295" s="16">
        <v>27</v>
      </c>
      <c r="X295" s="16">
        <v>30</v>
      </c>
      <c r="Y295" s="15">
        <v>0.47099999999999997</v>
      </c>
      <c r="Z295" s="15">
        <v>0.59550000000000003</v>
      </c>
      <c r="AA295" s="15">
        <v>0.68799999999999994</v>
      </c>
      <c r="AB295" s="15">
        <v>0.80400000000000005</v>
      </c>
      <c r="AC295" s="3">
        <f t="shared" si="57"/>
        <v>0.20231898333177714</v>
      </c>
      <c r="AD295" s="3">
        <f t="shared" si="58"/>
        <v>0.2384629751544998</v>
      </c>
      <c r="AE295" s="3">
        <f t="shared" si="59"/>
        <v>7.1420155470558105E-2</v>
      </c>
      <c r="AF295" s="3">
        <f t="shared" si="60"/>
        <v>0.22447366679750105</v>
      </c>
    </row>
    <row r="296" spans="1:32" x14ac:dyDescent="0.2">
      <c r="A296" s="30">
        <v>294</v>
      </c>
      <c r="B296" s="9" t="s">
        <v>1443</v>
      </c>
      <c r="C296" s="12">
        <v>95360</v>
      </c>
      <c r="D296" s="13" t="s">
        <v>295</v>
      </c>
      <c r="E296" s="17">
        <v>-78.234724267399997</v>
      </c>
      <c r="F296" s="17">
        <v>8.2918436389900005</v>
      </c>
      <c r="G296" s="14">
        <v>100</v>
      </c>
      <c r="H296" s="17">
        <v>26.29</v>
      </c>
      <c r="I296" s="17">
        <v>26.68</v>
      </c>
      <c r="J296" s="17">
        <v>27.96</v>
      </c>
      <c r="K296" s="17">
        <v>29.32</v>
      </c>
      <c r="L296" s="17">
        <v>30.32</v>
      </c>
      <c r="M296" s="17">
        <f t="shared" si="52"/>
        <v>0.39000000000000057</v>
      </c>
      <c r="N296" s="17">
        <f t="shared" si="53"/>
        <v>1.6700000000000017</v>
      </c>
      <c r="O296" s="17">
        <f t="shared" si="54"/>
        <v>3.0300000000000011</v>
      </c>
      <c r="P296" s="17">
        <f t="shared" si="55"/>
        <v>4.0300000000000011</v>
      </c>
      <c r="Q296" s="17">
        <f t="shared" si="56"/>
        <v>-0.57400191067858808</v>
      </c>
      <c r="R296" s="17">
        <f t="shared" si="49"/>
        <v>-0.61285433553906832</v>
      </c>
      <c r="S296" s="17">
        <f t="shared" si="50"/>
        <v>-0.52186887668351412</v>
      </c>
      <c r="T296" s="17">
        <f t="shared" si="51"/>
        <v>-0.71547780005096051</v>
      </c>
      <c r="U296" s="16">
        <v>2</v>
      </c>
      <c r="V296" s="16">
        <v>2</v>
      </c>
      <c r="W296" s="16">
        <v>2</v>
      </c>
      <c r="X296" s="16">
        <v>2</v>
      </c>
      <c r="Y296" s="15">
        <v>0.495</v>
      </c>
      <c r="Z296" s="15">
        <v>0.60399999999999998</v>
      </c>
      <c r="AA296" s="15">
        <v>0.73199999999999998</v>
      </c>
      <c r="AB296" s="15">
        <v>0.81399999999999995</v>
      </c>
      <c r="AC296" s="3">
        <f t="shared" si="57"/>
        <v>0.42409521028765096</v>
      </c>
      <c r="AD296" s="3">
        <f t="shared" si="58"/>
        <v>0.31473699891806806</v>
      </c>
      <c r="AE296" s="3">
        <f t="shared" si="59"/>
        <v>0.43368307013699775</v>
      </c>
      <c r="AF296" s="3">
        <f t="shared" si="60"/>
        <v>0.30661920684749711</v>
      </c>
    </row>
    <row r="297" spans="1:32" x14ac:dyDescent="0.2">
      <c r="A297" s="30">
        <v>295</v>
      </c>
      <c r="B297" s="9" t="s">
        <v>1311</v>
      </c>
      <c r="C297" s="12">
        <v>95381</v>
      </c>
      <c r="D297" s="13" t="s">
        <v>296</v>
      </c>
      <c r="E297" s="17">
        <v>164.207164968</v>
      </c>
      <c r="F297" s="17">
        <v>58.923849179699999</v>
      </c>
      <c r="G297" s="14">
        <v>256</v>
      </c>
      <c r="H297" s="17">
        <v>2.56</v>
      </c>
      <c r="I297" s="17">
        <v>3.72</v>
      </c>
      <c r="J297" s="17">
        <v>4.16</v>
      </c>
      <c r="K297" s="17">
        <v>6.94</v>
      </c>
      <c r="L297" s="17">
        <v>8.33</v>
      </c>
      <c r="M297" s="17">
        <f t="shared" si="52"/>
        <v>1.1600000000000001</v>
      </c>
      <c r="N297" s="17">
        <f t="shared" si="53"/>
        <v>1.6</v>
      </c>
      <c r="O297" s="17">
        <f t="shared" si="54"/>
        <v>4.3800000000000008</v>
      </c>
      <c r="P297" s="17">
        <f t="shared" si="55"/>
        <v>5.77</v>
      </c>
      <c r="Q297" s="17">
        <f t="shared" si="56"/>
        <v>0.36414263428162796</v>
      </c>
      <c r="R297" s="17">
        <f t="shared" si="49"/>
        <v>-0.71140448787569022</v>
      </c>
      <c r="S297" s="17">
        <f t="shared" si="50"/>
        <v>1.0458245412280609</v>
      </c>
      <c r="T297" s="17">
        <f t="shared" si="51"/>
        <v>1.0457070221489801</v>
      </c>
      <c r="U297" s="16">
        <v>1</v>
      </c>
      <c r="V297" s="16">
        <v>1</v>
      </c>
      <c r="W297" s="16">
        <v>2</v>
      </c>
      <c r="X297" s="16">
        <v>4</v>
      </c>
      <c r="Y297" s="15">
        <v>0.40600000000000003</v>
      </c>
      <c r="Z297" s="15">
        <v>0.52800000000000002</v>
      </c>
      <c r="AA297" s="15">
        <v>0.63800000000000001</v>
      </c>
      <c r="AB297" s="15">
        <v>0.752</v>
      </c>
      <c r="AC297" s="3">
        <f t="shared" si="57"/>
        <v>-0.39832496467371337</v>
      </c>
      <c r="AD297" s="3">
        <f t="shared" si="58"/>
        <v>-0.36724250767383981</v>
      </c>
      <c r="AE297" s="3">
        <f t="shared" si="59"/>
        <v>-0.34024224755948601</v>
      </c>
      <c r="AF297" s="3">
        <f t="shared" si="60"/>
        <v>-0.20268314146248323</v>
      </c>
    </row>
    <row r="298" spans="1:32" x14ac:dyDescent="0.2">
      <c r="A298" s="30">
        <v>296</v>
      </c>
      <c r="B298" s="9" t="s">
        <v>1312</v>
      </c>
      <c r="C298" s="12">
        <v>95382</v>
      </c>
      <c r="D298" s="13" t="s">
        <v>297</v>
      </c>
      <c r="E298" s="17">
        <v>156.36385071999999</v>
      </c>
      <c r="F298" s="17">
        <v>56.376547275500002</v>
      </c>
      <c r="G298" s="14">
        <v>399</v>
      </c>
      <c r="H298" s="17">
        <v>2.25</v>
      </c>
      <c r="I298" s="17">
        <v>3.69</v>
      </c>
      <c r="J298" s="17">
        <v>4.4000000000000004</v>
      </c>
      <c r="K298" s="17">
        <v>7.01</v>
      </c>
      <c r="L298" s="17">
        <v>8.4</v>
      </c>
      <c r="M298" s="17">
        <f t="shared" si="52"/>
        <v>1.44</v>
      </c>
      <c r="N298" s="17">
        <f t="shared" si="53"/>
        <v>2.1500000000000004</v>
      </c>
      <c r="O298" s="17">
        <f t="shared" si="54"/>
        <v>4.76</v>
      </c>
      <c r="P298" s="17">
        <f t="shared" si="55"/>
        <v>6.15</v>
      </c>
      <c r="Q298" s="17">
        <f t="shared" si="56"/>
        <v>0.7052861051762519</v>
      </c>
      <c r="R298" s="17">
        <f t="shared" si="49"/>
        <v>6.2918137626321508E-2</v>
      </c>
      <c r="S298" s="17">
        <f t="shared" si="50"/>
        <v>1.4871012070105774</v>
      </c>
      <c r="T298" s="17">
        <f t="shared" si="51"/>
        <v>1.4303335925144858</v>
      </c>
      <c r="U298" s="16">
        <v>8</v>
      </c>
      <c r="V298" s="16">
        <v>10</v>
      </c>
      <c r="W298" s="16">
        <v>10</v>
      </c>
      <c r="X298" s="16">
        <v>11</v>
      </c>
      <c r="Y298" s="15">
        <v>0.39600000000000002</v>
      </c>
      <c r="Z298" s="15">
        <v>0.502</v>
      </c>
      <c r="AA298" s="15">
        <v>0.62</v>
      </c>
      <c r="AB298" s="15">
        <v>0.71399999999999997</v>
      </c>
      <c r="AC298" s="3">
        <f t="shared" si="57"/>
        <v>-0.49073172590532749</v>
      </c>
      <c r="AD298" s="3">
        <f t="shared" si="58"/>
        <v>-0.60055128624475596</v>
      </c>
      <c r="AE298" s="3">
        <f t="shared" si="59"/>
        <v>-0.48844071265030226</v>
      </c>
      <c r="AF298" s="3">
        <f t="shared" si="60"/>
        <v>-0.51483619365247169</v>
      </c>
    </row>
    <row r="299" spans="1:32" x14ac:dyDescent="0.2">
      <c r="A299" s="30">
        <v>297</v>
      </c>
      <c r="B299" s="9" t="s">
        <v>1313</v>
      </c>
      <c r="C299" s="12">
        <v>95384</v>
      </c>
      <c r="D299" s="13" t="s">
        <v>298</v>
      </c>
      <c r="E299" s="17">
        <v>157.32986611699999</v>
      </c>
      <c r="F299" s="17">
        <v>57.6017561771</v>
      </c>
      <c r="G299" s="14">
        <v>319</v>
      </c>
      <c r="H299" s="17">
        <v>1.78</v>
      </c>
      <c r="I299" s="17">
        <v>3.37</v>
      </c>
      <c r="J299" s="17">
        <v>3.99</v>
      </c>
      <c r="K299" s="17">
        <v>7.07</v>
      </c>
      <c r="L299" s="17">
        <v>8.19</v>
      </c>
      <c r="M299" s="17">
        <f t="shared" si="52"/>
        <v>1.59</v>
      </c>
      <c r="N299" s="17">
        <f t="shared" si="53"/>
        <v>2.21</v>
      </c>
      <c r="O299" s="17">
        <f t="shared" si="54"/>
        <v>5.29</v>
      </c>
      <c r="P299" s="17">
        <f t="shared" si="55"/>
        <v>6.4099999999999993</v>
      </c>
      <c r="Q299" s="17">
        <f t="shared" si="56"/>
        <v>0.88804153601265789</v>
      </c>
      <c r="R299" s="17">
        <f t="shared" si="49"/>
        <v>0.14738969677199493</v>
      </c>
      <c r="S299" s="17">
        <f t="shared" si="50"/>
        <v>2.1025660303388261</v>
      </c>
      <c r="T299" s="17">
        <f t="shared" si="51"/>
        <v>1.6934991406593036</v>
      </c>
      <c r="U299" s="16">
        <v>3</v>
      </c>
      <c r="V299" s="16">
        <v>5</v>
      </c>
      <c r="W299" s="16">
        <v>6</v>
      </c>
      <c r="X299" s="16">
        <v>7</v>
      </c>
      <c r="Y299" s="15">
        <v>0.40799999999999997</v>
      </c>
      <c r="Z299" s="15">
        <v>0.51100000000000001</v>
      </c>
      <c r="AA299" s="15">
        <v>0.63300000000000001</v>
      </c>
      <c r="AB299" s="15">
        <v>0.72899999999999998</v>
      </c>
      <c r="AC299" s="3">
        <f t="shared" si="57"/>
        <v>-0.37984361242739106</v>
      </c>
      <c r="AD299" s="3">
        <f t="shared" si="58"/>
        <v>-0.51979055520097728</v>
      </c>
      <c r="AE299" s="3">
        <f t="shared" si="59"/>
        <v>-0.38140848786249054</v>
      </c>
      <c r="AF299" s="3">
        <f t="shared" si="60"/>
        <v>-0.39161788357747623</v>
      </c>
    </row>
    <row r="300" spans="1:32" x14ac:dyDescent="0.2">
      <c r="A300" s="30">
        <v>298</v>
      </c>
      <c r="B300" s="9" t="s">
        <v>1074</v>
      </c>
      <c r="C300" s="12">
        <v>95393</v>
      </c>
      <c r="D300" s="13" t="s">
        <v>299</v>
      </c>
      <c r="E300" s="17">
        <v>29.638398457899999</v>
      </c>
      <c r="F300" s="17">
        <v>59.956394539000001</v>
      </c>
      <c r="G300" s="14">
        <v>119</v>
      </c>
      <c r="H300" s="17">
        <v>4.1500000000000004</v>
      </c>
      <c r="I300" s="17">
        <v>5.42</v>
      </c>
      <c r="J300" s="17">
        <v>8.18</v>
      </c>
      <c r="K300" s="17">
        <v>10.83</v>
      </c>
      <c r="L300" s="17">
        <v>10.28</v>
      </c>
      <c r="M300" s="17">
        <f t="shared" si="52"/>
        <v>1.2699999999999996</v>
      </c>
      <c r="N300" s="17">
        <f t="shared" si="53"/>
        <v>4.0299999999999994</v>
      </c>
      <c r="O300" s="17">
        <f t="shared" si="54"/>
        <v>6.68</v>
      </c>
      <c r="P300" s="17">
        <f t="shared" si="55"/>
        <v>6.129999999999999</v>
      </c>
      <c r="Q300" s="17">
        <f t="shared" si="56"/>
        <v>0.49816328356165818</v>
      </c>
      <c r="R300" s="17">
        <f t="shared" si="49"/>
        <v>2.7096936575241042</v>
      </c>
      <c r="S300" s="17">
        <f t="shared" si="50"/>
        <v>3.7167096235959294</v>
      </c>
      <c r="T300" s="17">
        <f t="shared" si="51"/>
        <v>1.4100900888110368</v>
      </c>
      <c r="U300" s="16">
        <v>2</v>
      </c>
      <c r="V300" s="16">
        <v>3</v>
      </c>
      <c r="W300" s="16">
        <v>4</v>
      </c>
      <c r="X300" s="16">
        <v>4</v>
      </c>
      <c r="Y300" s="15">
        <v>0.32200000000000001</v>
      </c>
      <c r="Z300" s="15">
        <v>0.50800000000000001</v>
      </c>
      <c r="AA300" s="15">
        <v>0.59799999999999998</v>
      </c>
      <c r="AB300" s="15">
        <v>0.68899999999999995</v>
      </c>
      <c r="AC300" s="3">
        <f t="shared" si="57"/>
        <v>-1.1745417590192713</v>
      </c>
      <c r="AD300" s="3">
        <f t="shared" si="58"/>
        <v>-0.54671079888223684</v>
      </c>
      <c r="AE300" s="3">
        <f t="shared" si="59"/>
        <v>-0.66957216998352209</v>
      </c>
      <c r="AF300" s="3">
        <f t="shared" si="60"/>
        <v>-0.72020004377746416</v>
      </c>
    </row>
    <row r="301" spans="1:32" x14ac:dyDescent="0.2">
      <c r="A301" s="30">
        <v>299</v>
      </c>
      <c r="B301" s="9" t="s">
        <v>1075</v>
      </c>
      <c r="C301" s="12">
        <v>95394</v>
      </c>
      <c r="D301" s="13" t="s">
        <v>300</v>
      </c>
      <c r="E301" s="17">
        <v>28.073786412600001</v>
      </c>
      <c r="F301" s="17">
        <v>59.699273507000001</v>
      </c>
      <c r="G301" s="14">
        <v>787</v>
      </c>
      <c r="H301" s="17">
        <v>5.21</v>
      </c>
      <c r="I301" s="17">
        <v>6.4</v>
      </c>
      <c r="J301" s="17">
        <v>9.1</v>
      </c>
      <c r="K301" s="17">
        <v>11.58</v>
      </c>
      <c r="L301" s="17">
        <v>11.27</v>
      </c>
      <c r="M301" s="17">
        <f t="shared" si="52"/>
        <v>1.1900000000000004</v>
      </c>
      <c r="N301" s="17">
        <f t="shared" si="53"/>
        <v>3.8899999999999997</v>
      </c>
      <c r="O301" s="17">
        <f t="shared" si="54"/>
        <v>6.37</v>
      </c>
      <c r="P301" s="17">
        <f t="shared" si="55"/>
        <v>6.06</v>
      </c>
      <c r="Q301" s="17">
        <f t="shared" si="56"/>
        <v>0.40069372044890939</v>
      </c>
      <c r="R301" s="17">
        <f t="shared" si="49"/>
        <v>2.5125933528508657</v>
      </c>
      <c r="S301" s="17">
        <f t="shared" si="50"/>
        <v>3.3567207646680863</v>
      </c>
      <c r="T301" s="17">
        <f t="shared" si="51"/>
        <v>1.3392378258489708</v>
      </c>
      <c r="U301" s="16">
        <v>6</v>
      </c>
      <c r="V301" s="16">
        <v>6</v>
      </c>
      <c r="W301" s="16">
        <v>8</v>
      </c>
      <c r="X301" s="16">
        <v>9</v>
      </c>
      <c r="Y301" s="15">
        <v>0.309</v>
      </c>
      <c r="Z301" s="15">
        <v>0.45600000000000002</v>
      </c>
      <c r="AA301" s="15">
        <v>0.54400000000000004</v>
      </c>
      <c r="AB301" s="15">
        <v>0.66800000000000004</v>
      </c>
      <c r="AC301" s="3">
        <f t="shared" si="57"/>
        <v>-1.2946705486203696</v>
      </c>
      <c r="AD301" s="3">
        <f t="shared" si="58"/>
        <v>-1.0133283560240687</v>
      </c>
      <c r="AE301" s="3">
        <f t="shared" si="59"/>
        <v>-1.1141675652559697</v>
      </c>
      <c r="AF301" s="3">
        <f t="shared" si="60"/>
        <v>-0.89270567788245692</v>
      </c>
    </row>
    <row r="302" spans="1:32" x14ac:dyDescent="0.2">
      <c r="A302" s="30">
        <v>300</v>
      </c>
      <c r="B302" s="9" t="s">
        <v>1444</v>
      </c>
      <c r="C302" s="12">
        <v>95399</v>
      </c>
      <c r="D302" s="13" t="s">
        <v>301</v>
      </c>
      <c r="E302" s="17">
        <v>33.988427434400002</v>
      </c>
      <c r="F302" s="17">
        <v>36.295546389000002</v>
      </c>
      <c r="G302" s="14">
        <v>135</v>
      </c>
      <c r="H302" s="17">
        <v>19</v>
      </c>
      <c r="I302" s="17">
        <v>21.14</v>
      </c>
      <c r="J302" s="17">
        <v>21.24</v>
      </c>
      <c r="K302" s="17">
        <v>22.34</v>
      </c>
      <c r="L302" s="17">
        <v>24.44</v>
      </c>
      <c r="M302" s="17">
        <f t="shared" si="52"/>
        <v>2.1400000000000006</v>
      </c>
      <c r="N302" s="17">
        <f t="shared" si="53"/>
        <v>2.2399999999999984</v>
      </c>
      <c r="O302" s="17">
        <f t="shared" si="54"/>
        <v>3.34</v>
      </c>
      <c r="P302" s="17">
        <f t="shared" si="55"/>
        <v>5.4400000000000013</v>
      </c>
      <c r="Q302" s="17">
        <f t="shared" si="56"/>
        <v>1.5581447824128132</v>
      </c>
      <c r="R302" s="17">
        <f t="shared" si="49"/>
        <v>0.18962547634482976</v>
      </c>
      <c r="S302" s="17">
        <f t="shared" si="50"/>
        <v>-0.16188001775567235</v>
      </c>
      <c r="T302" s="17">
        <f t="shared" si="51"/>
        <v>0.71168921104209637</v>
      </c>
      <c r="U302" s="16">
        <v>11</v>
      </c>
      <c r="V302" s="16">
        <v>15</v>
      </c>
      <c r="W302" s="16">
        <v>15</v>
      </c>
      <c r="X302" s="16">
        <v>16</v>
      </c>
      <c r="Y302" s="15">
        <v>0.436</v>
      </c>
      <c r="Z302" s="15">
        <v>0.54800000000000004</v>
      </c>
      <c r="AA302" s="15">
        <v>0.66200000000000003</v>
      </c>
      <c r="AB302" s="15">
        <v>0.76900000000000002</v>
      </c>
      <c r="AC302" s="3">
        <f t="shared" si="57"/>
        <v>-0.12110468097887164</v>
      </c>
      <c r="AD302" s="3">
        <f t="shared" si="58"/>
        <v>-0.18777421646544273</v>
      </c>
      <c r="AE302" s="3">
        <f t="shared" si="59"/>
        <v>-0.14264429410506441</v>
      </c>
      <c r="AF302" s="3">
        <f t="shared" si="60"/>
        <v>-6.3035723377488362E-2</v>
      </c>
    </row>
    <row r="303" spans="1:32" x14ac:dyDescent="0.2">
      <c r="A303" s="30">
        <v>301</v>
      </c>
      <c r="B303" s="9" t="s">
        <v>1076</v>
      </c>
      <c r="C303" s="12">
        <v>102876</v>
      </c>
      <c r="D303" s="13" t="s">
        <v>302</v>
      </c>
      <c r="E303" s="17">
        <v>-0.78097667064599996</v>
      </c>
      <c r="F303" s="17">
        <v>37.717888756800001</v>
      </c>
      <c r="G303" s="14">
        <v>226</v>
      </c>
      <c r="H303" s="17">
        <v>16.82</v>
      </c>
      <c r="I303" s="17">
        <v>16.89</v>
      </c>
      <c r="J303" s="17">
        <v>19.22</v>
      </c>
      <c r="K303" s="17">
        <v>19.93</v>
      </c>
      <c r="L303" s="17">
        <v>21.99</v>
      </c>
      <c r="M303" s="17">
        <f t="shared" si="52"/>
        <v>7.0000000000000284E-2</v>
      </c>
      <c r="N303" s="17">
        <f t="shared" si="53"/>
        <v>2.3999999999999986</v>
      </c>
      <c r="O303" s="17">
        <f t="shared" si="54"/>
        <v>3.1099999999999994</v>
      </c>
      <c r="P303" s="17">
        <f t="shared" si="55"/>
        <v>5.1699999999999982</v>
      </c>
      <c r="Q303" s="17">
        <f t="shared" si="56"/>
        <v>-0.96388016312958746</v>
      </c>
      <c r="R303" s="17">
        <f t="shared" si="49"/>
        <v>0.41488296739996056</v>
      </c>
      <c r="S303" s="17">
        <f t="shared" si="50"/>
        <v>-0.42896852599245977</v>
      </c>
      <c r="T303" s="17">
        <f t="shared" si="51"/>
        <v>0.43840191104555043</v>
      </c>
      <c r="U303" s="16">
        <v>6</v>
      </c>
      <c r="V303" s="16">
        <v>7</v>
      </c>
      <c r="W303" s="16">
        <v>10</v>
      </c>
      <c r="X303" s="16">
        <v>10</v>
      </c>
      <c r="Y303" s="15">
        <v>0.42</v>
      </c>
      <c r="Z303" s="15">
        <v>0.53200000000000003</v>
      </c>
      <c r="AA303" s="15">
        <v>0.64300000000000002</v>
      </c>
      <c r="AB303" s="15">
        <v>0.73799999999999999</v>
      </c>
      <c r="AC303" s="3">
        <f t="shared" si="57"/>
        <v>-0.2689554989494542</v>
      </c>
      <c r="AD303" s="3">
        <f t="shared" si="58"/>
        <v>-0.33134884943216036</v>
      </c>
      <c r="AE303" s="3">
        <f t="shared" si="59"/>
        <v>-0.29907600725648154</v>
      </c>
      <c r="AF303" s="3">
        <f t="shared" si="60"/>
        <v>-0.31768689753247897</v>
      </c>
    </row>
    <row r="304" spans="1:32" x14ac:dyDescent="0.2">
      <c r="A304" s="30">
        <v>302</v>
      </c>
      <c r="B304" s="9" t="s">
        <v>1445</v>
      </c>
      <c r="C304" s="12">
        <v>102877</v>
      </c>
      <c r="D304" s="13" t="s">
        <v>303</v>
      </c>
      <c r="E304" s="17">
        <v>-3.4688694363999999</v>
      </c>
      <c r="F304" s="17">
        <v>43.445609556100003</v>
      </c>
      <c r="G304" s="14">
        <v>28</v>
      </c>
      <c r="H304" s="17">
        <v>12.95</v>
      </c>
      <c r="I304" s="17">
        <v>12.66</v>
      </c>
      <c r="J304" s="17">
        <v>14.35</v>
      </c>
      <c r="K304" s="17">
        <v>15.32</v>
      </c>
      <c r="L304" s="17">
        <v>16.86</v>
      </c>
      <c r="M304" s="17">
        <f t="shared" si="52"/>
        <v>-0.28999999999999915</v>
      </c>
      <c r="N304" s="17">
        <f t="shared" si="53"/>
        <v>1.4000000000000004</v>
      </c>
      <c r="O304" s="17">
        <f t="shared" si="54"/>
        <v>2.370000000000001</v>
      </c>
      <c r="P304" s="17">
        <f t="shared" si="55"/>
        <v>3.91</v>
      </c>
      <c r="Q304" s="17">
        <f t="shared" si="56"/>
        <v>-1.4024931971369607</v>
      </c>
      <c r="R304" s="17">
        <f t="shared" si="49"/>
        <v>-0.99297635169460308</v>
      </c>
      <c r="S304" s="17">
        <f t="shared" si="50"/>
        <v>-1.288296769884729</v>
      </c>
      <c r="T304" s="17">
        <f t="shared" si="51"/>
        <v>-0.83693882227164718</v>
      </c>
      <c r="U304" s="16">
        <v>1</v>
      </c>
      <c r="V304" s="16">
        <v>1</v>
      </c>
      <c r="W304" s="16">
        <v>1</v>
      </c>
      <c r="X304" s="16">
        <v>1</v>
      </c>
      <c r="Y304" s="15">
        <v>0.46200000000000002</v>
      </c>
      <c r="Z304" s="15">
        <v>0.57499999999999996</v>
      </c>
      <c r="AA304" s="15">
        <v>0.6835</v>
      </c>
      <c r="AB304" s="15">
        <v>0.78</v>
      </c>
      <c r="AC304" s="3">
        <f t="shared" si="57"/>
        <v>0.11915289822332498</v>
      </c>
      <c r="AD304" s="3">
        <f t="shared" si="58"/>
        <v>5.4507976665892306E-2</v>
      </c>
      <c r="AE304" s="3">
        <f t="shared" si="59"/>
        <v>3.4370539197854509E-2</v>
      </c>
      <c r="AF304" s="3">
        <f t="shared" si="60"/>
        <v>2.732437067750831E-2</v>
      </c>
    </row>
    <row r="305" spans="1:32" x14ac:dyDescent="0.2">
      <c r="A305" s="30">
        <v>303</v>
      </c>
      <c r="B305" s="9" t="s">
        <v>1446</v>
      </c>
      <c r="C305" s="12">
        <v>102880</v>
      </c>
      <c r="D305" s="13" t="s">
        <v>304</v>
      </c>
      <c r="E305" s="17">
        <v>-7.0378481365400001</v>
      </c>
      <c r="F305" s="17">
        <v>43.517958773300002</v>
      </c>
      <c r="G305" s="14">
        <v>20</v>
      </c>
      <c r="H305" s="17">
        <v>12.65</v>
      </c>
      <c r="I305" s="17">
        <v>12.4</v>
      </c>
      <c r="J305" s="17">
        <v>14</v>
      </c>
      <c r="K305" s="17">
        <v>14.98</v>
      </c>
      <c r="L305" s="17">
        <v>16.149999999999999</v>
      </c>
      <c r="M305" s="17">
        <f t="shared" si="52"/>
        <v>-0.25</v>
      </c>
      <c r="N305" s="17">
        <f t="shared" si="53"/>
        <v>1.3499999999999996</v>
      </c>
      <c r="O305" s="17">
        <f t="shared" si="54"/>
        <v>2.33</v>
      </c>
      <c r="P305" s="17">
        <f t="shared" si="55"/>
        <v>3.4999999999999982</v>
      </c>
      <c r="Q305" s="17">
        <f t="shared" si="56"/>
        <v>-1.3537584155805868</v>
      </c>
      <c r="R305" s="17">
        <f t="shared" si="49"/>
        <v>-1.0633693176493324</v>
      </c>
      <c r="S305" s="17">
        <f t="shared" si="50"/>
        <v>-1.3347469452302583</v>
      </c>
      <c r="T305" s="17">
        <f t="shared" si="51"/>
        <v>-1.2519306481923251</v>
      </c>
      <c r="U305" s="16">
        <v>0</v>
      </c>
      <c r="V305" s="16">
        <v>0</v>
      </c>
      <c r="W305" s="16">
        <v>0</v>
      </c>
      <c r="X305" s="16">
        <v>0</v>
      </c>
      <c r="Y305" s="15">
        <v>0.46400000000000002</v>
      </c>
      <c r="Z305" s="15">
        <v>0.57999999999999996</v>
      </c>
      <c r="AA305" s="15">
        <v>0.68400000000000005</v>
      </c>
      <c r="AB305" s="15">
        <v>0.78</v>
      </c>
      <c r="AC305" s="3">
        <f t="shared" si="57"/>
        <v>0.13763425046964778</v>
      </c>
      <c r="AD305" s="3">
        <f t="shared" si="58"/>
        <v>9.9375049467991569E-2</v>
      </c>
      <c r="AE305" s="3">
        <f t="shared" si="59"/>
        <v>3.8487163228155416E-2</v>
      </c>
      <c r="AF305" s="3">
        <f t="shared" si="60"/>
        <v>2.732437067750831E-2</v>
      </c>
    </row>
    <row r="306" spans="1:32" x14ac:dyDescent="0.2">
      <c r="A306" s="30">
        <v>304</v>
      </c>
      <c r="B306" s="9" t="s">
        <v>1077</v>
      </c>
      <c r="C306" s="12">
        <v>103547</v>
      </c>
      <c r="D306" s="13" t="s">
        <v>305</v>
      </c>
      <c r="E306" s="17">
        <v>19.494834124</v>
      </c>
      <c r="F306" s="17">
        <v>40.949892002299997</v>
      </c>
      <c r="G306" s="14">
        <v>75</v>
      </c>
      <c r="H306" s="17">
        <v>16.100000000000001</v>
      </c>
      <c r="I306" s="17">
        <v>17.57</v>
      </c>
      <c r="J306" s="17">
        <v>18.64</v>
      </c>
      <c r="K306" s="17">
        <v>20.27</v>
      </c>
      <c r="L306" s="17">
        <v>22.38</v>
      </c>
      <c r="M306" s="17">
        <f t="shared" si="52"/>
        <v>1.4699999999999989</v>
      </c>
      <c r="N306" s="17">
        <f t="shared" si="53"/>
        <v>2.5399999999999991</v>
      </c>
      <c r="O306" s="17">
        <f t="shared" si="54"/>
        <v>4.1699999999999982</v>
      </c>
      <c r="P306" s="17">
        <f t="shared" si="55"/>
        <v>6.2799999999999976</v>
      </c>
      <c r="Q306" s="17">
        <f t="shared" si="56"/>
        <v>0.74183719134353177</v>
      </c>
      <c r="R306" s="17">
        <f t="shared" si="49"/>
        <v>0.61198327207320058</v>
      </c>
      <c r="S306" s="17">
        <f t="shared" si="50"/>
        <v>0.80196112066403502</v>
      </c>
      <c r="T306" s="17">
        <f t="shared" si="51"/>
        <v>1.5619163665868923</v>
      </c>
      <c r="U306" s="16">
        <v>7</v>
      </c>
      <c r="V306" s="16">
        <v>7</v>
      </c>
      <c r="W306" s="16">
        <v>7</v>
      </c>
      <c r="X306" s="16">
        <v>7</v>
      </c>
      <c r="Y306" s="15">
        <v>0.42</v>
      </c>
      <c r="Z306" s="15">
        <v>0.53</v>
      </c>
      <c r="AA306" s="15">
        <v>0.63200000000000001</v>
      </c>
      <c r="AB306" s="15">
        <v>0.72899999999999998</v>
      </c>
      <c r="AC306" s="3">
        <f t="shared" si="57"/>
        <v>-0.2689554989494542</v>
      </c>
      <c r="AD306" s="3">
        <f t="shared" si="58"/>
        <v>-0.34929567855300009</v>
      </c>
      <c r="AE306" s="3">
        <f t="shared" si="59"/>
        <v>-0.38964173592309143</v>
      </c>
      <c r="AF306" s="3">
        <f t="shared" si="60"/>
        <v>-0.39161788357747623</v>
      </c>
    </row>
    <row r="307" spans="1:32" x14ac:dyDescent="0.2">
      <c r="A307" s="30">
        <v>305</v>
      </c>
      <c r="B307" s="9" t="s">
        <v>811</v>
      </c>
      <c r="C307" s="12">
        <v>103548</v>
      </c>
      <c r="D307" s="13" t="s">
        <v>306</v>
      </c>
      <c r="E307" s="17">
        <v>-61.601543018699999</v>
      </c>
      <c r="F307" s="17">
        <v>16.346375761000001</v>
      </c>
      <c r="G307" s="14">
        <v>167</v>
      </c>
      <c r="H307" s="17">
        <v>24.86</v>
      </c>
      <c r="I307" s="17">
        <v>25.75</v>
      </c>
      <c r="J307" s="17">
        <v>26.54</v>
      </c>
      <c r="K307" s="17">
        <v>27.52</v>
      </c>
      <c r="L307" s="17">
        <v>29.08</v>
      </c>
      <c r="M307" s="17">
        <f t="shared" si="52"/>
        <v>0.89000000000000057</v>
      </c>
      <c r="N307" s="17">
        <f t="shared" si="53"/>
        <v>1.6799999999999997</v>
      </c>
      <c r="O307" s="17">
        <f t="shared" si="54"/>
        <v>2.66</v>
      </c>
      <c r="P307" s="17">
        <f t="shared" si="55"/>
        <v>4.2199999999999989</v>
      </c>
      <c r="Q307" s="17">
        <f t="shared" si="56"/>
        <v>3.5182858776097982E-2</v>
      </c>
      <c r="R307" s="17">
        <f t="shared" si="49"/>
        <v>-0.59877574234812547</v>
      </c>
      <c r="S307" s="17">
        <f t="shared" si="50"/>
        <v>-0.95153299862965079</v>
      </c>
      <c r="T307" s="17">
        <f t="shared" si="51"/>
        <v>-0.52316451486821047</v>
      </c>
      <c r="U307" s="16">
        <v>3</v>
      </c>
      <c r="V307" s="16">
        <v>3</v>
      </c>
      <c r="W307" s="16">
        <v>3</v>
      </c>
      <c r="X307" s="16">
        <v>4</v>
      </c>
      <c r="Y307" s="15">
        <v>0.35749999999999998</v>
      </c>
      <c r="Z307" s="15">
        <v>0.47799999999999998</v>
      </c>
      <c r="AA307" s="15">
        <v>0.57750000000000001</v>
      </c>
      <c r="AB307" s="15">
        <v>0.66400000000000003</v>
      </c>
      <c r="AC307" s="3">
        <f t="shared" si="57"/>
        <v>-0.84649775664704174</v>
      </c>
      <c r="AD307" s="3">
        <f t="shared" si="58"/>
        <v>-0.81591323569483243</v>
      </c>
      <c r="AE307" s="3">
        <f t="shared" si="59"/>
        <v>-0.8383537552258401</v>
      </c>
      <c r="AF307" s="3">
        <f t="shared" si="60"/>
        <v>-0.92556389390245564</v>
      </c>
    </row>
    <row r="308" spans="1:32" x14ac:dyDescent="0.2">
      <c r="A308" s="30">
        <v>306</v>
      </c>
      <c r="B308" s="9" t="s">
        <v>812</v>
      </c>
      <c r="C308" s="12">
        <v>107289</v>
      </c>
      <c r="D308" s="13" t="s">
        <v>307</v>
      </c>
      <c r="E308" s="17">
        <v>-81.727800307999999</v>
      </c>
      <c r="F308" s="17">
        <v>8.9321296198100004</v>
      </c>
      <c r="G308" s="14">
        <v>40</v>
      </c>
      <c r="H308" s="17">
        <v>21.59</v>
      </c>
      <c r="I308" s="17">
        <v>22.36</v>
      </c>
      <c r="J308" s="17">
        <v>23.62</v>
      </c>
      <c r="K308" s="17">
        <v>24.66</v>
      </c>
      <c r="L308" s="17">
        <v>25.99</v>
      </c>
      <c r="M308" s="17">
        <f t="shared" si="52"/>
        <v>0.76999999999999957</v>
      </c>
      <c r="N308" s="17">
        <f t="shared" si="53"/>
        <v>2.0300000000000011</v>
      </c>
      <c r="O308" s="17">
        <f t="shared" si="54"/>
        <v>3.0700000000000003</v>
      </c>
      <c r="P308" s="17">
        <f t="shared" si="55"/>
        <v>4.3999999999999986</v>
      </c>
      <c r="Q308" s="17">
        <f t="shared" si="56"/>
        <v>-0.11102148589302789</v>
      </c>
      <c r="R308" s="17">
        <f t="shared" si="49"/>
        <v>-0.10602498066502532</v>
      </c>
      <c r="S308" s="17">
        <f t="shared" si="50"/>
        <v>-0.47541870133798697</v>
      </c>
      <c r="T308" s="17">
        <f t="shared" si="51"/>
        <v>-0.34097298153718225</v>
      </c>
      <c r="U308" s="16">
        <v>5</v>
      </c>
      <c r="V308" s="16">
        <v>5</v>
      </c>
      <c r="W308" s="16">
        <v>5</v>
      </c>
      <c r="X308" s="16">
        <v>5</v>
      </c>
      <c r="Y308" s="15">
        <v>0.49199999999999999</v>
      </c>
      <c r="Z308" s="15">
        <v>0.61899999999999999</v>
      </c>
      <c r="AA308" s="15">
        <v>0.746</v>
      </c>
      <c r="AB308" s="15">
        <v>0.83499999999999996</v>
      </c>
      <c r="AC308" s="3">
        <f t="shared" si="57"/>
        <v>0.39637318191816673</v>
      </c>
      <c r="AD308" s="3">
        <f t="shared" si="58"/>
        <v>0.44933821732436585</v>
      </c>
      <c r="AE308" s="3">
        <f t="shared" si="59"/>
        <v>0.5489485429854104</v>
      </c>
      <c r="AF308" s="3">
        <f t="shared" si="60"/>
        <v>0.47912484095249075</v>
      </c>
    </row>
    <row r="309" spans="1:32" x14ac:dyDescent="0.2">
      <c r="A309" s="30">
        <v>307</v>
      </c>
      <c r="B309" s="9" t="s">
        <v>813</v>
      </c>
      <c r="C309" s="12">
        <v>107383</v>
      </c>
      <c r="D309" s="13" t="s">
        <v>308</v>
      </c>
      <c r="E309" s="17">
        <v>-88.506057061500002</v>
      </c>
      <c r="F309" s="17">
        <v>13.251925759500001</v>
      </c>
      <c r="G309" s="14">
        <v>347</v>
      </c>
      <c r="H309" s="17">
        <v>26.55</v>
      </c>
      <c r="I309" s="17">
        <v>27.55</v>
      </c>
      <c r="J309" s="17">
        <v>28.83</v>
      </c>
      <c r="K309" s="17">
        <v>30.31</v>
      </c>
      <c r="L309" s="17">
        <v>31.03</v>
      </c>
      <c r="M309" s="17">
        <f t="shared" si="52"/>
        <v>1</v>
      </c>
      <c r="N309" s="17">
        <f t="shared" si="53"/>
        <v>2.2799999999999976</v>
      </c>
      <c r="O309" s="17">
        <f t="shared" si="54"/>
        <v>3.759999999999998</v>
      </c>
      <c r="P309" s="17">
        <f t="shared" si="55"/>
        <v>4.4800000000000004</v>
      </c>
      <c r="Q309" s="17">
        <f t="shared" si="56"/>
        <v>0.16920350805612822</v>
      </c>
      <c r="R309" s="17">
        <f t="shared" si="49"/>
        <v>0.24593984910861119</v>
      </c>
      <c r="S309" s="17">
        <f t="shared" si="50"/>
        <v>0.3258468233723712</v>
      </c>
      <c r="T309" s="17">
        <f t="shared" si="51"/>
        <v>-0.2599989667233899</v>
      </c>
      <c r="U309" s="16">
        <v>6</v>
      </c>
      <c r="V309" s="16">
        <v>8</v>
      </c>
      <c r="W309" s="16">
        <v>10</v>
      </c>
      <c r="X309" s="16">
        <v>13</v>
      </c>
      <c r="Y309" s="15">
        <v>0.495</v>
      </c>
      <c r="Z309" s="15">
        <v>0.60099999999999998</v>
      </c>
      <c r="AA309" s="15">
        <v>0.73399999999999999</v>
      </c>
      <c r="AB309" s="15">
        <v>0.80800000000000005</v>
      </c>
      <c r="AC309" s="3">
        <f t="shared" si="57"/>
        <v>0.42409521028765096</v>
      </c>
      <c r="AD309" s="3">
        <f t="shared" si="58"/>
        <v>0.2878167552368085</v>
      </c>
      <c r="AE309" s="3">
        <f t="shared" si="59"/>
        <v>0.45014956625819957</v>
      </c>
      <c r="AF309" s="3">
        <f t="shared" si="60"/>
        <v>0.25733188281749986</v>
      </c>
    </row>
    <row r="310" spans="1:32" x14ac:dyDescent="0.2">
      <c r="A310" s="30">
        <v>308</v>
      </c>
      <c r="B310" s="9" t="s">
        <v>1078</v>
      </c>
      <c r="C310" s="12">
        <v>109005</v>
      </c>
      <c r="D310" s="13" t="s">
        <v>309</v>
      </c>
      <c r="E310" s="17">
        <v>-22.759432781899999</v>
      </c>
      <c r="F310" s="17">
        <v>16.0042146477</v>
      </c>
      <c r="G310" s="14">
        <v>9</v>
      </c>
      <c r="H310" s="17">
        <v>23.62</v>
      </c>
      <c r="I310" s="17">
        <v>24.22</v>
      </c>
      <c r="J310" s="17">
        <v>24.84</v>
      </c>
      <c r="K310" s="17">
        <v>25.03</v>
      </c>
      <c r="L310" s="17">
        <v>26.39</v>
      </c>
      <c r="M310" s="17">
        <f t="shared" si="52"/>
        <v>0.59999999999999787</v>
      </c>
      <c r="N310" s="17">
        <f t="shared" si="53"/>
        <v>1.2199999999999989</v>
      </c>
      <c r="O310" s="17">
        <f t="shared" si="54"/>
        <v>1.4100000000000001</v>
      </c>
      <c r="P310" s="17">
        <f t="shared" si="55"/>
        <v>2.7699999999999996</v>
      </c>
      <c r="Q310" s="17">
        <f t="shared" si="56"/>
        <v>-0.31814430750762324</v>
      </c>
      <c r="R310" s="17">
        <f t="shared" si="49"/>
        <v>-1.2463910291316271</v>
      </c>
      <c r="S310" s="17">
        <f t="shared" si="50"/>
        <v>-2.403100978177406</v>
      </c>
      <c r="T310" s="17">
        <f t="shared" si="51"/>
        <v>-1.9908185333681616</v>
      </c>
      <c r="U310" s="16">
        <v>0</v>
      </c>
      <c r="V310" s="16">
        <v>0</v>
      </c>
      <c r="W310" s="16">
        <v>0</v>
      </c>
      <c r="X310" s="16">
        <v>0</v>
      </c>
      <c r="Y310" s="15">
        <v>0.49199999999999999</v>
      </c>
      <c r="Z310" s="15">
        <v>0.61399999999999999</v>
      </c>
      <c r="AA310" s="15">
        <v>0.72399999999999998</v>
      </c>
      <c r="AB310" s="15">
        <v>0.81599999999999995</v>
      </c>
      <c r="AC310" s="3">
        <f t="shared" si="57"/>
        <v>0.39637318191816673</v>
      </c>
      <c r="AD310" s="3">
        <f t="shared" si="58"/>
        <v>0.40447114452226657</v>
      </c>
      <c r="AE310" s="3">
        <f t="shared" si="59"/>
        <v>0.36781708565219057</v>
      </c>
      <c r="AF310" s="3">
        <f t="shared" si="60"/>
        <v>0.32304831485749652</v>
      </c>
    </row>
    <row r="311" spans="1:32" x14ac:dyDescent="0.2">
      <c r="A311" s="30">
        <v>309</v>
      </c>
      <c r="B311" s="9" t="s">
        <v>1079</v>
      </c>
      <c r="C311" s="12">
        <v>109007</v>
      </c>
      <c r="D311" s="13" t="s">
        <v>310</v>
      </c>
      <c r="E311" s="17">
        <v>-23.536897339799999</v>
      </c>
      <c r="F311" s="17">
        <v>15.0999701165</v>
      </c>
      <c r="G311" s="14">
        <v>2</v>
      </c>
      <c r="H311" s="17">
        <v>23.92</v>
      </c>
      <c r="I311" s="17">
        <v>24.64</v>
      </c>
      <c r="J311" s="17">
        <v>25.41</v>
      </c>
      <c r="K311" s="17">
        <v>25.74</v>
      </c>
      <c r="L311" s="17">
        <v>27.03</v>
      </c>
      <c r="M311" s="17">
        <f t="shared" si="52"/>
        <v>0.71999999999999886</v>
      </c>
      <c r="N311" s="17">
        <f t="shared" si="53"/>
        <v>1.4899999999999984</v>
      </c>
      <c r="O311" s="17">
        <f t="shared" si="54"/>
        <v>1.8199999999999967</v>
      </c>
      <c r="P311" s="17">
        <f t="shared" si="55"/>
        <v>3.1099999999999994</v>
      </c>
      <c r="Q311" s="17">
        <f t="shared" si="56"/>
        <v>-0.17193996283849736</v>
      </c>
      <c r="R311" s="17">
        <f t="shared" si="49"/>
        <v>-0.86626901297609482</v>
      </c>
      <c r="S311" s="17">
        <f t="shared" si="50"/>
        <v>-1.9269866808857463</v>
      </c>
      <c r="T311" s="17">
        <f t="shared" si="51"/>
        <v>-1.6466789704095524</v>
      </c>
      <c r="U311" s="16">
        <v>0</v>
      </c>
      <c r="V311" s="16">
        <v>0</v>
      </c>
      <c r="W311" s="16">
        <v>0</v>
      </c>
      <c r="X311" s="16">
        <v>0</v>
      </c>
      <c r="Y311" s="15">
        <v>0.49099999999999999</v>
      </c>
      <c r="Z311" s="15">
        <v>0.61599999999999999</v>
      </c>
      <c r="AA311" s="15">
        <v>0.72399999999999998</v>
      </c>
      <c r="AB311" s="15">
        <v>0.81599999999999995</v>
      </c>
      <c r="AC311" s="3">
        <f t="shared" si="57"/>
        <v>0.3871325057950053</v>
      </c>
      <c r="AD311" s="3">
        <f t="shared" si="58"/>
        <v>0.42241797364310629</v>
      </c>
      <c r="AE311" s="3">
        <f t="shared" si="59"/>
        <v>0.36781708565219057</v>
      </c>
      <c r="AF311" s="3">
        <f t="shared" si="60"/>
        <v>0.32304831485749652</v>
      </c>
    </row>
    <row r="312" spans="1:32" x14ac:dyDescent="0.2">
      <c r="A312" s="30">
        <v>310</v>
      </c>
      <c r="B312" s="9" t="s">
        <v>1080</v>
      </c>
      <c r="C312" s="12">
        <v>109017</v>
      </c>
      <c r="D312" s="13" t="s">
        <v>311</v>
      </c>
      <c r="E312" s="17">
        <v>11.999572858700001</v>
      </c>
      <c r="F312" s="17">
        <v>-4.9101096154799997</v>
      </c>
      <c r="G312" s="14">
        <v>39</v>
      </c>
      <c r="H312" s="17">
        <v>25.56</v>
      </c>
      <c r="I312" s="17">
        <v>26.94</v>
      </c>
      <c r="J312" s="17">
        <v>28.01</v>
      </c>
      <c r="K312" s="17">
        <v>29.44</v>
      </c>
      <c r="L312" s="17">
        <v>30.76</v>
      </c>
      <c r="M312" s="17">
        <f t="shared" si="52"/>
        <v>1.3800000000000026</v>
      </c>
      <c r="N312" s="17">
        <f t="shared" si="53"/>
        <v>2.4500000000000028</v>
      </c>
      <c r="O312" s="17">
        <f t="shared" si="54"/>
        <v>3.8800000000000026</v>
      </c>
      <c r="P312" s="17">
        <f t="shared" si="55"/>
        <v>5.2000000000000028</v>
      </c>
      <c r="Q312" s="17">
        <f t="shared" si="56"/>
        <v>0.63218393284169272</v>
      </c>
      <c r="R312" s="17">
        <f t="shared" si="49"/>
        <v>0.48527593335469482</v>
      </c>
      <c r="S312" s="17">
        <f t="shared" si="50"/>
        <v>0.46519734940896101</v>
      </c>
      <c r="T312" s="17">
        <f t="shared" si="51"/>
        <v>0.46876716660072659</v>
      </c>
      <c r="U312" s="16">
        <v>0</v>
      </c>
      <c r="V312" s="16">
        <v>16</v>
      </c>
      <c r="W312" s="16">
        <v>22</v>
      </c>
      <c r="X312" s="16">
        <v>24</v>
      </c>
      <c r="Y312" s="15">
        <v>0.46600000000000003</v>
      </c>
      <c r="Z312" s="15">
        <v>0.60499999999999998</v>
      </c>
      <c r="AA312" s="15">
        <v>0.76</v>
      </c>
      <c r="AB312" s="15">
        <v>0.86399999999999999</v>
      </c>
      <c r="AC312" s="3">
        <f t="shared" si="57"/>
        <v>0.15611560271597061</v>
      </c>
      <c r="AD312" s="3">
        <f t="shared" si="58"/>
        <v>0.32371041347848789</v>
      </c>
      <c r="AE312" s="3">
        <f t="shared" si="59"/>
        <v>0.664214015833823</v>
      </c>
      <c r="AF312" s="3">
        <f t="shared" si="60"/>
        <v>0.71734690709748195</v>
      </c>
    </row>
    <row r="313" spans="1:32" x14ac:dyDescent="0.2">
      <c r="A313" s="30">
        <v>311</v>
      </c>
      <c r="B313" s="9" t="s">
        <v>1081</v>
      </c>
      <c r="C313" s="12">
        <v>109018</v>
      </c>
      <c r="D313" s="13" t="s">
        <v>312</v>
      </c>
      <c r="E313" s="17">
        <v>11.447201159</v>
      </c>
      <c r="F313" s="17">
        <v>-3.92997310755</v>
      </c>
      <c r="G313" s="14">
        <v>1198</v>
      </c>
      <c r="H313" s="17">
        <v>25.79</v>
      </c>
      <c r="I313" s="17">
        <v>27.13</v>
      </c>
      <c r="J313" s="17">
        <v>28.1</v>
      </c>
      <c r="K313" s="17">
        <v>29.51</v>
      </c>
      <c r="L313" s="17">
        <v>30.68</v>
      </c>
      <c r="M313" s="17">
        <f t="shared" si="52"/>
        <v>1.3399999999999999</v>
      </c>
      <c r="N313" s="17">
        <f t="shared" si="53"/>
        <v>2.3100000000000023</v>
      </c>
      <c r="O313" s="17">
        <f t="shared" si="54"/>
        <v>3.7200000000000024</v>
      </c>
      <c r="P313" s="17">
        <f t="shared" si="55"/>
        <v>4.8900000000000006</v>
      </c>
      <c r="Q313" s="17">
        <f t="shared" si="56"/>
        <v>0.5834491512853146</v>
      </c>
      <c r="R313" s="17">
        <f t="shared" si="49"/>
        <v>0.2881756286814548</v>
      </c>
      <c r="S313" s="17">
        <f t="shared" si="50"/>
        <v>0.27939664802684816</v>
      </c>
      <c r="T313" s="17">
        <f t="shared" si="51"/>
        <v>0.15499285919728628</v>
      </c>
      <c r="U313" s="16">
        <v>2</v>
      </c>
      <c r="V313" s="16">
        <v>6</v>
      </c>
      <c r="W313" s="16">
        <v>7</v>
      </c>
      <c r="X313" s="16">
        <v>7</v>
      </c>
      <c r="Y313" s="15">
        <v>0.47</v>
      </c>
      <c r="Z313" s="15">
        <v>0.61</v>
      </c>
      <c r="AA313" s="15">
        <v>0.76400000000000001</v>
      </c>
      <c r="AB313" s="15">
        <v>0.86799999999999999</v>
      </c>
      <c r="AC313" s="3">
        <f t="shared" si="57"/>
        <v>0.19307830720861571</v>
      </c>
      <c r="AD313" s="3">
        <f t="shared" si="58"/>
        <v>0.36857748628058717</v>
      </c>
      <c r="AE313" s="3">
        <f t="shared" si="59"/>
        <v>0.69714700807622665</v>
      </c>
      <c r="AF313" s="3">
        <f t="shared" si="60"/>
        <v>0.75020512311748078</v>
      </c>
    </row>
    <row r="314" spans="1:32" x14ac:dyDescent="0.2">
      <c r="A314" s="30">
        <v>312</v>
      </c>
      <c r="B314" s="9" t="s">
        <v>814</v>
      </c>
      <c r="C314" s="12">
        <v>109023</v>
      </c>
      <c r="D314" s="13" t="s">
        <v>313</v>
      </c>
      <c r="E314" s="17">
        <v>-53.071119122299997</v>
      </c>
      <c r="F314" s="17">
        <v>5.4602232416499996</v>
      </c>
      <c r="G314" s="14">
        <v>147</v>
      </c>
      <c r="H314" s="17">
        <v>24.92</v>
      </c>
      <c r="I314" s="17">
        <v>25.71</v>
      </c>
      <c r="J314" s="17">
        <v>26.85</v>
      </c>
      <c r="K314" s="17">
        <v>28.15</v>
      </c>
      <c r="L314" s="17">
        <v>29.55</v>
      </c>
      <c r="M314" s="17">
        <f t="shared" si="52"/>
        <v>0.78999999999999915</v>
      </c>
      <c r="N314" s="17">
        <f t="shared" si="53"/>
        <v>1.9299999999999997</v>
      </c>
      <c r="O314" s="17">
        <f t="shared" si="54"/>
        <v>3.2299999999999969</v>
      </c>
      <c r="P314" s="17">
        <f t="shared" si="55"/>
        <v>4.629999999999999</v>
      </c>
      <c r="Q314" s="17">
        <f t="shared" si="56"/>
        <v>-8.6654095114840957E-2</v>
      </c>
      <c r="R314" s="17">
        <f t="shared" si="49"/>
        <v>-0.24681091257448393</v>
      </c>
      <c r="S314" s="17">
        <f t="shared" si="50"/>
        <v>-0.28961799995587828</v>
      </c>
      <c r="T314" s="17">
        <f t="shared" si="51"/>
        <v>-0.10817268894753425</v>
      </c>
      <c r="U314" s="16">
        <v>21</v>
      </c>
      <c r="V314" s="16">
        <v>26</v>
      </c>
      <c r="W314" s="16">
        <v>29</v>
      </c>
      <c r="X314" s="16">
        <v>33</v>
      </c>
      <c r="Y314" s="15">
        <v>0.47</v>
      </c>
      <c r="Z314" s="15">
        <v>0.6</v>
      </c>
      <c r="AA314" s="15">
        <v>0.71199999999999997</v>
      </c>
      <c r="AB314" s="15">
        <v>0.80300000000000005</v>
      </c>
      <c r="AC314" s="3">
        <f t="shared" si="57"/>
        <v>0.19307830720861571</v>
      </c>
      <c r="AD314" s="3">
        <f t="shared" si="58"/>
        <v>0.27884334067638861</v>
      </c>
      <c r="AE314" s="3">
        <f t="shared" si="59"/>
        <v>0.26901810892497974</v>
      </c>
      <c r="AF314" s="3">
        <f t="shared" si="60"/>
        <v>0.21625911279250135</v>
      </c>
    </row>
    <row r="315" spans="1:32" x14ac:dyDescent="0.2">
      <c r="A315" s="30">
        <v>313</v>
      </c>
      <c r="B315" s="9" t="s">
        <v>1082</v>
      </c>
      <c r="C315" s="12">
        <v>109024</v>
      </c>
      <c r="D315" s="13" t="s">
        <v>314</v>
      </c>
      <c r="E315" s="17">
        <v>9.4067483874699995</v>
      </c>
      <c r="F315" s="17">
        <v>41.9500942532</v>
      </c>
      <c r="G315" s="14">
        <v>4</v>
      </c>
      <c r="H315" s="17">
        <v>15.14</v>
      </c>
      <c r="I315" s="17">
        <v>16.010000000000002</v>
      </c>
      <c r="J315" s="17">
        <v>17.690000000000001</v>
      </c>
      <c r="K315" s="17">
        <v>19.600000000000001</v>
      </c>
      <c r="L315" s="17">
        <v>21.02</v>
      </c>
      <c r="M315" s="17">
        <f t="shared" si="52"/>
        <v>0.87000000000000099</v>
      </c>
      <c r="N315" s="17">
        <f t="shared" si="53"/>
        <v>2.5500000000000007</v>
      </c>
      <c r="O315" s="17">
        <f t="shared" si="54"/>
        <v>4.4600000000000009</v>
      </c>
      <c r="P315" s="17">
        <f t="shared" si="55"/>
        <v>5.879999999999999</v>
      </c>
      <c r="Q315" s="17">
        <f t="shared" si="56"/>
        <v>1.0815467997911062E-2</v>
      </c>
      <c r="R315" s="17">
        <f t="shared" si="49"/>
        <v>0.62606186526414842</v>
      </c>
      <c r="S315" s="17">
        <f t="shared" si="50"/>
        <v>1.1387248919191173</v>
      </c>
      <c r="T315" s="17">
        <f t="shared" si="51"/>
        <v>1.1570462925179414</v>
      </c>
      <c r="U315" s="16">
        <v>1</v>
      </c>
      <c r="V315" s="16">
        <v>2</v>
      </c>
      <c r="W315" s="16">
        <v>2</v>
      </c>
      <c r="X315" s="16">
        <v>2</v>
      </c>
      <c r="Y315" s="15">
        <v>0.45</v>
      </c>
      <c r="Z315" s="15">
        <v>0.57299999999999995</v>
      </c>
      <c r="AA315" s="15">
        <v>0.67300000000000004</v>
      </c>
      <c r="AB315" s="15">
        <v>0.76800000000000002</v>
      </c>
      <c r="AC315" s="3">
        <f t="shared" si="57"/>
        <v>8.2647847453880714E-3</v>
      </c>
      <c r="AD315" s="3">
        <f t="shared" si="58"/>
        <v>3.6561147545052596E-2</v>
      </c>
      <c r="AE315" s="3">
        <f t="shared" si="59"/>
        <v>-5.2078565438454495E-2</v>
      </c>
      <c r="AF315" s="3">
        <f t="shared" si="60"/>
        <v>-7.1250277382488056E-2</v>
      </c>
    </row>
    <row r="316" spans="1:32" x14ac:dyDescent="0.2">
      <c r="A316" s="30">
        <v>314</v>
      </c>
      <c r="B316" s="9" t="s">
        <v>1083</v>
      </c>
      <c r="C316" s="12">
        <v>109027</v>
      </c>
      <c r="D316" s="13" t="s">
        <v>315</v>
      </c>
      <c r="E316" s="17">
        <v>3.8482967378000001</v>
      </c>
      <c r="F316" s="17">
        <v>43.504238097399998</v>
      </c>
      <c r="G316" s="14">
        <v>80</v>
      </c>
      <c r="H316" s="17">
        <v>14.99</v>
      </c>
      <c r="I316" s="17">
        <v>15.27</v>
      </c>
      <c r="J316" s="17">
        <v>17.16</v>
      </c>
      <c r="K316" s="17">
        <v>18.87</v>
      </c>
      <c r="L316" s="17">
        <v>20.43</v>
      </c>
      <c r="M316" s="17">
        <f t="shared" si="52"/>
        <v>0.27999999999999936</v>
      </c>
      <c r="N316" s="17">
        <f t="shared" si="53"/>
        <v>2.17</v>
      </c>
      <c r="O316" s="17">
        <f t="shared" si="54"/>
        <v>3.8800000000000008</v>
      </c>
      <c r="P316" s="17">
        <f t="shared" si="55"/>
        <v>5.4399999999999995</v>
      </c>
      <c r="Q316" s="17">
        <f t="shared" si="56"/>
        <v>-0.70802255995862051</v>
      </c>
      <c r="R316" s="17">
        <f t="shared" si="49"/>
        <v>9.1075324008212236E-2</v>
      </c>
      <c r="S316" s="17">
        <f t="shared" si="50"/>
        <v>0.46519734940895896</v>
      </c>
      <c r="T316" s="17">
        <f t="shared" si="51"/>
        <v>0.71168921104209459</v>
      </c>
      <c r="U316" s="16">
        <v>10</v>
      </c>
      <c r="V316" s="16">
        <v>10</v>
      </c>
      <c r="W316" s="16">
        <v>10</v>
      </c>
      <c r="X316" s="16">
        <v>10</v>
      </c>
      <c r="Y316" s="15">
        <v>0.41699999999999998</v>
      </c>
      <c r="Z316" s="15">
        <v>0.53200000000000003</v>
      </c>
      <c r="AA316" s="15">
        <v>0.63</v>
      </c>
      <c r="AB316" s="15">
        <v>0.71799999999999997</v>
      </c>
      <c r="AC316" s="3">
        <f t="shared" si="57"/>
        <v>-0.29667752731893843</v>
      </c>
      <c r="AD316" s="3">
        <f t="shared" si="58"/>
        <v>-0.33134884943216036</v>
      </c>
      <c r="AE316" s="3">
        <f t="shared" si="59"/>
        <v>-0.40610823204429325</v>
      </c>
      <c r="AF316" s="3">
        <f t="shared" si="60"/>
        <v>-0.48197797763247291</v>
      </c>
    </row>
    <row r="317" spans="1:32" x14ac:dyDescent="0.2">
      <c r="A317" s="30">
        <v>315</v>
      </c>
      <c r="B317" s="9" t="s">
        <v>1447</v>
      </c>
      <c r="C317" s="12">
        <v>109032</v>
      </c>
      <c r="D317" s="13" t="s">
        <v>316</v>
      </c>
      <c r="E317" s="17">
        <v>65.183835868900005</v>
      </c>
      <c r="F317" s="17">
        <v>-46.6495597097</v>
      </c>
      <c r="G317" s="14">
        <v>12178</v>
      </c>
      <c r="H317" s="17">
        <v>5.19</v>
      </c>
      <c r="I317" s="17">
        <v>6.32</v>
      </c>
      <c r="J317" s="17">
        <v>7.03</v>
      </c>
      <c r="K317" s="17">
        <v>7.39</v>
      </c>
      <c r="L317" s="17">
        <v>8.1</v>
      </c>
      <c r="M317" s="17">
        <f t="shared" si="52"/>
        <v>1.1299999999999999</v>
      </c>
      <c r="N317" s="17">
        <f t="shared" si="53"/>
        <v>1.8399999999999999</v>
      </c>
      <c r="O317" s="17">
        <f t="shared" si="54"/>
        <v>2.1999999999999993</v>
      </c>
      <c r="P317" s="17">
        <f t="shared" si="55"/>
        <v>2.9099999999999993</v>
      </c>
      <c r="Q317" s="17">
        <f t="shared" si="56"/>
        <v>0.32759154811434649</v>
      </c>
      <c r="R317" s="17">
        <f t="shared" si="49"/>
        <v>-0.37351825129299465</v>
      </c>
      <c r="S317" s="17">
        <f t="shared" si="50"/>
        <v>-1.4857100151032256</v>
      </c>
      <c r="T317" s="17">
        <f t="shared" si="51"/>
        <v>-1.8491140074440287</v>
      </c>
      <c r="U317" s="16">
        <v>30</v>
      </c>
      <c r="V317" s="16">
        <v>37</v>
      </c>
      <c r="W317" s="16">
        <v>48</v>
      </c>
      <c r="X317" s="16">
        <v>51</v>
      </c>
      <c r="Y317" s="15">
        <v>0.52600000000000002</v>
      </c>
      <c r="Z317" s="15">
        <v>0.67800000000000005</v>
      </c>
      <c r="AA317" s="15">
        <v>0.84</v>
      </c>
      <c r="AB317" s="15">
        <v>0.95</v>
      </c>
      <c r="AC317" s="3">
        <f t="shared" si="57"/>
        <v>0.71055617010565464</v>
      </c>
      <c r="AD317" s="3">
        <f t="shared" si="58"/>
        <v>0.97876967638913714</v>
      </c>
      <c r="AE317" s="3">
        <f t="shared" si="59"/>
        <v>1.3228738606818942</v>
      </c>
      <c r="AF317" s="3">
        <f t="shared" si="60"/>
        <v>1.4237985515274552</v>
      </c>
    </row>
    <row r="318" spans="1:32" x14ac:dyDescent="0.2">
      <c r="A318" s="30">
        <v>316</v>
      </c>
      <c r="B318" s="9" t="s">
        <v>1084</v>
      </c>
      <c r="C318" s="12">
        <v>109037</v>
      </c>
      <c r="D318" s="13" t="s">
        <v>317</v>
      </c>
      <c r="E318" s="17">
        <v>-16.5095384623</v>
      </c>
      <c r="F318" s="17">
        <v>13.5516558972</v>
      </c>
      <c r="G318" s="14">
        <v>14</v>
      </c>
      <c r="H318" s="17">
        <v>24.56</v>
      </c>
      <c r="I318" s="17">
        <v>25.69</v>
      </c>
      <c r="J318" s="17">
        <v>26.72</v>
      </c>
      <c r="K318" s="17">
        <v>26.77</v>
      </c>
      <c r="L318" s="17">
        <v>27.77</v>
      </c>
      <c r="M318" s="17">
        <f t="shared" si="52"/>
        <v>1.1300000000000026</v>
      </c>
      <c r="N318" s="17">
        <f t="shared" si="53"/>
        <v>2.16</v>
      </c>
      <c r="O318" s="17">
        <f t="shared" si="54"/>
        <v>2.2100000000000009</v>
      </c>
      <c r="P318" s="17">
        <f t="shared" si="55"/>
        <v>3.2100000000000009</v>
      </c>
      <c r="Q318" s="17">
        <f t="shared" si="56"/>
        <v>0.32759154811434971</v>
      </c>
      <c r="R318" s="17">
        <f t="shared" si="49"/>
        <v>7.6996730817266879E-2</v>
      </c>
      <c r="S318" s="17">
        <f t="shared" si="50"/>
        <v>-1.4740974712668418</v>
      </c>
      <c r="T318" s="17">
        <f t="shared" si="51"/>
        <v>-1.5454614518923129</v>
      </c>
      <c r="U318" s="16">
        <v>0</v>
      </c>
      <c r="V318" s="16">
        <v>0</v>
      </c>
      <c r="W318" s="16">
        <v>0</v>
      </c>
      <c r="X318" s="16">
        <v>0</v>
      </c>
      <c r="Y318" s="15">
        <v>0.46200000000000002</v>
      </c>
      <c r="Z318" s="15">
        <v>0.58799999999999997</v>
      </c>
      <c r="AA318" s="15">
        <v>0.69799999999999995</v>
      </c>
      <c r="AB318" s="15">
        <v>0.79200000000000004</v>
      </c>
      <c r="AC318" s="3">
        <f t="shared" si="57"/>
        <v>0.11915289822332498</v>
      </c>
      <c r="AD318" s="3">
        <f t="shared" si="58"/>
        <v>0.1711623659513504</v>
      </c>
      <c r="AE318" s="3">
        <f t="shared" si="59"/>
        <v>0.15375263607656711</v>
      </c>
      <c r="AF318" s="3">
        <f t="shared" si="60"/>
        <v>0.12589901873750467</v>
      </c>
    </row>
    <row r="319" spans="1:32" x14ac:dyDescent="0.2">
      <c r="A319" s="30">
        <v>317</v>
      </c>
      <c r="B319" s="9" t="s">
        <v>1448</v>
      </c>
      <c r="C319" s="12">
        <v>109063</v>
      </c>
      <c r="D319" s="13" t="s">
        <v>318</v>
      </c>
      <c r="E319" s="17">
        <v>-110.489239746</v>
      </c>
      <c r="F319" s="17">
        <v>27.542795187999999</v>
      </c>
      <c r="G319" s="14">
        <v>826</v>
      </c>
      <c r="H319" s="17">
        <v>23.04</v>
      </c>
      <c r="I319" s="17">
        <v>24.52</v>
      </c>
      <c r="J319" s="17">
        <v>25.6</v>
      </c>
      <c r="K319" s="17">
        <v>26.75</v>
      </c>
      <c r="L319" s="17">
        <v>28.23</v>
      </c>
      <c r="M319" s="17">
        <f t="shared" si="52"/>
        <v>1.4800000000000004</v>
      </c>
      <c r="N319" s="17">
        <f t="shared" si="53"/>
        <v>2.5600000000000023</v>
      </c>
      <c r="O319" s="17">
        <f t="shared" si="54"/>
        <v>3.7100000000000009</v>
      </c>
      <c r="P319" s="17">
        <f t="shared" si="55"/>
        <v>5.1900000000000013</v>
      </c>
      <c r="Q319" s="17">
        <f t="shared" si="56"/>
        <v>0.75402088673262735</v>
      </c>
      <c r="R319" s="17">
        <f t="shared" si="49"/>
        <v>0.64014045845509626</v>
      </c>
      <c r="S319" s="17">
        <f t="shared" si="50"/>
        <v>0.26778410419046433</v>
      </c>
      <c r="T319" s="17">
        <f t="shared" si="51"/>
        <v>0.45864541474900122</v>
      </c>
      <c r="U319" s="16">
        <v>188</v>
      </c>
      <c r="V319" s="16">
        <v>206</v>
      </c>
      <c r="W319" s="16">
        <v>241</v>
      </c>
      <c r="X319" s="16">
        <v>257</v>
      </c>
      <c r="Y319" s="15">
        <v>0.51300000000000001</v>
      </c>
      <c r="Z319" s="15">
        <v>0.59799999999999998</v>
      </c>
      <c r="AA319" s="15">
        <v>0.71099999999999997</v>
      </c>
      <c r="AB319" s="15">
        <v>0.78500000000000003</v>
      </c>
      <c r="AC319" s="3">
        <f t="shared" si="57"/>
        <v>0.59042738050455634</v>
      </c>
      <c r="AD319" s="3">
        <f t="shared" si="58"/>
        <v>0.26089651155554894</v>
      </c>
      <c r="AE319" s="3">
        <f t="shared" si="59"/>
        <v>0.26078486086437885</v>
      </c>
      <c r="AF319" s="3">
        <f t="shared" si="60"/>
        <v>6.8397140702506798E-2</v>
      </c>
    </row>
    <row r="320" spans="1:32" x14ac:dyDescent="0.2">
      <c r="A320" s="30">
        <v>318</v>
      </c>
      <c r="B320" s="9" t="s">
        <v>815</v>
      </c>
      <c r="C320" s="12">
        <v>109065</v>
      </c>
      <c r="D320" s="13" t="s">
        <v>319</v>
      </c>
      <c r="E320" s="17">
        <v>-110.370486617</v>
      </c>
      <c r="F320" s="17">
        <v>24.165328307199999</v>
      </c>
      <c r="G320" s="14">
        <v>108</v>
      </c>
      <c r="H320" s="17">
        <v>23.39</v>
      </c>
      <c r="I320" s="17">
        <v>25.29</v>
      </c>
      <c r="J320" s="17">
        <v>26</v>
      </c>
      <c r="K320" s="17">
        <v>27.34</v>
      </c>
      <c r="L320" s="17">
        <v>28.57</v>
      </c>
      <c r="M320" s="17">
        <f t="shared" si="52"/>
        <v>1.8999999999999986</v>
      </c>
      <c r="N320" s="17">
        <f t="shared" si="53"/>
        <v>2.6099999999999994</v>
      </c>
      <c r="O320" s="17">
        <f t="shared" si="54"/>
        <v>3.9499999999999993</v>
      </c>
      <c r="P320" s="17">
        <f t="shared" si="55"/>
        <v>5.18</v>
      </c>
      <c r="Q320" s="17">
        <f t="shared" si="56"/>
        <v>1.2657360930745614</v>
      </c>
      <c r="R320" s="17">
        <f t="shared" si="49"/>
        <v>0.71053342440982059</v>
      </c>
      <c r="S320" s="17">
        <f t="shared" si="50"/>
        <v>0.54648515626363148</v>
      </c>
      <c r="T320" s="17">
        <f t="shared" si="51"/>
        <v>0.4485236628972758</v>
      </c>
      <c r="U320" s="16">
        <v>5</v>
      </c>
      <c r="V320" s="16">
        <v>6</v>
      </c>
      <c r="W320" s="16">
        <v>6</v>
      </c>
      <c r="X320" s="16">
        <v>6</v>
      </c>
      <c r="Y320" s="15">
        <v>0.51800000000000002</v>
      </c>
      <c r="Z320" s="15">
        <v>0.61950000000000005</v>
      </c>
      <c r="AA320" s="15">
        <v>0.73599999999999999</v>
      </c>
      <c r="AB320" s="15">
        <v>0.81299999999999994</v>
      </c>
      <c r="AC320" s="3">
        <f t="shared" si="57"/>
        <v>0.63663076112036332</v>
      </c>
      <c r="AD320" s="3">
        <f t="shared" si="58"/>
        <v>0.45382492460457624</v>
      </c>
      <c r="AE320" s="3">
        <f t="shared" si="59"/>
        <v>0.46661606237940134</v>
      </c>
      <c r="AF320" s="3">
        <f t="shared" si="60"/>
        <v>0.2984046528424974</v>
      </c>
    </row>
    <row r="321" spans="1:32" x14ac:dyDescent="0.2">
      <c r="A321" s="30">
        <v>319</v>
      </c>
      <c r="B321" s="9" t="s">
        <v>1449</v>
      </c>
      <c r="C321" s="12">
        <v>109070</v>
      </c>
      <c r="D321" s="13" t="s">
        <v>320</v>
      </c>
      <c r="E321" s="17">
        <v>-109.229545307</v>
      </c>
      <c r="F321" s="17">
        <v>26.217381026799998</v>
      </c>
      <c r="G321" s="14">
        <v>367</v>
      </c>
      <c r="H321" s="17">
        <v>23.56</v>
      </c>
      <c r="I321" s="17">
        <v>25.01</v>
      </c>
      <c r="J321" s="17">
        <v>25.91</v>
      </c>
      <c r="K321" s="17">
        <v>27.05</v>
      </c>
      <c r="L321" s="17">
        <v>28.53</v>
      </c>
      <c r="M321" s="17">
        <f t="shared" si="52"/>
        <v>1.4500000000000028</v>
      </c>
      <c r="N321" s="17">
        <f t="shared" si="53"/>
        <v>2.3500000000000014</v>
      </c>
      <c r="O321" s="17">
        <f t="shared" si="54"/>
        <v>3.490000000000002</v>
      </c>
      <c r="P321" s="17">
        <f t="shared" si="55"/>
        <v>4.9700000000000024</v>
      </c>
      <c r="Q321" s="17">
        <f t="shared" si="56"/>
        <v>0.71746980056534915</v>
      </c>
      <c r="R321" s="17">
        <f t="shared" si="49"/>
        <v>0.34449000144523623</v>
      </c>
      <c r="S321" s="17">
        <f t="shared" si="50"/>
        <v>1.2308139790060735E-2</v>
      </c>
      <c r="T321" s="17">
        <f t="shared" si="51"/>
        <v>0.2359668740110786</v>
      </c>
      <c r="U321" s="16">
        <v>42</v>
      </c>
      <c r="V321" s="16">
        <v>46</v>
      </c>
      <c r="W321" s="16">
        <v>52</v>
      </c>
      <c r="X321" s="16">
        <v>60</v>
      </c>
      <c r="Y321" s="15">
        <v>0.50900000000000001</v>
      </c>
      <c r="Z321" s="15">
        <v>0.60499999999999998</v>
      </c>
      <c r="AA321" s="15">
        <v>0.71599999999999997</v>
      </c>
      <c r="AB321" s="15">
        <v>0.79200000000000004</v>
      </c>
      <c r="AC321" s="3">
        <f t="shared" si="57"/>
        <v>0.55346467601191063</v>
      </c>
      <c r="AD321" s="3">
        <f t="shared" si="58"/>
        <v>0.32371041347848789</v>
      </c>
      <c r="AE321" s="3">
        <f t="shared" si="59"/>
        <v>0.30195110116738333</v>
      </c>
      <c r="AF321" s="3">
        <f t="shared" si="60"/>
        <v>0.12589901873750467</v>
      </c>
    </row>
    <row r="322" spans="1:32" x14ac:dyDescent="0.2">
      <c r="A322" s="30">
        <v>320</v>
      </c>
      <c r="B322" s="9" t="s">
        <v>816</v>
      </c>
      <c r="C322" s="12">
        <v>109071</v>
      </c>
      <c r="D322" s="13" t="s">
        <v>321</v>
      </c>
      <c r="E322" s="17">
        <v>-97.673616558299997</v>
      </c>
      <c r="F322" s="17">
        <v>15.9990013705</v>
      </c>
      <c r="G322" s="14">
        <v>73</v>
      </c>
      <c r="H322" s="17">
        <v>26.06</v>
      </c>
      <c r="I322" s="17">
        <v>27.26</v>
      </c>
      <c r="J322" s="17">
        <v>28.38</v>
      </c>
      <c r="K322" s="17">
        <v>29.94</v>
      </c>
      <c r="L322" s="17">
        <v>30.68</v>
      </c>
      <c r="M322" s="17">
        <f t="shared" si="52"/>
        <v>1.2000000000000028</v>
      </c>
      <c r="N322" s="17">
        <f t="shared" si="53"/>
        <v>2.3200000000000003</v>
      </c>
      <c r="O322" s="17">
        <f t="shared" si="54"/>
        <v>3.8800000000000026</v>
      </c>
      <c r="P322" s="17">
        <f t="shared" si="55"/>
        <v>4.620000000000001</v>
      </c>
      <c r="Q322" s="17">
        <f t="shared" si="56"/>
        <v>0.41287741583800613</v>
      </c>
      <c r="R322" s="17">
        <f t="shared" si="49"/>
        <v>0.30225422187239764</v>
      </c>
      <c r="S322" s="17">
        <f t="shared" si="50"/>
        <v>0.46519734940896101</v>
      </c>
      <c r="T322" s="17">
        <f t="shared" si="51"/>
        <v>-0.11829444079925605</v>
      </c>
      <c r="U322" s="16">
        <v>0</v>
      </c>
      <c r="V322" s="16">
        <v>0</v>
      </c>
      <c r="W322" s="16">
        <v>1</v>
      </c>
      <c r="X322" s="16">
        <v>1</v>
      </c>
      <c r="Y322" s="15">
        <v>0.70399999999999996</v>
      </c>
      <c r="Z322" s="15">
        <v>0.81399999999999995</v>
      </c>
      <c r="AA322" s="15">
        <v>0.94199999999999995</v>
      </c>
      <c r="AB322" s="15">
        <v>1.0189999999999999</v>
      </c>
      <c r="AC322" s="3">
        <f t="shared" si="57"/>
        <v>2.3553965200283833</v>
      </c>
      <c r="AD322" s="3">
        <f t="shared" si="58"/>
        <v>2.1991540566062353</v>
      </c>
      <c r="AE322" s="3">
        <f t="shared" si="59"/>
        <v>2.1626651628631852</v>
      </c>
      <c r="AF322" s="3">
        <f t="shared" si="60"/>
        <v>1.9906027778724333</v>
      </c>
    </row>
    <row r="323" spans="1:32" x14ac:dyDescent="0.2">
      <c r="A323" s="30">
        <v>321</v>
      </c>
      <c r="B323" s="9" t="s">
        <v>817</v>
      </c>
      <c r="C323" s="12">
        <v>109073</v>
      </c>
      <c r="D323" s="13" t="s">
        <v>322</v>
      </c>
      <c r="E323" s="17">
        <v>-93.837143081400001</v>
      </c>
      <c r="F323" s="17">
        <v>15.9893098947</v>
      </c>
      <c r="G323" s="14">
        <v>508</v>
      </c>
      <c r="H323" s="17">
        <v>27.01</v>
      </c>
      <c r="I323" s="17">
        <v>27.78</v>
      </c>
      <c r="J323" s="17">
        <v>28.76</v>
      </c>
      <c r="K323" s="17">
        <v>30.47</v>
      </c>
      <c r="L323" s="17">
        <v>31.15</v>
      </c>
      <c r="M323" s="17">
        <f t="shared" si="52"/>
        <v>0.76999999999999957</v>
      </c>
      <c r="N323" s="17">
        <f t="shared" si="53"/>
        <v>1.75</v>
      </c>
      <c r="O323" s="17">
        <f t="shared" si="54"/>
        <v>3.4599999999999973</v>
      </c>
      <c r="P323" s="17">
        <f t="shared" si="55"/>
        <v>4.139999999999997</v>
      </c>
      <c r="Q323" s="17">
        <f t="shared" si="56"/>
        <v>-0.11102148589302789</v>
      </c>
      <c r="R323" s="17">
        <f t="shared" ref="R323:R386" si="61">(N323-N$764)/N$767</f>
        <v>-0.50022559001150546</v>
      </c>
      <c r="S323" s="17">
        <f t="shared" ref="S323:S386" si="62">(O323-O$764)/O$767</f>
        <v>-2.2529491719090834E-2</v>
      </c>
      <c r="T323" s="17">
        <f t="shared" ref="T323:T386" si="63">(P323-P$764)/P$767</f>
        <v>-0.60413852968200277</v>
      </c>
      <c r="U323" s="16">
        <v>12</v>
      </c>
      <c r="V323" s="16">
        <v>12</v>
      </c>
      <c r="W323" s="16">
        <v>16</v>
      </c>
      <c r="X323" s="16">
        <v>17</v>
      </c>
      <c r="Y323" s="15">
        <v>0.55800000000000005</v>
      </c>
      <c r="Z323" s="15">
        <v>0.66400000000000003</v>
      </c>
      <c r="AA323" s="15">
        <v>0.79400000000000004</v>
      </c>
      <c r="AB323" s="15">
        <v>0.86799999999999999</v>
      </c>
      <c r="AC323" s="3">
        <f t="shared" si="57"/>
        <v>1.0062578060468197</v>
      </c>
      <c r="AD323" s="3">
        <f t="shared" si="58"/>
        <v>0.85314187254325924</v>
      </c>
      <c r="AE323" s="3">
        <f t="shared" si="59"/>
        <v>0.94414444989425361</v>
      </c>
      <c r="AF323" s="3">
        <f t="shared" si="60"/>
        <v>0.75020512311748078</v>
      </c>
    </row>
    <row r="324" spans="1:32" x14ac:dyDescent="0.2">
      <c r="A324" s="30">
        <v>322</v>
      </c>
      <c r="B324" s="9" t="s">
        <v>818</v>
      </c>
      <c r="C324" s="12">
        <v>109074</v>
      </c>
      <c r="D324" s="13" t="s">
        <v>323</v>
      </c>
      <c r="E324" s="17">
        <v>-106.991546269</v>
      </c>
      <c r="F324" s="17">
        <v>23.9483527288</v>
      </c>
      <c r="G324" s="14">
        <v>60</v>
      </c>
      <c r="H324" s="17">
        <v>23.92</v>
      </c>
      <c r="I324" s="17">
        <v>25.35</v>
      </c>
      <c r="J324" s="17">
        <v>25.87</v>
      </c>
      <c r="K324" s="17">
        <v>27.28</v>
      </c>
      <c r="L324" s="17">
        <v>28.57</v>
      </c>
      <c r="M324" s="17">
        <f t="shared" ref="M324:M387" si="64">I324-H324</f>
        <v>1.4299999999999997</v>
      </c>
      <c r="N324" s="17">
        <f t="shared" ref="N324:N387" si="65">J324-H324</f>
        <v>1.9499999999999993</v>
      </c>
      <c r="O324" s="17">
        <f t="shared" ref="O324:O387" si="66">K324-H324</f>
        <v>3.3599999999999994</v>
      </c>
      <c r="P324" s="17">
        <f t="shared" ref="P324:P387" si="67">L324-H324</f>
        <v>4.6499999999999986</v>
      </c>
      <c r="Q324" s="17">
        <f t="shared" ref="Q324:Q387" si="68">(M324-M$764)/M$767</f>
        <v>0.69310240978715787</v>
      </c>
      <c r="R324" s="17">
        <f t="shared" si="61"/>
        <v>-0.21865372619259321</v>
      </c>
      <c r="S324" s="17">
        <f t="shared" si="62"/>
        <v>-0.13865493008290877</v>
      </c>
      <c r="T324" s="17">
        <f t="shared" si="63"/>
        <v>-8.7929185244087077E-2</v>
      </c>
      <c r="U324" s="16">
        <v>1</v>
      </c>
      <c r="V324" s="16">
        <v>1</v>
      </c>
      <c r="W324" s="16">
        <v>1</v>
      </c>
      <c r="X324" s="16">
        <v>1</v>
      </c>
      <c r="Y324" s="15">
        <v>0.51400000000000001</v>
      </c>
      <c r="Z324" s="15">
        <v>0.61199999999999999</v>
      </c>
      <c r="AA324" s="15">
        <v>0.72599999999999998</v>
      </c>
      <c r="AB324" s="15">
        <v>0.80300000000000005</v>
      </c>
      <c r="AC324" s="3">
        <f t="shared" ref="AC324:AC387" si="69">(Y324-Y$764)/Y$767</f>
        <v>0.59966805662771772</v>
      </c>
      <c r="AD324" s="3">
        <f t="shared" ref="AD324:AD387" si="70">(Z324-Z$764)/Z$767</f>
        <v>0.38652431540142684</v>
      </c>
      <c r="AE324" s="3">
        <f t="shared" ref="AE324:AE387" si="71">(AA324-AA$764)/AA$767</f>
        <v>0.38428358177339234</v>
      </c>
      <c r="AF324" s="3">
        <f t="shared" ref="AF324:AF387" si="72">(AB324-AB$764)/AB$767</f>
        <v>0.21625911279250135</v>
      </c>
    </row>
    <row r="325" spans="1:32" x14ac:dyDescent="0.2">
      <c r="A325" s="30">
        <v>323</v>
      </c>
      <c r="B325" s="9" t="s">
        <v>1450</v>
      </c>
      <c r="C325" s="12">
        <v>109075</v>
      </c>
      <c r="D325" s="13" t="s">
        <v>324</v>
      </c>
      <c r="E325" s="17">
        <v>-105.499874697</v>
      </c>
      <c r="F325" s="17">
        <v>20.0238753615</v>
      </c>
      <c r="G325" s="14">
        <v>18</v>
      </c>
      <c r="H325" s="17">
        <v>25.06</v>
      </c>
      <c r="I325" s="17">
        <v>26.26</v>
      </c>
      <c r="J325" s="17">
        <v>26.88</v>
      </c>
      <c r="K325" s="17">
        <v>28.49</v>
      </c>
      <c r="L325" s="17">
        <v>29.54</v>
      </c>
      <c r="M325" s="17">
        <f t="shared" si="64"/>
        <v>1.2000000000000028</v>
      </c>
      <c r="N325" s="17">
        <f t="shared" si="65"/>
        <v>1.8200000000000003</v>
      </c>
      <c r="O325" s="17">
        <f t="shared" si="66"/>
        <v>3.4299999999999997</v>
      </c>
      <c r="P325" s="17">
        <f t="shared" si="67"/>
        <v>4.4800000000000004</v>
      </c>
      <c r="Q325" s="17">
        <f t="shared" si="68"/>
        <v>0.41287741583800613</v>
      </c>
      <c r="R325" s="17">
        <f t="shared" si="61"/>
        <v>-0.40167543767488539</v>
      </c>
      <c r="S325" s="17">
        <f t="shared" si="62"/>
        <v>-5.7367123228234153E-2</v>
      </c>
      <c r="T325" s="17">
        <f t="shared" si="63"/>
        <v>-0.2599989667233899</v>
      </c>
      <c r="U325" s="16">
        <v>1</v>
      </c>
      <c r="V325" s="16">
        <v>1</v>
      </c>
      <c r="W325" s="16">
        <v>2</v>
      </c>
      <c r="X325" s="16">
        <v>2</v>
      </c>
      <c r="Y325" s="15">
        <v>0.61</v>
      </c>
      <c r="Z325" s="15">
        <v>0.71399999999999997</v>
      </c>
      <c r="AA325" s="15">
        <v>0.83299999999999996</v>
      </c>
      <c r="AB325" s="15">
        <v>0.90800000000000003</v>
      </c>
      <c r="AC325" s="3">
        <f t="shared" si="69"/>
        <v>1.486772964451212</v>
      </c>
      <c r="AD325" s="3">
        <f t="shared" si="70"/>
        <v>1.301812600564251</v>
      </c>
      <c r="AE325" s="3">
        <f t="shared" si="71"/>
        <v>1.2652411242576878</v>
      </c>
      <c r="AF325" s="3">
        <f t="shared" si="72"/>
        <v>1.0787872833174688</v>
      </c>
    </row>
    <row r="326" spans="1:32" x14ac:dyDescent="0.2">
      <c r="A326" s="30">
        <v>324</v>
      </c>
      <c r="B326" s="9" t="s">
        <v>819</v>
      </c>
      <c r="C326" s="12">
        <v>109076</v>
      </c>
      <c r="D326" s="13" t="s">
        <v>325</v>
      </c>
      <c r="E326" s="17">
        <v>-108.81155654200001</v>
      </c>
      <c r="F326" s="17">
        <v>25.482007095699998</v>
      </c>
      <c r="G326" s="14">
        <v>954</v>
      </c>
      <c r="H326" s="17">
        <v>23.88</v>
      </c>
      <c r="I326" s="17">
        <v>25.25</v>
      </c>
      <c r="J326" s="17">
        <v>26.04</v>
      </c>
      <c r="K326" s="17">
        <v>27.28</v>
      </c>
      <c r="L326" s="17">
        <v>28.61</v>
      </c>
      <c r="M326" s="17">
        <f t="shared" si="64"/>
        <v>1.370000000000001</v>
      </c>
      <c r="N326" s="17">
        <f t="shared" si="65"/>
        <v>2.16</v>
      </c>
      <c r="O326" s="17">
        <f t="shared" si="66"/>
        <v>3.4000000000000021</v>
      </c>
      <c r="P326" s="17">
        <f t="shared" si="67"/>
        <v>4.7300000000000004</v>
      </c>
      <c r="Q326" s="17">
        <f t="shared" si="68"/>
        <v>0.62000023745259714</v>
      </c>
      <c r="R326" s="17">
        <f t="shared" si="61"/>
        <v>7.6996730817266879E-2</v>
      </c>
      <c r="S326" s="17">
        <f t="shared" si="62"/>
        <v>-9.2204754737377465E-2</v>
      </c>
      <c r="T326" s="17">
        <f t="shared" si="63"/>
        <v>-6.9551704302947522E-3</v>
      </c>
      <c r="U326" s="16">
        <v>36</v>
      </c>
      <c r="V326" s="16">
        <v>38</v>
      </c>
      <c r="W326" s="16">
        <v>52</v>
      </c>
      <c r="X326" s="16">
        <v>56</v>
      </c>
      <c r="Y326" s="15">
        <v>0.51200000000000001</v>
      </c>
      <c r="Z326" s="15">
        <v>0.61</v>
      </c>
      <c r="AA326" s="15">
        <v>0.72399999999999998</v>
      </c>
      <c r="AB326" s="15">
        <v>0.8</v>
      </c>
      <c r="AC326" s="3">
        <f t="shared" si="69"/>
        <v>0.58118670438139486</v>
      </c>
      <c r="AD326" s="3">
        <f t="shared" si="70"/>
        <v>0.36857748628058717</v>
      </c>
      <c r="AE326" s="3">
        <f t="shared" si="71"/>
        <v>0.36781708565219057</v>
      </c>
      <c r="AF326" s="3">
        <f t="shared" si="72"/>
        <v>0.19161545077750225</v>
      </c>
    </row>
    <row r="327" spans="1:32" x14ac:dyDescent="0.2">
      <c r="A327" s="30">
        <v>325</v>
      </c>
      <c r="B327" s="9" t="s">
        <v>1451</v>
      </c>
      <c r="C327" s="12">
        <v>109077</v>
      </c>
      <c r="D327" s="13" t="s">
        <v>326</v>
      </c>
      <c r="E327" s="17">
        <v>-109.783648176</v>
      </c>
      <c r="F327" s="17">
        <v>23.251650094799999</v>
      </c>
      <c r="G327" s="14">
        <v>6</v>
      </c>
      <c r="H327" s="17">
        <v>22.58</v>
      </c>
      <c r="I327" s="17">
        <v>24.06</v>
      </c>
      <c r="J327" s="17">
        <v>24.76</v>
      </c>
      <c r="K327" s="17">
        <v>26.13</v>
      </c>
      <c r="L327" s="17">
        <v>27.49</v>
      </c>
      <c r="M327" s="17">
        <f t="shared" si="64"/>
        <v>1.4800000000000004</v>
      </c>
      <c r="N327" s="17">
        <f t="shared" si="65"/>
        <v>2.1800000000000033</v>
      </c>
      <c r="O327" s="17">
        <f t="shared" si="66"/>
        <v>3.5500000000000007</v>
      </c>
      <c r="P327" s="17">
        <f t="shared" si="67"/>
        <v>4.91</v>
      </c>
      <c r="Q327" s="17">
        <f t="shared" si="68"/>
        <v>0.75402088673262735</v>
      </c>
      <c r="R327" s="17">
        <f t="shared" si="61"/>
        <v>0.1051539171991626</v>
      </c>
      <c r="S327" s="17">
        <f t="shared" si="62"/>
        <v>8.1983402808351494E-2</v>
      </c>
      <c r="T327" s="17">
        <f t="shared" si="63"/>
        <v>0.17523636290073347</v>
      </c>
      <c r="U327" s="16">
        <v>0</v>
      </c>
      <c r="V327" s="16">
        <v>0</v>
      </c>
      <c r="W327" s="16">
        <v>0</v>
      </c>
      <c r="X327" s="16">
        <v>0</v>
      </c>
      <c r="Y327" s="15">
        <v>0.48299999999999998</v>
      </c>
      <c r="Z327" s="15">
        <v>0.58599999999999997</v>
      </c>
      <c r="AA327" s="15">
        <v>0.70399999999999996</v>
      </c>
      <c r="AB327" s="15">
        <v>0.78200000000000003</v>
      </c>
      <c r="AC327" s="3">
        <f t="shared" si="69"/>
        <v>0.31320709680971404</v>
      </c>
      <c r="AD327" s="3">
        <f t="shared" si="70"/>
        <v>0.1532155368305107</v>
      </c>
      <c r="AE327" s="3">
        <f t="shared" si="71"/>
        <v>0.20315212444017253</v>
      </c>
      <c r="AF327" s="3">
        <f t="shared" si="72"/>
        <v>4.3753478687507709E-2</v>
      </c>
    </row>
    <row r="328" spans="1:32" x14ac:dyDescent="0.2">
      <c r="A328" s="30">
        <v>326</v>
      </c>
      <c r="B328" s="9" t="s">
        <v>820</v>
      </c>
      <c r="C328" s="12">
        <v>109083</v>
      </c>
      <c r="D328" s="13" t="s">
        <v>327</v>
      </c>
      <c r="E328" s="17">
        <v>-80.8815419198</v>
      </c>
      <c r="F328" s="17">
        <v>-5.50954747743</v>
      </c>
      <c r="G328" s="14">
        <v>17</v>
      </c>
      <c r="H328" s="17">
        <v>23.3</v>
      </c>
      <c r="I328" s="17">
        <v>23.62</v>
      </c>
      <c r="J328" s="17">
        <v>25.31</v>
      </c>
      <c r="K328" s="17">
        <v>26.64</v>
      </c>
      <c r="L328" s="17">
        <v>27.13</v>
      </c>
      <c r="M328" s="17">
        <f t="shared" si="64"/>
        <v>0.32000000000000028</v>
      </c>
      <c r="N328" s="17">
        <f t="shared" si="65"/>
        <v>2.009999999999998</v>
      </c>
      <c r="O328" s="17">
        <f t="shared" si="66"/>
        <v>3.34</v>
      </c>
      <c r="P328" s="17">
        <f t="shared" si="67"/>
        <v>3.8299999999999983</v>
      </c>
      <c r="Q328" s="17">
        <f t="shared" si="68"/>
        <v>-0.65928777840224451</v>
      </c>
      <c r="R328" s="17">
        <f t="shared" si="61"/>
        <v>-0.13418216704692104</v>
      </c>
      <c r="S328" s="17">
        <f t="shared" si="62"/>
        <v>-0.16188001775567235</v>
      </c>
      <c r="T328" s="17">
        <f t="shared" si="63"/>
        <v>-0.91791283708543947</v>
      </c>
      <c r="U328" s="16">
        <v>0</v>
      </c>
      <c r="V328" s="16">
        <v>0</v>
      </c>
      <c r="W328" s="16">
        <v>0</v>
      </c>
      <c r="X328" s="16">
        <v>0</v>
      </c>
      <c r="Y328" s="15">
        <v>0.42499999999999999</v>
      </c>
      <c r="Z328" s="15">
        <v>0.53300000000000003</v>
      </c>
      <c r="AA328" s="15">
        <v>0.67800000000000005</v>
      </c>
      <c r="AB328" s="15">
        <v>0.752</v>
      </c>
      <c r="AC328" s="3">
        <f t="shared" si="69"/>
        <v>-0.22275211833364714</v>
      </c>
      <c r="AD328" s="3">
        <f t="shared" si="70"/>
        <v>-0.32237543487174053</v>
      </c>
      <c r="AE328" s="3">
        <f t="shared" si="71"/>
        <v>-1.0912325135449989E-2</v>
      </c>
      <c r="AF328" s="3">
        <f t="shared" si="72"/>
        <v>-0.20268314146248323</v>
      </c>
    </row>
    <row r="329" spans="1:32" x14ac:dyDescent="0.2">
      <c r="A329" s="30">
        <v>327</v>
      </c>
      <c r="B329" s="9" t="s">
        <v>1085</v>
      </c>
      <c r="C329" s="12">
        <v>109098</v>
      </c>
      <c r="D329" s="13" t="s">
        <v>328</v>
      </c>
      <c r="E329" s="17">
        <v>35.637493939400002</v>
      </c>
      <c r="F329" s="17">
        <v>36.674342138999997</v>
      </c>
      <c r="G329" s="14">
        <v>248</v>
      </c>
      <c r="H329" s="17">
        <v>19.88</v>
      </c>
      <c r="I329" s="17">
        <v>22.1</v>
      </c>
      <c r="J329" s="17">
        <v>22</v>
      </c>
      <c r="K329" s="17">
        <v>23.25</v>
      </c>
      <c r="L329" s="17">
        <v>25.16</v>
      </c>
      <c r="M329" s="17">
        <f t="shared" si="64"/>
        <v>2.2200000000000024</v>
      </c>
      <c r="N329" s="17">
        <f t="shared" si="65"/>
        <v>2.120000000000001</v>
      </c>
      <c r="O329" s="17">
        <f t="shared" si="66"/>
        <v>3.370000000000001</v>
      </c>
      <c r="P329" s="17">
        <f t="shared" si="67"/>
        <v>5.2800000000000011</v>
      </c>
      <c r="Q329" s="17">
        <f t="shared" si="68"/>
        <v>1.6556143455255652</v>
      </c>
      <c r="R329" s="17">
        <f t="shared" si="61"/>
        <v>2.0682358053485429E-2</v>
      </c>
      <c r="S329" s="17">
        <f t="shared" si="62"/>
        <v>-0.12704238624652492</v>
      </c>
      <c r="T329" s="17">
        <f t="shared" si="63"/>
        <v>0.54974118141451533</v>
      </c>
      <c r="U329" s="16">
        <v>29</v>
      </c>
      <c r="V329" s="16">
        <v>36</v>
      </c>
      <c r="W329" s="16">
        <v>36</v>
      </c>
      <c r="X329" s="16">
        <v>38</v>
      </c>
      <c r="Y329" s="15">
        <v>0.40699999999999997</v>
      </c>
      <c r="Z329" s="15">
        <v>0.51900000000000002</v>
      </c>
      <c r="AA329" s="15">
        <v>0.63200000000000001</v>
      </c>
      <c r="AB329" s="15">
        <v>0.73799999999999999</v>
      </c>
      <c r="AC329" s="3">
        <f t="shared" si="69"/>
        <v>-0.38908428855055249</v>
      </c>
      <c r="AD329" s="3">
        <f t="shared" si="70"/>
        <v>-0.44800323871761849</v>
      </c>
      <c r="AE329" s="3">
        <f t="shared" si="71"/>
        <v>-0.38964173592309143</v>
      </c>
      <c r="AF329" s="3">
        <f t="shared" si="72"/>
        <v>-0.31768689753247897</v>
      </c>
    </row>
    <row r="330" spans="1:32" x14ac:dyDescent="0.2">
      <c r="A330" s="30">
        <v>328</v>
      </c>
      <c r="B330" s="9" t="s">
        <v>821</v>
      </c>
      <c r="C330" s="12">
        <v>124383</v>
      </c>
      <c r="D330" s="13" t="s">
        <v>329</v>
      </c>
      <c r="E330" s="17">
        <v>-88.009531932300007</v>
      </c>
      <c r="F330" s="17">
        <v>16.8316381932</v>
      </c>
      <c r="G330" s="14">
        <v>1586</v>
      </c>
      <c r="H330" s="17">
        <v>24.91</v>
      </c>
      <c r="I330" s="17">
        <v>25.45</v>
      </c>
      <c r="J330" s="17">
        <v>26.73</v>
      </c>
      <c r="K330" s="17">
        <v>27.88</v>
      </c>
      <c r="L330" s="17">
        <v>28.96</v>
      </c>
      <c r="M330" s="17">
        <f t="shared" si="64"/>
        <v>0.53999999999999915</v>
      </c>
      <c r="N330" s="17">
        <f t="shared" si="65"/>
        <v>1.8200000000000003</v>
      </c>
      <c r="O330" s="17">
        <f t="shared" si="66"/>
        <v>2.9699999999999989</v>
      </c>
      <c r="P330" s="17">
        <f t="shared" si="67"/>
        <v>4.0500000000000007</v>
      </c>
      <c r="Q330" s="17">
        <f t="shared" si="68"/>
        <v>-0.39124647984218397</v>
      </c>
      <c r="R330" s="17">
        <f t="shared" si="61"/>
        <v>-0.40167543767488539</v>
      </c>
      <c r="S330" s="17">
        <f t="shared" si="62"/>
        <v>-0.59154413970180908</v>
      </c>
      <c r="T330" s="17">
        <f t="shared" si="63"/>
        <v>-0.69523429634751333</v>
      </c>
      <c r="U330" s="16">
        <v>45</v>
      </c>
      <c r="V330" s="16">
        <v>48</v>
      </c>
      <c r="W330" s="16">
        <v>65</v>
      </c>
      <c r="X330" s="16">
        <v>67</v>
      </c>
      <c r="Y330" s="15">
        <v>0.80100000000000005</v>
      </c>
      <c r="Z330" s="15">
        <v>0.93</v>
      </c>
      <c r="AA330" s="15">
        <v>1.05</v>
      </c>
      <c r="AB330" s="15">
        <v>1.1419999999999999</v>
      </c>
      <c r="AC330" s="3">
        <f t="shared" si="69"/>
        <v>3.2517421039750398</v>
      </c>
      <c r="AD330" s="3">
        <f t="shared" si="70"/>
        <v>3.2400701456149381</v>
      </c>
      <c r="AE330" s="3">
        <f t="shared" si="71"/>
        <v>3.0518559534080825</v>
      </c>
      <c r="AF330" s="3">
        <f t="shared" si="72"/>
        <v>3.0009929204873953</v>
      </c>
    </row>
    <row r="331" spans="1:32" x14ac:dyDescent="0.2">
      <c r="A331" s="30">
        <v>329</v>
      </c>
      <c r="B331" s="9" t="s">
        <v>1314</v>
      </c>
      <c r="C331" s="12">
        <v>124387</v>
      </c>
      <c r="D331" s="13" t="s">
        <v>330</v>
      </c>
      <c r="E331" s="17">
        <v>159.04649675300001</v>
      </c>
      <c r="F331" s="17">
        <v>54.585857916899997</v>
      </c>
      <c r="G331" s="14">
        <v>5235</v>
      </c>
      <c r="H331" s="17">
        <v>1.77</v>
      </c>
      <c r="I331" s="17">
        <v>3.32</v>
      </c>
      <c r="J331" s="17">
        <v>4.16</v>
      </c>
      <c r="K331" s="17">
        <v>5.65</v>
      </c>
      <c r="L331" s="17">
        <v>7.52</v>
      </c>
      <c r="M331" s="17">
        <f t="shared" si="64"/>
        <v>1.5499999999999998</v>
      </c>
      <c r="N331" s="17">
        <f t="shared" si="65"/>
        <v>2.39</v>
      </c>
      <c r="O331" s="17">
        <f t="shared" si="66"/>
        <v>3.8800000000000003</v>
      </c>
      <c r="P331" s="17">
        <f t="shared" si="67"/>
        <v>5.75</v>
      </c>
      <c r="Q331" s="17">
        <f t="shared" si="68"/>
        <v>0.83930675445628267</v>
      </c>
      <c r="R331" s="17">
        <f t="shared" si="61"/>
        <v>0.40080437420901704</v>
      </c>
      <c r="S331" s="17">
        <f t="shared" si="62"/>
        <v>0.4651973494089584</v>
      </c>
      <c r="T331" s="17">
        <f t="shared" si="63"/>
        <v>1.025463518445533</v>
      </c>
      <c r="U331" s="16">
        <v>25</v>
      </c>
      <c r="V331" s="16">
        <v>33</v>
      </c>
      <c r="W331" s="16">
        <v>37</v>
      </c>
      <c r="X331" s="16">
        <v>38</v>
      </c>
      <c r="Y331" s="15">
        <v>0.36799999999999999</v>
      </c>
      <c r="Z331" s="15">
        <v>0.47399999999999998</v>
      </c>
      <c r="AA331" s="15">
        <v>0.58399999999999996</v>
      </c>
      <c r="AB331" s="15">
        <v>0.68400000000000005</v>
      </c>
      <c r="AC331" s="3">
        <f t="shared" si="69"/>
        <v>-0.74947065735384688</v>
      </c>
      <c r="AD331" s="3">
        <f t="shared" si="70"/>
        <v>-0.85180689393651188</v>
      </c>
      <c r="AE331" s="3">
        <f t="shared" si="71"/>
        <v>-0.78483764283193469</v>
      </c>
      <c r="AF331" s="3">
        <f t="shared" si="72"/>
        <v>-0.7612728138024617</v>
      </c>
    </row>
    <row r="332" spans="1:32" x14ac:dyDescent="0.2">
      <c r="A332" s="30">
        <v>330</v>
      </c>
      <c r="B332" s="9" t="s">
        <v>1086</v>
      </c>
      <c r="C332" s="12">
        <v>127842</v>
      </c>
      <c r="D332" s="13" t="s">
        <v>331</v>
      </c>
      <c r="E332" s="17">
        <v>4.2426264626599997</v>
      </c>
      <c r="F332" s="17">
        <v>43.579132960199999</v>
      </c>
      <c r="G332" s="14">
        <v>276</v>
      </c>
      <c r="H332" s="17">
        <v>15.16</v>
      </c>
      <c r="I332" s="17">
        <v>15.43</v>
      </c>
      <c r="J332" s="17">
        <v>17.34</v>
      </c>
      <c r="K332" s="17">
        <v>19.13</v>
      </c>
      <c r="L332" s="17">
        <v>20.74</v>
      </c>
      <c r="M332" s="17">
        <f t="shared" si="64"/>
        <v>0.26999999999999957</v>
      </c>
      <c r="N332" s="17">
        <f t="shared" si="65"/>
        <v>2.1799999999999997</v>
      </c>
      <c r="O332" s="17">
        <f t="shared" si="66"/>
        <v>3.9699999999999989</v>
      </c>
      <c r="P332" s="17">
        <f t="shared" si="67"/>
        <v>5.5799999999999983</v>
      </c>
      <c r="Q332" s="17">
        <f t="shared" si="68"/>
        <v>-0.72020625534771399</v>
      </c>
      <c r="R332" s="17">
        <f t="shared" si="61"/>
        <v>0.10515391719915759</v>
      </c>
      <c r="S332" s="17">
        <f t="shared" si="62"/>
        <v>0.56971024393639502</v>
      </c>
      <c r="T332" s="17">
        <f t="shared" si="63"/>
        <v>0.85339373696622667</v>
      </c>
      <c r="U332" s="16">
        <v>77</v>
      </c>
      <c r="V332" s="16">
        <v>83</v>
      </c>
      <c r="W332" s="16">
        <v>83</v>
      </c>
      <c r="X332" s="16">
        <v>86</v>
      </c>
      <c r="Y332" s="15">
        <v>0.41699999999999998</v>
      </c>
      <c r="Z332" s="15">
        <v>0.53200000000000003</v>
      </c>
      <c r="AA332" s="15">
        <v>0.63</v>
      </c>
      <c r="AB332" s="15">
        <v>0.71799999999999997</v>
      </c>
      <c r="AC332" s="3">
        <f t="shared" si="69"/>
        <v>-0.29667752731893843</v>
      </c>
      <c r="AD332" s="3">
        <f t="shared" si="70"/>
        <v>-0.33134884943216036</v>
      </c>
      <c r="AE332" s="3">
        <f t="shared" si="71"/>
        <v>-0.40610823204429325</v>
      </c>
      <c r="AF332" s="3">
        <f t="shared" si="72"/>
        <v>-0.48197797763247291</v>
      </c>
    </row>
    <row r="333" spans="1:32" x14ac:dyDescent="0.2">
      <c r="A333" s="30">
        <v>331</v>
      </c>
      <c r="B333" s="9" t="s">
        <v>1087</v>
      </c>
      <c r="C333" s="12">
        <v>127847</v>
      </c>
      <c r="D333" s="13" t="s">
        <v>332</v>
      </c>
      <c r="E333" s="17">
        <v>-6.8021160086499997</v>
      </c>
      <c r="F333" s="17">
        <v>52.230100847899998</v>
      </c>
      <c r="G333" s="14">
        <v>20</v>
      </c>
      <c r="H333" s="17">
        <v>10.220000000000001</v>
      </c>
      <c r="I333" s="17">
        <v>9.98</v>
      </c>
      <c r="J333" s="17">
        <v>11.27</v>
      </c>
      <c r="K333" s="17">
        <v>12.71</v>
      </c>
      <c r="L333" s="17">
        <v>13.94</v>
      </c>
      <c r="M333" s="17">
        <f t="shared" si="64"/>
        <v>-0.24000000000000021</v>
      </c>
      <c r="N333" s="17">
        <f t="shared" si="65"/>
        <v>1.0499999999999989</v>
      </c>
      <c r="O333" s="17">
        <f t="shared" si="66"/>
        <v>2.4900000000000002</v>
      </c>
      <c r="P333" s="17">
        <f t="shared" si="67"/>
        <v>3.7199999999999989</v>
      </c>
      <c r="Q333" s="17">
        <f t="shared" si="68"/>
        <v>-1.3415747201914936</v>
      </c>
      <c r="R333" s="17">
        <f t="shared" si="61"/>
        <v>-1.4857271133777032</v>
      </c>
      <c r="S333" s="17">
        <f t="shared" si="62"/>
        <v>-1.1489462438481455</v>
      </c>
      <c r="T333" s="17">
        <f t="shared" si="63"/>
        <v>-1.0292521074544008</v>
      </c>
      <c r="U333" s="16">
        <v>1</v>
      </c>
      <c r="V333" s="16">
        <v>1</v>
      </c>
      <c r="W333" s="16">
        <v>1</v>
      </c>
      <c r="X333" s="16">
        <v>1</v>
      </c>
      <c r="Y333" s="15">
        <v>0.47199999999999998</v>
      </c>
      <c r="Z333" s="15">
        <v>0.58599999999999997</v>
      </c>
      <c r="AA333" s="15">
        <v>0.67200000000000004</v>
      </c>
      <c r="AB333" s="15">
        <v>0.76600000000000001</v>
      </c>
      <c r="AC333" s="3">
        <f t="shared" si="69"/>
        <v>0.21155965945493854</v>
      </c>
      <c r="AD333" s="3">
        <f t="shared" si="70"/>
        <v>0.1532155368305107</v>
      </c>
      <c r="AE333" s="3">
        <f t="shared" si="71"/>
        <v>-6.0311813499055393E-2</v>
      </c>
      <c r="AF333" s="3">
        <f t="shared" si="72"/>
        <v>-8.7679385392487458E-2</v>
      </c>
    </row>
    <row r="334" spans="1:32" x14ac:dyDescent="0.2">
      <c r="A334" s="30">
        <v>332</v>
      </c>
      <c r="B334" s="9" t="s">
        <v>1088</v>
      </c>
      <c r="C334" s="12">
        <v>127848</v>
      </c>
      <c r="D334" s="13" t="s">
        <v>333</v>
      </c>
      <c r="E334" s="17">
        <v>-9.9391488386300004</v>
      </c>
      <c r="F334" s="17">
        <v>54.176001376899997</v>
      </c>
      <c r="G334" s="14">
        <v>163</v>
      </c>
      <c r="H334" s="17">
        <v>10.87</v>
      </c>
      <c r="I334" s="17">
        <v>10.49</v>
      </c>
      <c r="J334" s="17">
        <v>11.79</v>
      </c>
      <c r="K334" s="17">
        <v>12.69</v>
      </c>
      <c r="L334" s="17">
        <v>13.8</v>
      </c>
      <c r="M334" s="17">
        <f t="shared" si="64"/>
        <v>-0.37999999999999901</v>
      </c>
      <c r="N334" s="17">
        <f t="shared" si="65"/>
        <v>0.91999999999999993</v>
      </c>
      <c r="O334" s="17">
        <f t="shared" si="66"/>
        <v>1.8200000000000003</v>
      </c>
      <c r="P334" s="17">
        <f t="shared" si="67"/>
        <v>2.9300000000000015</v>
      </c>
      <c r="Q334" s="17">
        <f t="shared" si="68"/>
        <v>-1.512146455638804</v>
      </c>
      <c r="R334" s="17">
        <f t="shared" si="61"/>
        <v>-1.6687488248599953</v>
      </c>
      <c r="S334" s="17">
        <f t="shared" si="62"/>
        <v>-1.9269866808857421</v>
      </c>
      <c r="T334" s="17">
        <f t="shared" si="63"/>
        <v>-1.8288705037405788</v>
      </c>
      <c r="U334" s="16">
        <v>6</v>
      </c>
      <c r="V334" s="16">
        <v>8</v>
      </c>
      <c r="W334" s="16">
        <v>8</v>
      </c>
      <c r="X334" s="16">
        <v>9</v>
      </c>
      <c r="Y334" s="15">
        <v>0.38800000000000001</v>
      </c>
      <c r="Z334" s="15">
        <v>0.5</v>
      </c>
      <c r="AA334" s="15">
        <v>0.56999999999999995</v>
      </c>
      <c r="AB334" s="15">
        <v>0.67400000000000004</v>
      </c>
      <c r="AC334" s="3">
        <f t="shared" si="69"/>
        <v>-0.56465713489061875</v>
      </c>
      <c r="AD334" s="3">
        <f t="shared" si="70"/>
        <v>-0.61849811536559574</v>
      </c>
      <c r="AE334" s="3">
        <f t="shared" si="71"/>
        <v>-0.90010311568034729</v>
      </c>
      <c r="AF334" s="3">
        <f t="shared" si="72"/>
        <v>-0.84341835385245867</v>
      </c>
    </row>
    <row r="335" spans="1:32" x14ac:dyDescent="0.2">
      <c r="A335" s="30">
        <v>333</v>
      </c>
      <c r="B335" s="9" t="s">
        <v>1089</v>
      </c>
      <c r="C335" s="12">
        <v>127850</v>
      </c>
      <c r="D335" s="13" t="s">
        <v>334</v>
      </c>
      <c r="E335" s="17">
        <v>-6.1655962657599996</v>
      </c>
      <c r="F335" s="17">
        <v>53.4652004824</v>
      </c>
      <c r="G335" s="14">
        <v>11</v>
      </c>
      <c r="H335" s="17">
        <v>9.26</v>
      </c>
      <c r="I335" s="17">
        <v>9.02</v>
      </c>
      <c r="J335" s="17">
        <v>10.41</v>
      </c>
      <c r="K335" s="17">
        <v>11.89</v>
      </c>
      <c r="L335" s="17">
        <v>12.95</v>
      </c>
      <c r="M335" s="17">
        <f t="shared" si="64"/>
        <v>-0.24000000000000021</v>
      </c>
      <c r="N335" s="17">
        <f t="shared" si="65"/>
        <v>1.1500000000000004</v>
      </c>
      <c r="O335" s="17">
        <f t="shared" si="66"/>
        <v>2.6300000000000008</v>
      </c>
      <c r="P335" s="17">
        <f t="shared" si="67"/>
        <v>3.6899999999999995</v>
      </c>
      <c r="Q335" s="17">
        <f t="shared" si="68"/>
        <v>-1.3415747201914936</v>
      </c>
      <c r="R335" s="17">
        <f t="shared" si="61"/>
        <v>-1.3449411814682446</v>
      </c>
      <c r="S335" s="17">
        <f t="shared" si="62"/>
        <v>-0.98637063013879622</v>
      </c>
      <c r="T335" s="17">
        <f t="shared" si="63"/>
        <v>-1.0596173630095715</v>
      </c>
      <c r="U335" s="16">
        <v>0</v>
      </c>
      <c r="V335" s="16">
        <v>0</v>
      </c>
      <c r="W335" s="16">
        <v>0</v>
      </c>
      <c r="X335" s="16">
        <v>0</v>
      </c>
      <c r="Y335" s="15">
        <v>0.41499999999999998</v>
      </c>
      <c r="Z335" s="15">
        <v>0.52849999999999997</v>
      </c>
      <c r="AA335" s="15">
        <v>0.61099999999999999</v>
      </c>
      <c r="AB335" s="15">
        <v>0.70550000000000002</v>
      </c>
      <c r="AC335" s="3">
        <f t="shared" si="69"/>
        <v>-0.31515887956526123</v>
      </c>
      <c r="AD335" s="3">
        <f t="shared" si="70"/>
        <v>-0.36275580039363037</v>
      </c>
      <c r="AE335" s="3">
        <f t="shared" si="71"/>
        <v>-0.56253994519571038</v>
      </c>
      <c r="AF335" s="3">
        <f t="shared" si="72"/>
        <v>-0.5846599026949687</v>
      </c>
    </row>
    <row r="336" spans="1:32" x14ac:dyDescent="0.2">
      <c r="A336" s="30">
        <v>334</v>
      </c>
      <c r="B336" s="9" t="s">
        <v>1090</v>
      </c>
      <c r="C336" s="12">
        <v>127851</v>
      </c>
      <c r="D336" s="13" t="s">
        <v>335</v>
      </c>
      <c r="E336" s="17">
        <v>-8.2879940806099999</v>
      </c>
      <c r="F336" s="17">
        <v>51.875597777400003</v>
      </c>
      <c r="G336" s="14">
        <v>54</v>
      </c>
      <c r="H336" s="17">
        <v>9.82</v>
      </c>
      <c r="I336" s="17">
        <v>9.5500000000000007</v>
      </c>
      <c r="J336" s="17">
        <v>10.93</v>
      </c>
      <c r="K336" s="17">
        <v>12.14</v>
      </c>
      <c r="L336" s="17">
        <v>13.42</v>
      </c>
      <c r="M336" s="17">
        <f t="shared" si="64"/>
        <v>-0.26999999999999957</v>
      </c>
      <c r="N336" s="17">
        <f t="shared" si="65"/>
        <v>1.1099999999999994</v>
      </c>
      <c r="O336" s="17">
        <f t="shared" si="66"/>
        <v>2.3200000000000003</v>
      </c>
      <c r="P336" s="17">
        <f t="shared" si="67"/>
        <v>3.5999999999999996</v>
      </c>
      <c r="Q336" s="17">
        <f t="shared" si="68"/>
        <v>-1.3781258063587738</v>
      </c>
      <c r="R336" s="17">
        <f t="shared" si="61"/>
        <v>-1.4012555542320286</v>
      </c>
      <c r="S336" s="17">
        <f t="shared" si="62"/>
        <v>-1.3463594890666402</v>
      </c>
      <c r="T336" s="17">
        <f t="shared" si="63"/>
        <v>-1.1507131296750857</v>
      </c>
      <c r="U336" s="16">
        <v>0</v>
      </c>
      <c r="V336" s="16">
        <v>0</v>
      </c>
      <c r="W336" s="16">
        <v>0</v>
      </c>
      <c r="X336" s="16">
        <v>0</v>
      </c>
      <c r="Y336" s="15">
        <v>0.47</v>
      </c>
      <c r="Z336" s="15">
        <v>0.58299999999999996</v>
      </c>
      <c r="AA336" s="15">
        <v>0.66600000000000004</v>
      </c>
      <c r="AB336" s="15">
        <v>0.76200000000000001</v>
      </c>
      <c r="AC336" s="3">
        <f t="shared" si="69"/>
        <v>0.19307830720861571</v>
      </c>
      <c r="AD336" s="3">
        <f t="shared" si="70"/>
        <v>0.12629529314925114</v>
      </c>
      <c r="AE336" s="3">
        <f t="shared" si="71"/>
        <v>-0.1097113018626608</v>
      </c>
      <c r="AF336" s="3">
        <f t="shared" si="72"/>
        <v>-0.12053760141248625</v>
      </c>
    </row>
    <row r="337" spans="1:32" x14ac:dyDescent="0.2">
      <c r="A337" s="30">
        <v>335</v>
      </c>
      <c r="B337" s="9" t="s">
        <v>1091</v>
      </c>
      <c r="C337" s="12">
        <v>127852</v>
      </c>
      <c r="D337" s="13" t="s">
        <v>336</v>
      </c>
      <c r="E337" s="17">
        <v>-8.5426024530200007</v>
      </c>
      <c r="F337" s="17">
        <v>54.291353114800003</v>
      </c>
      <c r="G337" s="14">
        <v>37</v>
      </c>
      <c r="H337" s="17">
        <v>10.07</v>
      </c>
      <c r="I337" s="17">
        <v>9.67</v>
      </c>
      <c r="J337" s="17">
        <v>11.02</v>
      </c>
      <c r="K337" s="17">
        <v>12.14</v>
      </c>
      <c r="L337" s="17">
        <v>13.29</v>
      </c>
      <c r="M337" s="17">
        <f t="shared" si="64"/>
        <v>-0.40000000000000036</v>
      </c>
      <c r="N337" s="17">
        <f t="shared" si="65"/>
        <v>0.94999999999999929</v>
      </c>
      <c r="O337" s="17">
        <f t="shared" si="66"/>
        <v>2.0700000000000003</v>
      </c>
      <c r="P337" s="17">
        <f t="shared" si="67"/>
        <v>3.2199999999999989</v>
      </c>
      <c r="Q337" s="17">
        <f t="shared" si="68"/>
        <v>-1.5365138464169932</v>
      </c>
      <c r="R337" s="17">
        <f t="shared" si="61"/>
        <v>-1.6265130452871592</v>
      </c>
      <c r="S337" s="17">
        <f t="shared" si="62"/>
        <v>-1.636673084976191</v>
      </c>
      <c r="T337" s="17">
        <f t="shared" si="63"/>
        <v>-1.5353397000405911</v>
      </c>
      <c r="U337" s="16">
        <v>0</v>
      </c>
      <c r="V337" s="16">
        <v>0</v>
      </c>
      <c r="W337" s="16">
        <v>0</v>
      </c>
      <c r="X337" s="16">
        <v>0</v>
      </c>
      <c r="Y337" s="15">
        <v>0.37</v>
      </c>
      <c r="Z337" s="15">
        <v>0.48199999999999998</v>
      </c>
      <c r="AA337" s="15">
        <v>0.55600000000000005</v>
      </c>
      <c r="AB337" s="15">
        <v>0.66</v>
      </c>
      <c r="AC337" s="3">
        <f t="shared" si="69"/>
        <v>-0.73098930510752413</v>
      </c>
      <c r="AD337" s="3">
        <f t="shared" si="70"/>
        <v>-0.78001957745315309</v>
      </c>
      <c r="AE337" s="3">
        <f t="shared" si="71"/>
        <v>-1.0153685885287591</v>
      </c>
      <c r="AF337" s="3">
        <f t="shared" si="72"/>
        <v>-0.95842210992245447</v>
      </c>
    </row>
    <row r="338" spans="1:32" x14ac:dyDescent="0.2">
      <c r="A338" s="30">
        <v>336</v>
      </c>
      <c r="B338" s="9" t="s">
        <v>1092</v>
      </c>
      <c r="C338" s="12">
        <v>127853</v>
      </c>
      <c r="D338" s="13" t="s">
        <v>337</v>
      </c>
      <c r="E338" s="17">
        <v>-6.3363386871099996</v>
      </c>
      <c r="F338" s="17">
        <v>53.954366339099998</v>
      </c>
      <c r="G338" s="14">
        <v>117</v>
      </c>
      <c r="H338" s="17">
        <v>9.07</v>
      </c>
      <c r="I338" s="17">
        <v>8.9</v>
      </c>
      <c r="J338" s="17">
        <v>10.24</v>
      </c>
      <c r="K338" s="17">
        <v>11.71</v>
      </c>
      <c r="L338" s="17">
        <v>12.79</v>
      </c>
      <c r="M338" s="17">
        <f t="shared" si="64"/>
        <v>-0.16999999999999993</v>
      </c>
      <c r="N338" s="17">
        <f t="shared" si="65"/>
        <v>1.17</v>
      </c>
      <c r="O338" s="17">
        <f t="shared" si="66"/>
        <v>2.6400000000000006</v>
      </c>
      <c r="P338" s="17">
        <f t="shared" si="67"/>
        <v>3.7199999999999989</v>
      </c>
      <c r="Q338" s="17">
        <f t="shared" si="68"/>
        <v>-1.2562888524678371</v>
      </c>
      <c r="R338" s="17">
        <f t="shared" si="61"/>
        <v>-1.3167839950863538</v>
      </c>
      <c r="S338" s="17">
        <f t="shared" si="62"/>
        <v>-0.97475808630241445</v>
      </c>
      <c r="T338" s="17">
        <f t="shared" si="63"/>
        <v>-1.0292521074544008</v>
      </c>
      <c r="U338" s="16">
        <v>3</v>
      </c>
      <c r="V338" s="16">
        <v>3</v>
      </c>
      <c r="W338" s="16">
        <v>3</v>
      </c>
      <c r="X338" s="16">
        <v>3</v>
      </c>
      <c r="Y338" s="15">
        <v>0.34399999999999997</v>
      </c>
      <c r="Z338" s="15">
        <v>0.45800000000000002</v>
      </c>
      <c r="AA338" s="15">
        <v>0.54</v>
      </c>
      <c r="AB338" s="15">
        <v>0.63200000000000001</v>
      </c>
      <c r="AC338" s="3">
        <f t="shared" si="69"/>
        <v>-0.97124688430972073</v>
      </c>
      <c r="AD338" s="3">
        <f t="shared" si="70"/>
        <v>-0.99538152690322901</v>
      </c>
      <c r="AE338" s="3">
        <f t="shared" si="71"/>
        <v>-1.1471005574983735</v>
      </c>
      <c r="AF338" s="3">
        <f t="shared" si="72"/>
        <v>-1.188429622062446</v>
      </c>
    </row>
    <row r="339" spans="1:32" x14ac:dyDescent="0.2">
      <c r="A339" s="30">
        <v>337</v>
      </c>
      <c r="B339" s="9" t="s">
        <v>1093</v>
      </c>
      <c r="C339" s="12">
        <v>127854</v>
      </c>
      <c r="D339" s="13" t="s">
        <v>338</v>
      </c>
      <c r="E339" s="17">
        <v>-7.6115833409200002</v>
      </c>
      <c r="F339" s="17">
        <v>52.079499719300003</v>
      </c>
      <c r="G339" s="14">
        <v>29</v>
      </c>
      <c r="H339" s="17">
        <v>10.02</v>
      </c>
      <c r="I339" s="17">
        <v>9.76</v>
      </c>
      <c r="J339" s="17">
        <v>11.11</v>
      </c>
      <c r="K339" s="17">
        <v>12.44</v>
      </c>
      <c r="L339" s="17">
        <v>13.7</v>
      </c>
      <c r="M339" s="17">
        <f t="shared" si="64"/>
        <v>-0.25999999999999979</v>
      </c>
      <c r="N339" s="17">
        <f t="shared" si="65"/>
        <v>1.0899999999999999</v>
      </c>
      <c r="O339" s="17">
        <f t="shared" si="66"/>
        <v>2.42</v>
      </c>
      <c r="P339" s="17">
        <f t="shared" si="67"/>
        <v>3.6799999999999997</v>
      </c>
      <c r="Q339" s="17">
        <f t="shared" si="68"/>
        <v>-1.3659421109696803</v>
      </c>
      <c r="R339" s="17">
        <f t="shared" si="61"/>
        <v>-1.4294127406139192</v>
      </c>
      <c r="S339" s="17">
        <f t="shared" si="62"/>
        <v>-1.23023405070282</v>
      </c>
      <c r="T339" s="17">
        <f t="shared" si="63"/>
        <v>-1.0697391148612951</v>
      </c>
      <c r="U339" s="16">
        <v>0</v>
      </c>
      <c r="V339" s="16">
        <v>0</v>
      </c>
      <c r="W339" s="16">
        <v>0</v>
      </c>
      <c r="X339" s="16">
        <v>0</v>
      </c>
      <c r="Y339" s="15">
        <v>0.47</v>
      </c>
      <c r="Z339" s="15">
        <v>0.58299999999999996</v>
      </c>
      <c r="AA339" s="15">
        <v>0.66600000000000004</v>
      </c>
      <c r="AB339" s="15">
        <v>0.76200000000000001</v>
      </c>
      <c r="AC339" s="3">
        <f t="shared" si="69"/>
        <v>0.19307830720861571</v>
      </c>
      <c r="AD339" s="3">
        <f t="shared" si="70"/>
        <v>0.12629529314925114</v>
      </c>
      <c r="AE339" s="3">
        <f t="shared" si="71"/>
        <v>-0.1097113018626608</v>
      </c>
      <c r="AF339" s="3">
        <f t="shared" si="72"/>
        <v>-0.12053760141248625</v>
      </c>
    </row>
    <row r="340" spans="1:32" x14ac:dyDescent="0.2">
      <c r="A340" s="30">
        <v>338</v>
      </c>
      <c r="B340" s="9" t="s">
        <v>1094</v>
      </c>
      <c r="C340" s="12">
        <v>127855</v>
      </c>
      <c r="D340" s="13" t="s">
        <v>339</v>
      </c>
      <c r="E340" s="17">
        <v>-9.0413977296599999</v>
      </c>
      <c r="F340" s="17">
        <v>53.199952780899999</v>
      </c>
      <c r="G340" s="14">
        <v>249</v>
      </c>
      <c r="H340" s="17">
        <v>10.63</v>
      </c>
      <c r="I340" s="17">
        <v>10.32</v>
      </c>
      <c r="J340" s="17">
        <v>11.62</v>
      </c>
      <c r="K340" s="17">
        <v>12.63</v>
      </c>
      <c r="L340" s="17">
        <v>13.78</v>
      </c>
      <c r="M340" s="17">
        <f t="shared" si="64"/>
        <v>-0.3100000000000005</v>
      </c>
      <c r="N340" s="17">
        <f t="shared" si="65"/>
        <v>0.98999999999999844</v>
      </c>
      <c r="O340" s="17">
        <f t="shared" si="66"/>
        <v>2</v>
      </c>
      <c r="P340" s="17">
        <f t="shared" si="67"/>
        <v>3.1499999999999986</v>
      </c>
      <c r="Q340" s="17">
        <f t="shared" si="68"/>
        <v>-1.4268605879151499</v>
      </c>
      <c r="R340" s="17">
        <f t="shared" si="61"/>
        <v>-1.5701986725233779</v>
      </c>
      <c r="S340" s="17">
        <f t="shared" si="62"/>
        <v>-1.7179608918308658</v>
      </c>
      <c r="T340" s="17">
        <f t="shared" si="63"/>
        <v>-1.606191963002658</v>
      </c>
      <c r="U340" s="16">
        <v>10</v>
      </c>
      <c r="V340" s="16">
        <v>14</v>
      </c>
      <c r="W340" s="16">
        <v>15</v>
      </c>
      <c r="X340" s="16">
        <v>17</v>
      </c>
      <c r="Y340" s="15">
        <v>0.42599999999999999</v>
      </c>
      <c r="Z340" s="15">
        <v>0.53900000000000003</v>
      </c>
      <c r="AA340" s="15">
        <v>0.61599999999999999</v>
      </c>
      <c r="AB340" s="15">
        <v>0.71799999999999997</v>
      </c>
      <c r="AC340" s="3">
        <f t="shared" si="69"/>
        <v>-0.21351144221048574</v>
      </c>
      <c r="AD340" s="3">
        <f t="shared" si="70"/>
        <v>-0.26853494750922141</v>
      </c>
      <c r="AE340" s="3">
        <f t="shared" si="71"/>
        <v>-0.52137370489270585</v>
      </c>
      <c r="AF340" s="3">
        <f t="shared" si="72"/>
        <v>-0.48197797763247291</v>
      </c>
    </row>
    <row r="341" spans="1:32" x14ac:dyDescent="0.2">
      <c r="A341" s="30">
        <v>339</v>
      </c>
      <c r="B341" s="9" t="s">
        <v>1095</v>
      </c>
      <c r="C341" s="12">
        <v>127856</v>
      </c>
      <c r="D341" s="13" t="s">
        <v>340</v>
      </c>
      <c r="E341" s="17">
        <v>-9.1588199814600006</v>
      </c>
      <c r="F341" s="17">
        <v>54.209924946400001</v>
      </c>
      <c r="G341" s="14">
        <v>47</v>
      </c>
      <c r="H341" s="17">
        <v>10.35</v>
      </c>
      <c r="I341" s="17">
        <v>9.94</v>
      </c>
      <c r="J341" s="17">
        <v>11.3</v>
      </c>
      <c r="K341" s="17">
        <v>12.34</v>
      </c>
      <c r="L341" s="17">
        <v>13.48</v>
      </c>
      <c r="M341" s="17">
        <f t="shared" si="64"/>
        <v>-0.41000000000000014</v>
      </c>
      <c r="N341" s="17">
        <f t="shared" si="65"/>
        <v>0.95000000000000107</v>
      </c>
      <c r="O341" s="17">
        <f t="shared" si="66"/>
        <v>1.9900000000000002</v>
      </c>
      <c r="P341" s="17">
        <f t="shared" si="67"/>
        <v>3.1300000000000008</v>
      </c>
      <c r="Q341" s="17">
        <f t="shared" si="68"/>
        <v>-1.5486975418060867</v>
      </c>
      <c r="R341" s="17">
        <f t="shared" si="61"/>
        <v>-1.6265130452871568</v>
      </c>
      <c r="S341" s="17">
        <f t="shared" si="62"/>
        <v>-1.7295734356672474</v>
      </c>
      <c r="T341" s="17">
        <f t="shared" si="63"/>
        <v>-1.6264354667061034</v>
      </c>
      <c r="U341" s="16">
        <v>0</v>
      </c>
      <c r="V341" s="16">
        <v>1</v>
      </c>
      <c r="W341" s="16">
        <v>1</v>
      </c>
      <c r="X341" s="16">
        <v>1</v>
      </c>
      <c r="Y341" s="15">
        <v>0.37</v>
      </c>
      <c r="Z341" s="15">
        <v>0.48199999999999998</v>
      </c>
      <c r="AA341" s="15">
        <v>0.55600000000000005</v>
      </c>
      <c r="AB341" s="15">
        <v>0.66</v>
      </c>
      <c r="AC341" s="3">
        <f t="shared" si="69"/>
        <v>-0.73098930510752413</v>
      </c>
      <c r="AD341" s="3">
        <f t="shared" si="70"/>
        <v>-0.78001957745315309</v>
      </c>
      <c r="AE341" s="3">
        <f t="shared" si="71"/>
        <v>-1.0153685885287591</v>
      </c>
      <c r="AF341" s="3">
        <f t="shared" si="72"/>
        <v>-0.95842210992245447</v>
      </c>
    </row>
    <row r="342" spans="1:32" x14ac:dyDescent="0.2">
      <c r="A342" s="30">
        <v>340</v>
      </c>
      <c r="B342" s="9" t="s">
        <v>1096</v>
      </c>
      <c r="C342" s="12">
        <v>127865</v>
      </c>
      <c r="D342" s="13" t="s">
        <v>341</v>
      </c>
      <c r="E342" s="17">
        <v>-6.1855140718400001</v>
      </c>
      <c r="F342" s="17">
        <v>53.320482621700002</v>
      </c>
      <c r="G342" s="14">
        <v>31</v>
      </c>
      <c r="H342" s="17">
        <v>9.1199999999999992</v>
      </c>
      <c r="I342" s="17">
        <v>8.8800000000000008</v>
      </c>
      <c r="J342" s="17">
        <v>10.29</v>
      </c>
      <c r="K342" s="17">
        <v>11.76</v>
      </c>
      <c r="L342" s="17">
        <v>12.83</v>
      </c>
      <c r="M342" s="17">
        <f t="shared" si="64"/>
        <v>-0.23999999999999844</v>
      </c>
      <c r="N342" s="17">
        <f t="shared" si="65"/>
        <v>1.17</v>
      </c>
      <c r="O342" s="17">
        <f t="shared" si="66"/>
        <v>2.6400000000000006</v>
      </c>
      <c r="P342" s="17">
        <f t="shared" si="67"/>
        <v>3.7100000000000009</v>
      </c>
      <c r="Q342" s="17">
        <f t="shared" si="68"/>
        <v>-1.3415747201914914</v>
      </c>
      <c r="R342" s="17">
        <f t="shared" si="61"/>
        <v>-1.3167839950863538</v>
      </c>
      <c r="S342" s="17">
        <f t="shared" si="62"/>
        <v>-0.97475808630241445</v>
      </c>
      <c r="T342" s="17">
        <f t="shared" si="63"/>
        <v>-1.0393738593061226</v>
      </c>
      <c r="U342" s="16">
        <v>0</v>
      </c>
      <c r="V342" s="16">
        <v>2</v>
      </c>
      <c r="W342" s="16">
        <v>2</v>
      </c>
      <c r="X342" s="16">
        <v>2</v>
      </c>
      <c r="Y342" s="15">
        <v>0.41499999999999998</v>
      </c>
      <c r="Z342" s="15">
        <v>0.52849999999999997</v>
      </c>
      <c r="AA342" s="15">
        <v>0.61099999999999999</v>
      </c>
      <c r="AB342" s="15">
        <v>0.70550000000000002</v>
      </c>
      <c r="AC342" s="3">
        <f t="shared" si="69"/>
        <v>-0.31515887956526123</v>
      </c>
      <c r="AD342" s="3">
        <f t="shared" si="70"/>
        <v>-0.36275580039363037</v>
      </c>
      <c r="AE342" s="3">
        <f t="shared" si="71"/>
        <v>-0.56253994519571038</v>
      </c>
      <c r="AF342" s="3">
        <f t="shared" si="72"/>
        <v>-0.5846599026949687</v>
      </c>
    </row>
    <row r="343" spans="1:32" x14ac:dyDescent="0.2">
      <c r="A343" s="30">
        <v>341</v>
      </c>
      <c r="B343" s="9" t="s">
        <v>1097</v>
      </c>
      <c r="C343" s="12">
        <v>127867</v>
      </c>
      <c r="D343" s="13" t="s">
        <v>342</v>
      </c>
      <c r="E343" s="17">
        <v>-7.2992302062899999</v>
      </c>
      <c r="F343" s="17">
        <v>55.295829670800003</v>
      </c>
      <c r="G343" s="14">
        <v>24</v>
      </c>
      <c r="H343" s="17">
        <v>9.9600000000000009</v>
      </c>
      <c r="I343" s="17">
        <v>9.69</v>
      </c>
      <c r="J343" s="17">
        <v>11.04</v>
      </c>
      <c r="K343" s="17">
        <v>12.24</v>
      </c>
      <c r="L343" s="17">
        <v>13.36</v>
      </c>
      <c r="M343" s="17">
        <f t="shared" si="64"/>
        <v>-0.27000000000000135</v>
      </c>
      <c r="N343" s="17">
        <f t="shared" si="65"/>
        <v>1.0799999999999983</v>
      </c>
      <c r="O343" s="17">
        <f t="shared" si="66"/>
        <v>2.2799999999999994</v>
      </c>
      <c r="P343" s="17">
        <f t="shared" si="67"/>
        <v>3.3999999999999986</v>
      </c>
      <c r="Q343" s="17">
        <f t="shared" si="68"/>
        <v>-1.378125806358776</v>
      </c>
      <c r="R343" s="17">
        <f t="shared" si="61"/>
        <v>-1.4434913338048672</v>
      </c>
      <c r="S343" s="17">
        <f t="shared" si="62"/>
        <v>-1.3928096644121692</v>
      </c>
      <c r="T343" s="17">
        <f t="shared" si="63"/>
        <v>-1.3531481667095628</v>
      </c>
      <c r="U343" s="16">
        <v>0</v>
      </c>
      <c r="V343" s="16">
        <v>0</v>
      </c>
      <c r="W343" s="16">
        <v>0</v>
      </c>
      <c r="X343" s="16">
        <v>1</v>
      </c>
      <c r="Y343" s="15">
        <v>0.28133333333299998</v>
      </c>
      <c r="Z343" s="15">
        <v>0.39300000000000002</v>
      </c>
      <c r="AA343" s="15">
        <v>0.46700000000000003</v>
      </c>
      <c r="AB343" s="15">
        <v>0.56866666666700005</v>
      </c>
      <c r="AC343" s="3">
        <f t="shared" si="69"/>
        <v>-1.550329254697582</v>
      </c>
      <c r="AD343" s="3">
        <f t="shared" si="70"/>
        <v>-1.5786534733305191</v>
      </c>
      <c r="AE343" s="3">
        <f t="shared" si="71"/>
        <v>-1.7481276659222387</v>
      </c>
      <c r="AF343" s="3">
        <f t="shared" si="72"/>
        <v>-1.7086847090430211</v>
      </c>
    </row>
    <row r="344" spans="1:32" x14ac:dyDescent="0.2">
      <c r="A344" s="30">
        <v>342</v>
      </c>
      <c r="B344" s="9" t="s">
        <v>1098</v>
      </c>
      <c r="C344" s="12">
        <v>127872</v>
      </c>
      <c r="D344" s="13" t="s">
        <v>343</v>
      </c>
      <c r="E344" s="17">
        <v>6.6738757166099996</v>
      </c>
      <c r="F344" s="17">
        <v>58.087431084099997</v>
      </c>
      <c r="G344" s="14">
        <v>45</v>
      </c>
      <c r="H344" s="17">
        <v>7.92</v>
      </c>
      <c r="I344" s="17">
        <v>8.3699999999999992</v>
      </c>
      <c r="J344" s="17">
        <v>9.89</v>
      </c>
      <c r="K344" s="17">
        <v>11.86</v>
      </c>
      <c r="L344" s="17">
        <v>12.78</v>
      </c>
      <c r="M344" s="17">
        <f t="shared" si="64"/>
        <v>0.44999999999999929</v>
      </c>
      <c r="N344" s="17">
        <f t="shared" si="65"/>
        <v>1.9700000000000006</v>
      </c>
      <c r="O344" s="17">
        <f t="shared" si="66"/>
        <v>3.9399999999999995</v>
      </c>
      <c r="P344" s="17">
        <f t="shared" si="67"/>
        <v>4.8599999999999994</v>
      </c>
      <c r="Q344" s="17">
        <f t="shared" si="68"/>
        <v>-0.50089973834402735</v>
      </c>
      <c r="R344" s="17">
        <f t="shared" si="61"/>
        <v>-0.19049653981069997</v>
      </c>
      <c r="S344" s="17">
        <f t="shared" si="62"/>
        <v>0.53487261242724971</v>
      </c>
      <c r="T344" s="17">
        <f t="shared" si="63"/>
        <v>0.12462760364211373</v>
      </c>
      <c r="U344" s="16">
        <v>3</v>
      </c>
      <c r="V344" s="16">
        <v>3</v>
      </c>
      <c r="W344" s="16">
        <v>3</v>
      </c>
      <c r="X344" s="16">
        <v>3</v>
      </c>
      <c r="Y344" s="15">
        <v>0.35</v>
      </c>
      <c r="Z344" s="15">
        <v>0.47199999999999998</v>
      </c>
      <c r="AA344" s="15">
        <v>0.56200000000000006</v>
      </c>
      <c r="AB344" s="15">
        <v>0.67100000000000004</v>
      </c>
      <c r="AC344" s="3">
        <f t="shared" si="69"/>
        <v>-0.91580282757075226</v>
      </c>
      <c r="AD344" s="3">
        <f t="shared" si="70"/>
        <v>-0.86975372305735155</v>
      </c>
      <c r="AE344" s="3">
        <f t="shared" si="71"/>
        <v>-0.96596910016515358</v>
      </c>
      <c r="AF344" s="3">
        <f t="shared" si="72"/>
        <v>-0.86806201586745779</v>
      </c>
    </row>
    <row r="345" spans="1:32" x14ac:dyDescent="0.2">
      <c r="A345" s="30">
        <v>343</v>
      </c>
      <c r="B345" s="9" t="s">
        <v>1452</v>
      </c>
      <c r="C345" s="12">
        <v>127878</v>
      </c>
      <c r="D345" s="13" t="s">
        <v>344</v>
      </c>
      <c r="E345" s="17">
        <v>-8.7262916630700005</v>
      </c>
      <c r="F345" s="17">
        <v>38.461602478899998</v>
      </c>
      <c r="G345" s="14">
        <v>195</v>
      </c>
      <c r="H345" s="17">
        <v>16.38</v>
      </c>
      <c r="I345" s="17">
        <v>16.47</v>
      </c>
      <c r="J345" s="17">
        <v>17.41</v>
      </c>
      <c r="K345" s="17">
        <v>17.86</v>
      </c>
      <c r="L345" s="17">
        <v>19.62</v>
      </c>
      <c r="M345" s="17">
        <f t="shared" si="64"/>
        <v>8.9999999999999858E-2</v>
      </c>
      <c r="N345" s="17">
        <f t="shared" si="65"/>
        <v>1.0300000000000011</v>
      </c>
      <c r="O345" s="17">
        <f t="shared" si="66"/>
        <v>1.4800000000000004</v>
      </c>
      <c r="P345" s="17">
        <f t="shared" si="67"/>
        <v>3.240000000000002</v>
      </c>
      <c r="Q345" s="17">
        <f t="shared" si="68"/>
        <v>-0.93951277235140063</v>
      </c>
      <c r="R345" s="17">
        <f t="shared" si="61"/>
        <v>-1.5138842997595914</v>
      </c>
      <c r="S345" s="17">
        <f t="shared" si="62"/>
        <v>-2.3218131713227312</v>
      </c>
      <c r="T345" s="17">
        <f t="shared" si="63"/>
        <v>-1.5150961963371403</v>
      </c>
      <c r="U345" s="16">
        <v>18</v>
      </c>
      <c r="V345" s="16">
        <v>22</v>
      </c>
      <c r="W345" s="16">
        <v>26</v>
      </c>
      <c r="X345" s="16">
        <v>33</v>
      </c>
      <c r="Y345" s="15">
        <v>0.52400000000000002</v>
      </c>
      <c r="Z345" s="15">
        <v>0.64300000000000002</v>
      </c>
      <c r="AA345" s="15">
        <v>0.75249999999999995</v>
      </c>
      <c r="AB345" s="15">
        <v>0.84750000000000003</v>
      </c>
      <c r="AC345" s="3">
        <f t="shared" si="69"/>
        <v>0.69207481785933178</v>
      </c>
      <c r="AD345" s="3">
        <f t="shared" si="70"/>
        <v>0.66470016677444232</v>
      </c>
      <c r="AE345" s="3">
        <f t="shared" si="71"/>
        <v>0.60246465537931582</v>
      </c>
      <c r="AF345" s="3">
        <f t="shared" si="72"/>
        <v>0.58180676601498749</v>
      </c>
    </row>
    <row r="346" spans="1:32" x14ac:dyDescent="0.2">
      <c r="A346" s="30">
        <v>344</v>
      </c>
      <c r="B346" s="9" t="s">
        <v>1099</v>
      </c>
      <c r="C346" s="12">
        <v>127879</v>
      </c>
      <c r="D346" s="13" t="s">
        <v>345</v>
      </c>
      <c r="E346" s="17">
        <v>-9.1295256354000003</v>
      </c>
      <c r="F346" s="17">
        <v>38.516818902899999</v>
      </c>
      <c r="G346" s="14">
        <v>5</v>
      </c>
      <c r="H346" s="17">
        <v>16.350000000000001</v>
      </c>
      <c r="I346" s="17">
        <v>16.36</v>
      </c>
      <c r="J346" s="17">
        <v>17.13</v>
      </c>
      <c r="K346" s="17">
        <v>17.64</v>
      </c>
      <c r="L346" s="17">
        <v>19.350000000000001</v>
      </c>
      <c r="M346" s="17">
        <f t="shared" si="64"/>
        <v>9.9999999999980105E-3</v>
      </c>
      <c r="N346" s="17">
        <f t="shared" si="65"/>
        <v>0.77999999999999758</v>
      </c>
      <c r="O346" s="17">
        <f t="shared" si="66"/>
        <v>1.2899999999999991</v>
      </c>
      <c r="P346" s="17">
        <f t="shared" si="67"/>
        <v>3</v>
      </c>
      <c r="Q346" s="17">
        <f t="shared" si="68"/>
        <v>-1.0369823354641525</v>
      </c>
      <c r="R346" s="17">
        <f t="shared" si="61"/>
        <v>-1.865849129533238</v>
      </c>
      <c r="S346" s="17">
        <f t="shared" si="62"/>
        <v>-2.5424515042139917</v>
      </c>
      <c r="T346" s="17">
        <f t="shared" si="63"/>
        <v>-1.7580182407785137</v>
      </c>
      <c r="U346" s="16">
        <v>0</v>
      </c>
      <c r="V346" s="16">
        <v>0</v>
      </c>
      <c r="W346" s="16">
        <v>0</v>
      </c>
      <c r="X346" s="16">
        <v>0</v>
      </c>
      <c r="Y346" s="15">
        <v>0.46400000000000002</v>
      </c>
      <c r="Z346" s="15">
        <v>0.58199999999999996</v>
      </c>
      <c r="AA346" s="15">
        <v>0.68899999999999995</v>
      </c>
      <c r="AB346" s="15">
        <v>0.78300000000000003</v>
      </c>
      <c r="AC346" s="3">
        <f t="shared" si="69"/>
        <v>0.13763425046964778</v>
      </c>
      <c r="AD346" s="3">
        <f t="shared" si="70"/>
        <v>0.11732187858883128</v>
      </c>
      <c r="AE346" s="3">
        <f t="shared" si="71"/>
        <v>7.9653403531159003E-2</v>
      </c>
      <c r="AF346" s="3">
        <f t="shared" si="72"/>
        <v>5.1968032692507403E-2</v>
      </c>
    </row>
    <row r="347" spans="1:32" x14ac:dyDescent="0.2">
      <c r="A347" s="30">
        <v>345</v>
      </c>
      <c r="B347" s="9" t="s">
        <v>1453</v>
      </c>
      <c r="C347" s="12">
        <v>127880</v>
      </c>
      <c r="D347" s="13" t="s">
        <v>346</v>
      </c>
      <c r="E347" s="17">
        <v>-8.8066451487700004</v>
      </c>
      <c r="F347" s="17">
        <v>38.0607859566</v>
      </c>
      <c r="G347" s="14">
        <v>4</v>
      </c>
      <c r="H347" s="17">
        <v>16.63</v>
      </c>
      <c r="I347" s="17">
        <v>16.8</v>
      </c>
      <c r="J347" s="17">
        <v>17.489999999999998</v>
      </c>
      <c r="K347" s="17">
        <v>17.93</v>
      </c>
      <c r="L347" s="17">
        <v>19.63</v>
      </c>
      <c r="M347" s="17">
        <f t="shared" si="64"/>
        <v>0.17000000000000171</v>
      </c>
      <c r="N347" s="17">
        <f t="shared" si="65"/>
        <v>0.85999999999999943</v>
      </c>
      <c r="O347" s="17">
        <f t="shared" si="66"/>
        <v>1.3000000000000007</v>
      </c>
      <c r="P347" s="17">
        <f t="shared" si="67"/>
        <v>3</v>
      </c>
      <c r="Q347" s="17">
        <f t="shared" si="68"/>
        <v>-0.84204320923864862</v>
      </c>
      <c r="R347" s="17">
        <f t="shared" si="61"/>
        <v>-1.7532203840056702</v>
      </c>
      <c r="S347" s="17">
        <f t="shared" si="62"/>
        <v>-2.5308389603776078</v>
      </c>
      <c r="T347" s="17">
        <f t="shared" si="63"/>
        <v>-1.7580182407785137</v>
      </c>
      <c r="U347" s="16">
        <v>0</v>
      </c>
      <c r="V347" s="16">
        <v>0</v>
      </c>
      <c r="W347" s="16">
        <v>0</v>
      </c>
      <c r="X347" s="16">
        <v>0</v>
      </c>
      <c r="Y347" s="15">
        <v>0.52400000000000002</v>
      </c>
      <c r="Z347" s="15">
        <v>0.64300000000000002</v>
      </c>
      <c r="AA347" s="15">
        <v>0.75249999999999995</v>
      </c>
      <c r="AB347" s="15">
        <v>0.84750000000000003</v>
      </c>
      <c r="AC347" s="3">
        <f t="shared" si="69"/>
        <v>0.69207481785933178</v>
      </c>
      <c r="AD347" s="3">
        <f t="shared" si="70"/>
        <v>0.66470016677444232</v>
      </c>
      <c r="AE347" s="3">
        <f t="shared" si="71"/>
        <v>0.60246465537931582</v>
      </c>
      <c r="AF347" s="3">
        <f t="shared" si="72"/>
        <v>0.58180676601498749</v>
      </c>
    </row>
    <row r="348" spans="1:32" x14ac:dyDescent="0.2">
      <c r="A348" s="30">
        <v>346</v>
      </c>
      <c r="B348" s="9" t="s">
        <v>1100</v>
      </c>
      <c r="C348" s="12">
        <v>127884</v>
      </c>
      <c r="D348" s="13" t="s">
        <v>347</v>
      </c>
      <c r="E348" s="17">
        <v>-8.6105348600799996</v>
      </c>
      <c r="F348" s="17">
        <v>37.136271261899999</v>
      </c>
      <c r="G348" s="14">
        <v>11</v>
      </c>
      <c r="H348" s="17">
        <v>16.97</v>
      </c>
      <c r="I348" s="17">
        <v>17.32</v>
      </c>
      <c r="J348" s="17">
        <v>17.93</v>
      </c>
      <c r="K348" s="17">
        <v>18.36</v>
      </c>
      <c r="L348" s="17">
        <v>20.04</v>
      </c>
      <c r="M348" s="17">
        <f t="shared" si="64"/>
        <v>0.35000000000000142</v>
      </c>
      <c r="N348" s="17">
        <f t="shared" si="65"/>
        <v>0.96000000000000085</v>
      </c>
      <c r="O348" s="17">
        <f t="shared" si="66"/>
        <v>1.3900000000000006</v>
      </c>
      <c r="P348" s="17">
        <f t="shared" si="67"/>
        <v>3.0700000000000003</v>
      </c>
      <c r="Q348" s="17">
        <f t="shared" si="68"/>
        <v>-0.62273669223496197</v>
      </c>
      <c r="R348" s="17">
        <f t="shared" si="61"/>
        <v>-1.6124344520962115</v>
      </c>
      <c r="S348" s="17">
        <f t="shared" si="62"/>
        <v>-2.4263260658501697</v>
      </c>
      <c r="T348" s="17">
        <f t="shared" si="63"/>
        <v>-1.6871659778164467</v>
      </c>
      <c r="U348" s="16">
        <v>1</v>
      </c>
      <c r="V348" s="16">
        <v>1</v>
      </c>
      <c r="W348" s="16">
        <v>1</v>
      </c>
      <c r="X348" s="16">
        <v>1</v>
      </c>
      <c r="Y348" s="15">
        <v>0.47499999999999998</v>
      </c>
      <c r="Z348" s="15">
        <v>0.59499999999999997</v>
      </c>
      <c r="AA348" s="15">
        <v>0.70650000000000002</v>
      </c>
      <c r="AB348" s="15">
        <v>0.79949999999999999</v>
      </c>
      <c r="AC348" s="3">
        <f t="shared" si="69"/>
        <v>0.23928168782442277</v>
      </c>
      <c r="AD348" s="3">
        <f t="shared" si="70"/>
        <v>0.23397626787428938</v>
      </c>
      <c r="AE348" s="3">
        <f t="shared" si="71"/>
        <v>0.22373524459167524</v>
      </c>
      <c r="AF348" s="3">
        <f t="shared" si="72"/>
        <v>0.18750817377500195</v>
      </c>
    </row>
    <row r="349" spans="1:32" x14ac:dyDescent="0.2">
      <c r="A349" s="30">
        <v>347</v>
      </c>
      <c r="B349" s="9" t="s">
        <v>1101</v>
      </c>
      <c r="C349" s="12">
        <v>127885</v>
      </c>
      <c r="D349" s="13" t="s">
        <v>348</v>
      </c>
      <c r="E349" s="17">
        <v>-7.4458161241800003</v>
      </c>
      <c r="F349" s="17">
        <v>37.206195625500001</v>
      </c>
      <c r="G349" s="14">
        <v>12</v>
      </c>
      <c r="H349" s="17">
        <v>16.87</v>
      </c>
      <c r="I349" s="17">
        <v>17.07</v>
      </c>
      <c r="J349" s="17">
        <v>18.5</v>
      </c>
      <c r="K349" s="17">
        <v>19.63</v>
      </c>
      <c r="L349" s="17">
        <v>20.96</v>
      </c>
      <c r="M349" s="17">
        <f t="shared" si="64"/>
        <v>0.19999999999999929</v>
      </c>
      <c r="N349" s="17">
        <f t="shared" si="65"/>
        <v>1.629999999999999</v>
      </c>
      <c r="O349" s="17">
        <f t="shared" si="66"/>
        <v>2.759999999999998</v>
      </c>
      <c r="P349" s="17">
        <f t="shared" si="67"/>
        <v>4.09</v>
      </c>
      <c r="Q349" s="17">
        <f t="shared" si="68"/>
        <v>-0.8054921230713703</v>
      </c>
      <c r="R349" s="17">
        <f t="shared" si="61"/>
        <v>-0.6691687083028548</v>
      </c>
      <c r="S349" s="17">
        <f t="shared" si="62"/>
        <v>-0.83540756026583285</v>
      </c>
      <c r="T349" s="17">
        <f t="shared" si="63"/>
        <v>-0.65474728894061895</v>
      </c>
      <c r="U349" s="16">
        <v>0</v>
      </c>
      <c r="V349" s="16">
        <v>1</v>
      </c>
      <c r="W349" s="16">
        <v>1</v>
      </c>
      <c r="X349" s="16">
        <v>1</v>
      </c>
      <c r="Y349" s="15">
        <v>0.46200000000000002</v>
      </c>
      <c r="Z349" s="15">
        <v>0.58099999999999996</v>
      </c>
      <c r="AA349" s="15">
        <v>0.69199999999999995</v>
      </c>
      <c r="AB349" s="15">
        <v>0.78449999999999998</v>
      </c>
      <c r="AC349" s="3">
        <f t="shared" si="69"/>
        <v>0.11915289822332498</v>
      </c>
      <c r="AD349" s="3">
        <f t="shared" si="70"/>
        <v>0.10834846402841142</v>
      </c>
      <c r="AE349" s="3">
        <f t="shared" si="71"/>
        <v>0.10435314771296171</v>
      </c>
      <c r="AF349" s="3">
        <f t="shared" si="72"/>
        <v>6.42898637000065E-2</v>
      </c>
    </row>
    <row r="350" spans="1:32" x14ac:dyDescent="0.2">
      <c r="A350" s="30">
        <v>348</v>
      </c>
      <c r="B350" s="9" t="s">
        <v>1102</v>
      </c>
      <c r="C350" s="12">
        <v>127889</v>
      </c>
      <c r="D350" s="13" t="s">
        <v>349</v>
      </c>
      <c r="E350" s="17">
        <v>1.54074290854</v>
      </c>
      <c r="F350" s="17">
        <v>52.106600171399997</v>
      </c>
      <c r="G350" s="14">
        <v>56</v>
      </c>
      <c r="H350" s="17">
        <v>11.28</v>
      </c>
      <c r="I350" s="17">
        <v>10.78</v>
      </c>
      <c r="J350" s="17">
        <v>12.49</v>
      </c>
      <c r="K350" s="17">
        <v>14.61</v>
      </c>
      <c r="L350" s="17">
        <v>15.62</v>
      </c>
      <c r="M350" s="17">
        <f t="shared" si="64"/>
        <v>-0.5</v>
      </c>
      <c r="N350" s="17">
        <f t="shared" si="65"/>
        <v>1.2100000000000009</v>
      </c>
      <c r="O350" s="17">
        <f t="shared" si="66"/>
        <v>3.33</v>
      </c>
      <c r="P350" s="17">
        <f t="shared" si="67"/>
        <v>4.34</v>
      </c>
      <c r="Q350" s="17">
        <f t="shared" si="68"/>
        <v>-1.6583508003079299</v>
      </c>
      <c r="R350" s="17">
        <f t="shared" si="61"/>
        <v>-1.26046962232257</v>
      </c>
      <c r="S350" s="17">
        <f t="shared" si="62"/>
        <v>-0.17349256159205415</v>
      </c>
      <c r="T350" s="17">
        <f t="shared" si="63"/>
        <v>-0.40170349264752375</v>
      </c>
      <c r="U350" s="16">
        <v>21</v>
      </c>
      <c r="V350" s="16">
        <v>22</v>
      </c>
      <c r="W350" s="16">
        <v>22</v>
      </c>
      <c r="X350" s="16">
        <v>22</v>
      </c>
      <c r="Y350" s="15">
        <v>0.49049999999999999</v>
      </c>
      <c r="Z350" s="15">
        <v>0.61650000000000005</v>
      </c>
      <c r="AA350" s="15">
        <v>0.70450000000000002</v>
      </c>
      <c r="AB350" s="15">
        <v>0.81899999999999995</v>
      </c>
      <c r="AC350" s="3">
        <f t="shared" si="69"/>
        <v>0.38251216773342461</v>
      </c>
      <c r="AD350" s="3">
        <f t="shared" si="70"/>
        <v>0.42690468092331668</v>
      </c>
      <c r="AE350" s="3">
        <f t="shared" si="71"/>
        <v>0.20726874847047344</v>
      </c>
      <c r="AF350" s="3">
        <f t="shared" si="72"/>
        <v>0.34769197687249559</v>
      </c>
    </row>
    <row r="351" spans="1:32" x14ac:dyDescent="0.2">
      <c r="A351" s="30">
        <v>349</v>
      </c>
      <c r="B351" s="9" t="s">
        <v>1103</v>
      </c>
      <c r="C351" s="12">
        <v>127890</v>
      </c>
      <c r="D351" s="13" t="s">
        <v>350</v>
      </c>
      <c r="E351" s="17">
        <v>1.64780210193</v>
      </c>
      <c r="F351" s="17">
        <v>52.5945359567</v>
      </c>
      <c r="G351" s="14">
        <v>18</v>
      </c>
      <c r="H351" s="17">
        <v>11.12</v>
      </c>
      <c r="I351" s="17">
        <v>10.53</v>
      </c>
      <c r="J351" s="17">
        <v>12.24</v>
      </c>
      <c r="K351" s="17">
        <v>14.37</v>
      </c>
      <c r="L351" s="17">
        <v>15.38</v>
      </c>
      <c r="M351" s="17">
        <f t="shared" si="64"/>
        <v>-0.58999999999999986</v>
      </c>
      <c r="N351" s="17">
        <f t="shared" si="65"/>
        <v>1.120000000000001</v>
      </c>
      <c r="O351" s="17">
        <f t="shared" si="66"/>
        <v>3.25</v>
      </c>
      <c r="P351" s="17">
        <f t="shared" si="67"/>
        <v>4.2600000000000016</v>
      </c>
      <c r="Q351" s="17">
        <f t="shared" si="68"/>
        <v>-1.7680040588097734</v>
      </c>
      <c r="R351" s="17">
        <f t="shared" si="61"/>
        <v>-1.3871769610410807</v>
      </c>
      <c r="S351" s="17">
        <f t="shared" si="62"/>
        <v>-0.26639291228311057</v>
      </c>
      <c r="T351" s="17">
        <f t="shared" si="63"/>
        <v>-0.48267750746131249</v>
      </c>
      <c r="U351" s="16">
        <v>3</v>
      </c>
      <c r="V351" s="16">
        <v>3</v>
      </c>
      <c r="W351" s="16">
        <v>3</v>
      </c>
      <c r="X351" s="16">
        <v>3</v>
      </c>
      <c r="Y351" s="15">
        <v>0.5</v>
      </c>
      <c r="Z351" s="15">
        <v>0.625</v>
      </c>
      <c r="AA351" s="15">
        <v>0.71</v>
      </c>
      <c r="AB351" s="15">
        <v>0.82599999999999996</v>
      </c>
      <c r="AC351" s="3">
        <f t="shared" si="69"/>
        <v>0.47029859090345799</v>
      </c>
      <c r="AD351" s="3">
        <f t="shared" si="70"/>
        <v>0.50317870468688497</v>
      </c>
      <c r="AE351" s="3">
        <f t="shared" si="71"/>
        <v>0.25255161280377791</v>
      </c>
      <c r="AF351" s="3">
        <f t="shared" si="72"/>
        <v>0.40519385490749349</v>
      </c>
    </row>
    <row r="352" spans="1:32" x14ac:dyDescent="0.2">
      <c r="A352" s="30">
        <v>350</v>
      </c>
      <c r="B352" s="9" t="s">
        <v>1104</v>
      </c>
      <c r="C352" s="12">
        <v>127891</v>
      </c>
      <c r="D352" s="13" t="s">
        <v>351</v>
      </c>
      <c r="E352" s="17">
        <v>1.3469389112800001</v>
      </c>
      <c r="F352" s="17">
        <v>52.042241456699998</v>
      </c>
      <c r="G352" s="14">
        <v>28</v>
      </c>
      <c r="H352" s="17">
        <v>11.25</v>
      </c>
      <c r="I352" s="17">
        <v>10.78</v>
      </c>
      <c r="J352" s="17">
        <v>12.48</v>
      </c>
      <c r="K352" s="17">
        <v>14.6</v>
      </c>
      <c r="L352" s="17">
        <v>15.64</v>
      </c>
      <c r="M352" s="17">
        <f t="shared" si="64"/>
        <v>-0.47000000000000064</v>
      </c>
      <c r="N352" s="17">
        <f t="shared" si="65"/>
        <v>1.2300000000000004</v>
      </c>
      <c r="O352" s="17">
        <f t="shared" si="66"/>
        <v>3.3499999999999996</v>
      </c>
      <c r="P352" s="17">
        <f t="shared" si="67"/>
        <v>4.3900000000000006</v>
      </c>
      <c r="Q352" s="17">
        <f t="shared" si="68"/>
        <v>-1.6217997141406495</v>
      </c>
      <c r="R352" s="17">
        <f t="shared" si="61"/>
        <v>-1.2323124359406792</v>
      </c>
      <c r="S352" s="17">
        <f t="shared" si="62"/>
        <v>-0.15026747391929057</v>
      </c>
      <c r="T352" s="17">
        <f t="shared" si="63"/>
        <v>-0.35109473338890401</v>
      </c>
      <c r="U352" s="16">
        <v>3</v>
      </c>
      <c r="V352" s="16">
        <v>3</v>
      </c>
      <c r="W352" s="16">
        <v>3</v>
      </c>
      <c r="X352" s="16">
        <v>3</v>
      </c>
      <c r="Y352" s="15">
        <v>0.45733333333300002</v>
      </c>
      <c r="Z352" s="15">
        <v>0.58266666666699996</v>
      </c>
      <c r="AA352" s="15">
        <v>0.67066666666700003</v>
      </c>
      <c r="AB352" s="15">
        <v>0.78466666666700002</v>
      </c>
      <c r="AC352" s="3">
        <f t="shared" si="69"/>
        <v>7.6029742978824907E-2</v>
      </c>
      <c r="AD352" s="3">
        <f t="shared" si="70"/>
        <v>0.12330415496543558</v>
      </c>
      <c r="AE352" s="3">
        <f t="shared" si="71"/>
        <v>-7.1289477577112237E-2</v>
      </c>
      <c r="AF352" s="3">
        <f t="shared" si="72"/>
        <v>6.5658956036911686E-2</v>
      </c>
    </row>
    <row r="353" spans="1:32" x14ac:dyDescent="0.2">
      <c r="A353" s="30">
        <v>351</v>
      </c>
      <c r="B353" s="9" t="s">
        <v>1105</v>
      </c>
      <c r="C353" s="12">
        <v>127892</v>
      </c>
      <c r="D353" s="13" t="s">
        <v>352</v>
      </c>
      <c r="E353" s="17">
        <v>0.91814005232399998</v>
      </c>
      <c r="F353" s="17">
        <v>51.5748176512</v>
      </c>
      <c r="G353" s="14">
        <v>249</v>
      </c>
      <c r="H353" s="17">
        <v>11.5</v>
      </c>
      <c r="I353" s="17">
        <v>11.01</v>
      </c>
      <c r="J353" s="17">
        <v>12.76</v>
      </c>
      <c r="K353" s="17">
        <v>14.87</v>
      </c>
      <c r="L353" s="17">
        <v>16</v>
      </c>
      <c r="M353" s="17">
        <f t="shared" si="64"/>
        <v>-0.49000000000000021</v>
      </c>
      <c r="N353" s="17">
        <f t="shared" si="65"/>
        <v>1.2599999999999998</v>
      </c>
      <c r="O353" s="17">
        <f t="shared" si="66"/>
        <v>3.3699999999999992</v>
      </c>
      <c r="P353" s="17">
        <f t="shared" si="67"/>
        <v>4.5</v>
      </c>
      <c r="Q353" s="17">
        <f t="shared" si="68"/>
        <v>-1.6461671049188364</v>
      </c>
      <c r="R353" s="17">
        <f t="shared" si="61"/>
        <v>-1.1900766563678431</v>
      </c>
      <c r="S353" s="17">
        <f t="shared" si="62"/>
        <v>-0.12704238624652697</v>
      </c>
      <c r="T353" s="17">
        <f t="shared" si="63"/>
        <v>-0.23975546301994274</v>
      </c>
      <c r="U353" s="16">
        <v>9</v>
      </c>
      <c r="V353" s="16">
        <v>16</v>
      </c>
      <c r="W353" s="16">
        <v>16</v>
      </c>
      <c r="X353" s="16">
        <v>23</v>
      </c>
      <c r="Y353" s="15">
        <v>0.45733333333300002</v>
      </c>
      <c r="Z353" s="15">
        <v>0.58266666666699996</v>
      </c>
      <c r="AA353" s="15">
        <v>0.67066666666700003</v>
      </c>
      <c r="AB353" s="15">
        <v>0.78466666666700002</v>
      </c>
      <c r="AC353" s="3">
        <f t="shared" si="69"/>
        <v>7.6029742978824907E-2</v>
      </c>
      <c r="AD353" s="3">
        <f t="shared" si="70"/>
        <v>0.12330415496543558</v>
      </c>
      <c r="AE353" s="3">
        <f t="shared" si="71"/>
        <v>-7.1289477577112237E-2</v>
      </c>
      <c r="AF353" s="3">
        <f t="shared" si="72"/>
        <v>6.5658956036911686E-2</v>
      </c>
    </row>
    <row r="354" spans="1:32" x14ac:dyDescent="0.2">
      <c r="A354" s="30">
        <v>352</v>
      </c>
      <c r="B354" s="9" t="s">
        <v>1106</v>
      </c>
      <c r="C354" s="12">
        <v>127895</v>
      </c>
      <c r="D354" s="13" t="s">
        <v>353</v>
      </c>
      <c r="E354" s="17">
        <v>-2.9678823514400001</v>
      </c>
      <c r="F354" s="17">
        <v>54.083699365800001</v>
      </c>
      <c r="G354" s="14">
        <v>802</v>
      </c>
      <c r="H354" s="17">
        <v>10.69</v>
      </c>
      <c r="I354" s="17">
        <v>10.44</v>
      </c>
      <c r="J354" s="17">
        <v>11.84</v>
      </c>
      <c r="K354" s="17">
        <v>13.36</v>
      </c>
      <c r="L354" s="17">
        <v>14.53</v>
      </c>
      <c r="M354" s="17">
        <f t="shared" si="64"/>
        <v>-0.25</v>
      </c>
      <c r="N354" s="17">
        <f t="shared" si="65"/>
        <v>1.1500000000000004</v>
      </c>
      <c r="O354" s="17">
        <f t="shared" si="66"/>
        <v>2.67</v>
      </c>
      <c r="P354" s="17">
        <f t="shared" si="67"/>
        <v>3.84</v>
      </c>
      <c r="Q354" s="17">
        <f t="shared" si="68"/>
        <v>-1.3537584155805868</v>
      </c>
      <c r="R354" s="17">
        <f t="shared" si="61"/>
        <v>-1.3449411814682446</v>
      </c>
      <c r="S354" s="17">
        <f t="shared" si="62"/>
        <v>-0.93992045479326902</v>
      </c>
      <c r="T354" s="17">
        <f t="shared" si="63"/>
        <v>-0.9077910852337141</v>
      </c>
      <c r="U354" s="16">
        <v>6</v>
      </c>
      <c r="V354" s="16">
        <v>8</v>
      </c>
      <c r="W354" s="16">
        <v>10</v>
      </c>
      <c r="X354" s="16">
        <v>12</v>
      </c>
      <c r="Y354" s="15">
        <v>0.39100000000000001</v>
      </c>
      <c r="Z354" s="15">
        <v>0.50800000000000001</v>
      </c>
      <c r="AA354" s="15">
        <v>0.59399999999999997</v>
      </c>
      <c r="AB354" s="15">
        <v>0.69099999999999995</v>
      </c>
      <c r="AC354" s="3">
        <f t="shared" si="69"/>
        <v>-0.53693510652113452</v>
      </c>
      <c r="AD354" s="3">
        <f t="shared" si="70"/>
        <v>-0.54671079888223684</v>
      </c>
      <c r="AE354" s="3">
        <f t="shared" si="71"/>
        <v>-0.70250516222592574</v>
      </c>
      <c r="AF354" s="3">
        <f t="shared" si="72"/>
        <v>-0.70377093576746474</v>
      </c>
    </row>
    <row r="355" spans="1:32" x14ac:dyDescent="0.2">
      <c r="A355" s="30">
        <v>353</v>
      </c>
      <c r="B355" s="9" t="s">
        <v>1454</v>
      </c>
      <c r="C355" s="12">
        <v>134946</v>
      </c>
      <c r="D355" s="13" t="s">
        <v>354</v>
      </c>
      <c r="E355" s="17">
        <v>23.027857458300002</v>
      </c>
      <c r="F355" s="17">
        <v>58.800382898899997</v>
      </c>
      <c r="G355" s="14">
        <v>353</v>
      </c>
      <c r="H355" s="17">
        <v>6.43</v>
      </c>
      <c r="I355" s="17">
        <v>7.09</v>
      </c>
      <c r="J355" s="17">
        <v>9.7200000000000006</v>
      </c>
      <c r="K355" s="17">
        <v>12.21</v>
      </c>
      <c r="L355" s="17">
        <v>12.27</v>
      </c>
      <c r="M355" s="17">
        <f t="shared" si="64"/>
        <v>0.66000000000000014</v>
      </c>
      <c r="N355" s="17">
        <f t="shared" si="65"/>
        <v>3.2900000000000009</v>
      </c>
      <c r="O355" s="17">
        <f t="shared" si="66"/>
        <v>5.7800000000000011</v>
      </c>
      <c r="P355" s="17">
        <f t="shared" si="67"/>
        <v>5.84</v>
      </c>
      <c r="Q355" s="17">
        <f t="shared" si="68"/>
        <v>-0.24504213517305812</v>
      </c>
      <c r="R355" s="17">
        <f t="shared" si="61"/>
        <v>1.6678777613941276</v>
      </c>
      <c r="S355" s="17">
        <f t="shared" si="62"/>
        <v>2.671580678321547</v>
      </c>
      <c r="T355" s="17">
        <f t="shared" si="63"/>
        <v>1.1165592851110471</v>
      </c>
      <c r="U355" s="16">
        <v>7</v>
      </c>
      <c r="V355" s="16">
        <v>12</v>
      </c>
      <c r="W355" s="16">
        <v>15</v>
      </c>
      <c r="X355" s="16">
        <v>18</v>
      </c>
      <c r="Y355" s="15">
        <v>0.16500000000000001</v>
      </c>
      <c r="Z355" s="15">
        <v>0.309</v>
      </c>
      <c r="AA355" s="15">
        <v>0.39600000000000002</v>
      </c>
      <c r="AB355" s="15">
        <v>0.52</v>
      </c>
      <c r="AC355" s="3">
        <f t="shared" si="69"/>
        <v>-2.6253279103556109</v>
      </c>
      <c r="AD355" s="3">
        <f t="shared" si="70"/>
        <v>-2.3324202964057861</v>
      </c>
      <c r="AE355" s="3">
        <f t="shared" si="71"/>
        <v>-2.3326882782249023</v>
      </c>
      <c r="AF355" s="3">
        <f t="shared" si="72"/>
        <v>-2.1084596706224112</v>
      </c>
    </row>
    <row r="356" spans="1:32" x14ac:dyDescent="0.2">
      <c r="A356" s="30">
        <v>354</v>
      </c>
      <c r="B356" s="9" t="s">
        <v>1107</v>
      </c>
      <c r="C356" s="12">
        <v>134949</v>
      </c>
      <c r="D356" s="13" t="s">
        <v>355</v>
      </c>
      <c r="E356" s="17">
        <v>23.582959721800002</v>
      </c>
      <c r="F356" s="17">
        <v>58.572211262499998</v>
      </c>
      <c r="G356" s="14">
        <v>21</v>
      </c>
      <c r="H356" s="17">
        <v>6.54</v>
      </c>
      <c r="I356" s="17">
        <v>7.12</v>
      </c>
      <c r="J356" s="17">
        <v>9.77</v>
      </c>
      <c r="K356" s="17">
        <v>12.31</v>
      </c>
      <c r="L356" s="17">
        <v>12.25</v>
      </c>
      <c r="M356" s="17">
        <f t="shared" si="64"/>
        <v>0.58000000000000007</v>
      </c>
      <c r="N356" s="17">
        <f t="shared" si="65"/>
        <v>3.2299999999999995</v>
      </c>
      <c r="O356" s="17">
        <f t="shared" si="66"/>
        <v>5.7700000000000005</v>
      </c>
      <c r="P356" s="17">
        <f t="shared" si="67"/>
        <v>5.71</v>
      </c>
      <c r="Q356" s="17">
        <f t="shared" si="68"/>
        <v>-0.34251169828580796</v>
      </c>
      <c r="R356" s="17">
        <f t="shared" si="61"/>
        <v>1.5834062022484519</v>
      </c>
      <c r="S356" s="17">
        <f t="shared" si="62"/>
        <v>2.6599681344851644</v>
      </c>
      <c r="T356" s="17">
        <f t="shared" si="63"/>
        <v>0.98497651103863781</v>
      </c>
      <c r="U356" s="16">
        <v>2</v>
      </c>
      <c r="V356" s="16">
        <v>4</v>
      </c>
      <c r="W356" s="16">
        <v>4</v>
      </c>
      <c r="X356" s="16">
        <v>5</v>
      </c>
      <c r="Y356" s="15">
        <v>0.19600000000000001</v>
      </c>
      <c r="Z356" s="15">
        <v>0.34200000000000003</v>
      </c>
      <c r="AA356" s="15">
        <v>0.42799999999999999</v>
      </c>
      <c r="AB356" s="15">
        <v>0.55200000000000005</v>
      </c>
      <c r="AC356" s="3">
        <f t="shared" si="69"/>
        <v>-2.3388669505376076</v>
      </c>
      <c r="AD356" s="3">
        <f t="shared" si="70"/>
        <v>-2.036297615911931</v>
      </c>
      <c r="AE356" s="3">
        <f t="shared" si="71"/>
        <v>-2.069224340285674</v>
      </c>
      <c r="AF356" s="3">
        <f t="shared" si="72"/>
        <v>-1.8455939424624208</v>
      </c>
    </row>
    <row r="357" spans="1:32" x14ac:dyDescent="0.2">
      <c r="A357" s="30">
        <v>355</v>
      </c>
      <c r="B357" s="9" t="s">
        <v>1108</v>
      </c>
      <c r="C357" s="12">
        <v>134951</v>
      </c>
      <c r="D357" s="13" t="s">
        <v>356</v>
      </c>
      <c r="E357" s="17">
        <v>21.8763558138</v>
      </c>
      <c r="F357" s="17">
        <v>58.372749917900002</v>
      </c>
      <c r="G357" s="14">
        <v>383</v>
      </c>
      <c r="H357" s="17">
        <v>7.23</v>
      </c>
      <c r="I357" s="17">
        <v>7.59</v>
      </c>
      <c r="J357" s="17">
        <v>10.33</v>
      </c>
      <c r="K357" s="17">
        <v>12.52</v>
      </c>
      <c r="L357" s="17">
        <v>12.71</v>
      </c>
      <c r="M357" s="17">
        <f t="shared" si="64"/>
        <v>0.35999999999999943</v>
      </c>
      <c r="N357" s="17">
        <f t="shared" si="65"/>
        <v>3.0999999999999996</v>
      </c>
      <c r="O357" s="17">
        <f t="shared" si="66"/>
        <v>5.2899999999999991</v>
      </c>
      <c r="P357" s="17">
        <f t="shared" si="67"/>
        <v>5.48</v>
      </c>
      <c r="Q357" s="17">
        <f t="shared" si="68"/>
        <v>-0.61055299684587061</v>
      </c>
      <c r="R357" s="17">
        <f t="shared" si="61"/>
        <v>1.4003844907661582</v>
      </c>
      <c r="S357" s="17">
        <f t="shared" si="62"/>
        <v>2.1025660303388247</v>
      </c>
      <c r="T357" s="17">
        <f t="shared" si="63"/>
        <v>0.75217621844899074</v>
      </c>
      <c r="U357" s="16">
        <v>19</v>
      </c>
      <c r="V357" s="16">
        <v>24</v>
      </c>
      <c r="W357" s="16">
        <v>26</v>
      </c>
      <c r="X357" s="16">
        <v>27</v>
      </c>
      <c r="Y357" s="15">
        <v>0.32900000000000001</v>
      </c>
      <c r="Z357" s="15">
        <v>0.47399999999999998</v>
      </c>
      <c r="AA357" s="15">
        <v>0.56200000000000006</v>
      </c>
      <c r="AB357" s="15">
        <v>0.68700000000000006</v>
      </c>
      <c r="AC357" s="3">
        <f t="shared" si="69"/>
        <v>-1.1098570261571412</v>
      </c>
      <c r="AD357" s="3">
        <f t="shared" si="70"/>
        <v>-0.85180689393651188</v>
      </c>
      <c r="AE357" s="3">
        <f t="shared" si="71"/>
        <v>-0.96596910016515358</v>
      </c>
      <c r="AF357" s="3">
        <f t="shared" si="72"/>
        <v>-0.73662915178746269</v>
      </c>
    </row>
    <row r="358" spans="1:32" x14ac:dyDescent="0.2">
      <c r="A358" s="30">
        <v>356</v>
      </c>
      <c r="B358" s="9" t="s">
        <v>1109</v>
      </c>
      <c r="C358" s="12">
        <v>134954</v>
      </c>
      <c r="D358" s="13" t="s">
        <v>357</v>
      </c>
      <c r="E358" s="17">
        <v>-2.8545782639600001</v>
      </c>
      <c r="F358" s="17">
        <v>53.318651379400002</v>
      </c>
      <c r="G358" s="14">
        <v>125</v>
      </c>
      <c r="H358" s="17">
        <v>9.7799999999999994</v>
      </c>
      <c r="I358" s="17">
        <v>9.3699999999999992</v>
      </c>
      <c r="J358" s="17">
        <v>10.78</v>
      </c>
      <c r="K358" s="17">
        <v>12.39</v>
      </c>
      <c r="L358" s="17">
        <v>13.6</v>
      </c>
      <c r="M358" s="17">
        <f t="shared" si="64"/>
        <v>-0.41000000000000014</v>
      </c>
      <c r="N358" s="17">
        <f t="shared" si="65"/>
        <v>1</v>
      </c>
      <c r="O358" s="17">
        <f t="shared" si="66"/>
        <v>2.6100000000000012</v>
      </c>
      <c r="P358" s="17">
        <f t="shared" si="67"/>
        <v>3.8200000000000003</v>
      </c>
      <c r="Q358" s="17">
        <f t="shared" si="68"/>
        <v>-1.5486975418060867</v>
      </c>
      <c r="R358" s="17">
        <f t="shared" si="61"/>
        <v>-1.5561200793324299</v>
      </c>
      <c r="S358" s="17">
        <f t="shared" si="62"/>
        <v>-1.0095957178115598</v>
      </c>
      <c r="T358" s="17">
        <f t="shared" si="63"/>
        <v>-0.92803458893716129</v>
      </c>
      <c r="U358" s="16">
        <v>2</v>
      </c>
      <c r="V358" s="16">
        <v>5</v>
      </c>
      <c r="W358" s="16">
        <v>6</v>
      </c>
      <c r="X358" s="16">
        <v>6</v>
      </c>
      <c r="Y358" s="15">
        <v>0.42099999999999999</v>
      </c>
      <c r="Z358" s="15">
        <v>0.53866666666700003</v>
      </c>
      <c r="AA358" s="15">
        <v>0.62466666666699999</v>
      </c>
      <c r="AB358" s="15">
        <v>0.72233333333299998</v>
      </c>
      <c r="AC358" s="3">
        <f t="shared" si="69"/>
        <v>-0.25971482282629277</v>
      </c>
      <c r="AD358" s="3">
        <f t="shared" si="70"/>
        <v>-0.27152608569303693</v>
      </c>
      <c r="AE358" s="3">
        <f t="shared" si="71"/>
        <v>-0.45001888836475368</v>
      </c>
      <c r="AF358" s="3">
        <f t="shared" si="72"/>
        <v>-0.44638157694687902</v>
      </c>
    </row>
    <row r="359" spans="1:32" x14ac:dyDescent="0.2">
      <c r="A359" s="30">
        <v>357</v>
      </c>
      <c r="B359" s="9" t="s">
        <v>1110</v>
      </c>
      <c r="C359" s="12">
        <v>134955</v>
      </c>
      <c r="D359" s="13" t="s">
        <v>358</v>
      </c>
      <c r="E359" s="17">
        <v>0.33519530282799997</v>
      </c>
      <c r="F359" s="17">
        <v>53.101669909899996</v>
      </c>
      <c r="G359" s="14">
        <v>9</v>
      </c>
      <c r="H359" s="17">
        <v>10.75</v>
      </c>
      <c r="I359" s="17">
        <v>10.220000000000001</v>
      </c>
      <c r="J359" s="17">
        <v>11.95</v>
      </c>
      <c r="K359" s="17">
        <v>14</v>
      </c>
      <c r="L359" s="17">
        <v>15.04</v>
      </c>
      <c r="M359" s="17">
        <f t="shared" si="64"/>
        <v>-0.52999999999999936</v>
      </c>
      <c r="N359" s="17">
        <f t="shared" si="65"/>
        <v>1.1999999999999993</v>
      </c>
      <c r="O359" s="17">
        <f t="shared" si="66"/>
        <v>3.25</v>
      </c>
      <c r="P359" s="17">
        <f t="shared" si="67"/>
        <v>4.2899999999999991</v>
      </c>
      <c r="Q359" s="17">
        <f t="shared" si="68"/>
        <v>-1.6949018864752103</v>
      </c>
      <c r="R359" s="17">
        <f t="shared" si="61"/>
        <v>-1.2745482155135177</v>
      </c>
      <c r="S359" s="17">
        <f t="shared" si="62"/>
        <v>-0.26639291228311057</v>
      </c>
      <c r="T359" s="17">
        <f t="shared" si="63"/>
        <v>-0.45231225190614355</v>
      </c>
      <c r="U359" s="16">
        <v>0</v>
      </c>
      <c r="V359" s="16">
        <v>1</v>
      </c>
      <c r="W359" s="16">
        <v>1</v>
      </c>
      <c r="X359" s="16">
        <v>1</v>
      </c>
      <c r="Y359" s="15">
        <v>0.48399999999999999</v>
      </c>
      <c r="Z359" s="15">
        <v>0.60799999999999998</v>
      </c>
      <c r="AA359" s="15">
        <v>0.69399999999999995</v>
      </c>
      <c r="AB359" s="15">
        <v>0.80600000000000005</v>
      </c>
      <c r="AC359" s="3">
        <f t="shared" si="69"/>
        <v>0.32244777293287546</v>
      </c>
      <c r="AD359" s="3">
        <f t="shared" si="70"/>
        <v>0.35063065715974745</v>
      </c>
      <c r="AE359" s="3">
        <f t="shared" si="71"/>
        <v>0.12081964383416352</v>
      </c>
      <c r="AF359" s="3">
        <f t="shared" si="72"/>
        <v>0.24090277480750044</v>
      </c>
    </row>
    <row r="360" spans="1:32" x14ac:dyDescent="0.2">
      <c r="A360" s="30">
        <v>358</v>
      </c>
      <c r="B360" s="9" t="s">
        <v>1455</v>
      </c>
      <c r="C360" s="12">
        <v>145501</v>
      </c>
      <c r="D360" s="13" t="s">
        <v>359</v>
      </c>
      <c r="E360" s="17">
        <v>-57.332000600500002</v>
      </c>
      <c r="F360" s="17">
        <v>-37.607587388399999</v>
      </c>
      <c r="G360" s="14">
        <v>160</v>
      </c>
      <c r="H360" s="17">
        <v>13.82</v>
      </c>
      <c r="I360" s="17">
        <v>15.75</v>
      </c>
      <c r="J360" s="17">
        <v>16.8</v>
      </c>
      <c r="K360" s="17">
        <v>17.11</v>
      </c>
      <c r="L360" s="17">
        <v>18.54</v>
      </c>
      <c r="M360" s="17">
        <f t="shared" si="64"/>
        <v>1.9299999999999997</v>
      </c>
      <c r="N360" s="17">
        <f t="shared" si="65"/>
        <v>2.9800000000000004</v>
      </c>
      <c r="O360" s="17">
        <f t="shared" si="66"/>
        <v>3.2899999999999991</v>
      </c>
      <c r="P360" s="17">
        <f t="shared" si="67"/>
        <v>4.7199999999999989</v>
      </c>
      <c r="Q360" s="17">
        <f t="shared" si="68"/>
        <v>1.302287179241844</v>
      </c>
      <c r="R360" s="17">
        <f t="shared" si="61"/>
        <v>1.2314413724748114</v>
      </c>
      <c r="S360" s="17">
        <f t="shared" si="62"/>
        <v>-0.2199427369375834</v>
      </c>
      <c r="T360" s="17">
        <f t="shared" si="63"/>
        <v>-1.7076922282020141E-2</v>
      </c>
      <c r="U360" s="16">
        <v>12</v>
      </c>
      <c r="V360" s="16">
        <v>13</v>
      </c>
      <c r="W360" s="16">
        <v>18</v>
      </c>
      <c r="X360" s="16">
        <v>22</v>
      </c>
      <c r="Y360" s="15">
        <v>0.35599999999999998</v>
      </c>
      <c r="Z360" s="15">
        <v>0.47699999999999998</v>
      </c>
      <c r="AA360" s="15">
        <v>0.61</v>
      </c>
      <c r="AB360" s="15">
        <v>0.69599999999999995</v>
      </c>
      <c r="AC360" s="3">
        <f t="shared" si="69"/>
        <v>-0.8603587708317838</v>
      </c>
      <c r="AD360" s="3">
        <f t="shared" si="70"/>
        <v>-0.82488665025525232</v>
      </c>
      <c r="AE360" s="3">
        <f t="shared" si="71"/>
        <v>-0.57077319325631126</v>
      </c>
      <c r="AF360" s="3">
        <f t="shared" si="72"/>
        <v>-0.66269816574246632</v>
      </c>
    </row>
    <row r="361" spans="1:32" x14ac:dyDescent="0.2">
      <c r="A361" s="30">
        <v>359</v>
      </c>
      <c r="B361" s="9" t="s">
        <v>1111</v>
      </c>
      <c r="C361" s="12">
        <v>145507</v>
      </c>
      <c r="D361" s="13" t="s">
        <v>360</v>
      </c>
      <c r="E361" s="17">
        <v>-16.061102855400001</v>
      </c>
      <c r="F361" s="17">
        <v>11.244674904</v>
      </c>
      <c r="G361" s="14">
        <v>5638</v>
      </c>
      <c r="H361" s="17">
        <v>25.3</v>
      </c>
      <c r="I361" s="17">
        <v>26.54</v>
      </c>
      <c r="J361" s="17">
        <v>27.51</v>
      </c>
      <c r="K361" s="17">
        <v>27.94</v>
      </c>
      <c r="L361" s="17">
        <v>28.68</v>
      </c>
      <c r="M361" s="17">
        <f t="shared" si="64"/>
        <v>1.2399999999999984</v>
      </c>
      <c r="N361" s="17">
        <f t="shared" si="65"/>
        <v>2.2100000000000009</v>
      </c>
      <c r="O361" s="17">
        <f t="shared" si="66"/>
        <v>2.6400000000000006</v>
      </c>
      <c r="P361" s="17">
        <f t="shared" si="67"/>
        <v>3.379999999999999</v>
      </c>
      <c r="Q361" s="17">
        <f t="shared" si="68"/>
        <v>0.46161219739437565</v>
      </c>
      <c r="R361" s="17">
        <f t="shared" si="61"/>
        <v>0.14738969677199618</v>
      </c>
      <c r="S361" s="17">
        <f t="shared" si="62"/>
        <v>-0.97475808630241445</v>
      </c>
      <c r="T361" s="17">
        <f t="shared" si="63"/>
        <v>-1.37339167041301</v>
      </c>
      <c r="U361" s="16">
        <v>27</v>
      </c>
      <c r="V361" s="16">
        <v>43</v>
      </c>
      <c r="W361" s="16">
        <v>46</v>
      </c>
      <c r="X361" s="16">
        <v>59</v>
      </c>
      <c r="Y361" s="15">
        <v>0.46400000000000002</v>
      </c>
      <c r="Z361" s="15">
        <v>0.58799999999999997</v>
      </c>
      <c r="AA361" s="15">
        <v>0.7</v>
      </c>
      <c r="AB361" s="15">
        <v>0.79400000000000004</v>
      </c>
      <c r="AC361" s="3">
        <f t="shared" si="69"/>
        <v>0.13763425046964778</v>
      </c>
      <c r="AD361" s="3">
        <f t="shared" si="70"/>
        <v>0.1711623659513504</v>
      </c>
      <c r="AE361" s="3">
        <f t="shared" si="71"/>
        <v>0.17021913219776894</v>
      </c>
      <c r="AF361" s="3">
        <f t="shared" si="72"/>
        <v>0.14232812674750409</v>
      </c>
    </row>
    <row r="362" spans="1:32" x14ac:dyDescent="0.2">
      <c r="A362" s="30">
        <v>360</v>
      </c>
      <c r="B362" s="9" t="s">
        <v>822</v>
      </c>
      <c r="C362" s="12">
        <v>145509</v>
      </c>
      <c r="D362" s="13" t="s">
        <v>361</v>
      </c>
      <c r="E362" s="17">
        <v>-111.600750416</v>
      </c>
      <c r="F362" s="17">
        <v>27.5803616458</v>
      </c>
      <c r="G362" s="14">
        <v>2506</v>
      </c>
      <c r="H362" s="17">
        <v>22.69</v>
      </c>
      <c r="I362" s="17">
        <v>24.22</v>
      </c>
      <c r="J362" s="17">
        <v>25.18</v>
      </c>
      <c r="K362" s="17">
        <v>26.5</v>
      </c>
      <c r="L362" s="17">
        <v>27.89</v>
      </c>
      <c r="M362" s="17">
        <f t="shared" si="64"/>
        <v>1.5299999999999976</v>
      </c>
      <c r="N362" s="17">
        <f t="shared" si="65"/>
        <v>2.4899999999999984</v>
      </c>
      <c r="O362" s="17">
        <f t="shared" si="66"/>
        <v>3.8099999999999987</v>
      </c>
      <c r="P362" s="17">
        <f t="shared" si="67"/>
        <v>5.1999999999999993</v>
      </c>
      <c r="Q362" s="17">
        <f t="shared" si="68"/>
        <v>0.8149393636780925</v>
      </c>
      <c r="R362" s="17">
        <f t="shared" si="61"/>
        <v>0.54159030611847125</v>
      </c>
      <c r="S362" s="17">
        <f t="shared" si="62"/>
        <v>0.38390954255428228</v>
      </c>
      <c r="T362" s="17">
        <f t="shared" si="63"/>
        <v>0.46876716660072298</v>
      </c>
      <c r="U362" s="16">
        <v>126</v>
      </c>
      <c r="V362" s="16">
        <v>132</v>
      </c>
      <c r="W362" s="16">
        <v>161</v>
      </c>
      <c r="X362" s="16">
        <v>180</v>
      </c>
      <c r="Y362" s="15">
        <v>0.52600000000000002</v>
      </c>
      <c r="Z362" s="15">
        <v>0.626</v>
      </c>
      <c r="AA362" s="15">
        <v>0.73399999999999999</v>
      </c>
      <c r="AB362" s="15">
        <v>0.81599999999999995</v>
      </c>
      <c r="AC362" s="3">
        <f t="shared" si="69"/>
        <v>0.71055617010565464</v>
      </c>
      <c r="AD362" s="3">
        <f t="shared" si="70"/>
        <v>0.51215211924730486</v>
      </c>
      <c r="AE362" s="3">
        <f t="shared" si="71"/>
        <v>0.45014956625819957</v>
      </c>
      <c r="AF362" s="3">
        <f t="shared" si="72"/>
        <v>0.32304831485749652</v>
      </c>
    </row>
    <row r="363" spans="1:32" x14ac:dyDescent="0.2">
      <c r="A363" s="30">
        <v>361</v>
      </c>
      <c r="B363" s="9" t="s">
        <v>1456</v>
      </c>
      <c r="C363" s="12">
        <v>145514</v>
      </c>
      <c r="D363" s="13" t="s">
        <v>362</v>
      </c>
      <c r="E363" s="17">
        <v>-57.188312470100001</v>
      </c>
      <c r="F363" s="17">
        <v>-36.250976488500001</v>
      </c>
      <c r="G363" s="14">
        <v>511</v>
      </c>
      <c r="H363" s="17">
        <v>15.39</v>
      </c>
      <c r="I363" s="17">
        <v>17.53</v>
      </c>
      <c r="J363" s="17">
        <v>18.07</v>
      </c>
      <c r="K363" s="17">
        <v>18.559999999999999</v>
      </c>
      <c r="L363" s="17">
        <v>20.21</v>
      </c>
      <c r="M363" s="17">
        <f t="shared" si="64"/>
        <v>2.1400000000000006</v>
      </c>
      <c r="N363" s="17">
        <f t="shared" si="65"/>
        <v>2.6799999999999997</v>
      </c>
      <c r="O363" s="17">
        <f t="shared" si="66"/>
        <v>3.1699999999999982</v>
      </c>
      <c r="P363" s="17">
        <f t="shared" si="67"/>
        <v>4.82</v>
      </c>
      <c r="Q363" s="17">
        <f t="shared" si="68"/>
        <v>1.5581447824128132</v>
      </c>
      <c r="R363" s="17">
        <f t="shared" si="61"/>
        <v>0.8090835767464406</v>
      </c>
      <c r="S363" s="17">
        <f t="shared" si="62"/>
        <v>-0.35929326297416903</v>
      </c>
      <c r="T363" s="17">
        <f t="shared" si="63"/>
        <v>8.4140596235219356E-2</v>
      </c>
      <c r="U363" s="16">
        <v>17</v>
      </c>
      <c r="V363" s="16">
        <v>22</v>
      </c>
      <c r="W363" s="16">
        <v>35</v>
      </c>
      <c r="X363" s="16">
        <v>40</v>
      </c>
      <c r="Y363" s="15">
        <v>0.36499999999999999</v>
      </c>
      <c r="Z363" s="15">
        <v>0.48799999999999999</v>
      </c>
      <c r="AA363" s="15">
        <v>0.62</v>
      </c>
      <c r="AB363" s="15">
        <v>0.70299999999999996</v>
      </c>
      <c r="AC363" s="3">
        <f t="shared" si="69"/>
        <v>-0.77719268572333111</v>
      </c>
      <c r="AD363" s="3">
        <f t="shared" si="70"/>
        <v>-0.72617909009063397</v>
      </c>
      <c r="AE363" s="3">
        <f t="shared" si="71"/>
        <v>-0.48844071265030226</v>
      </c>
      <c r="AF363" s="3">
        <f t="shared" si="72"/>
        <v>-0.60519628770746836</v>
      </c>
    </row>
    <row r="364" spans="1:32" x14ac:dyDescent="0.2">
      <c r="A364" s="30">
        <v>362</v>
      </c>
      <c r="B364" s="9" t="s">
        <v>823</v>
      </c>
      <c r="C364" s="12">
        <v>145515</v>
      </c>
      <c r="D364" s="13" t="s">
        <v>363</v>
      </c>
      <c r="E364" s="17">
        <v>-73.372263693099995</v>
      </c>
      <c r="F364" s="17">
        <v>21.088322646200002</v>
      </c>
      <c r="G364" s="14">
        <v>303</v>
      </c>
      <c r="H364" s="17">
        <v>25.35</v>
      </c>
      <c r="I364" s="17">
        <v>26.21</v>
      </c>
      <c r="J364" s="17">
        <v>27.25</v>
      </c>
      <c r="K364" s="17">
        <v>28.65</v>
      </c>
      <c r="L364" s="17">
        <v>29.53</v>
      </c>
      <c r="M364" s="17">
        <f t="shared" si="64"/>
        <v>0.85999999999999943</v>
      </c>
      <c r="N364" s="17">
        <f t="shared" si="65"/>
        <v>1.8999999999999986</v>
      </c>
      <c r="O364" s="17">
        <f t="shared" si="66"/>
        <v>3.2999999999999972</v>
      </c>
      <c r="P364" s="17">
        <f t="shared" si="67"/>
        <v>4.18</v>
      </c>
      <c r="Q364" s="17">
        <f t="shared" si="68"/>
        <v>-1.3682273911845646E-3</v>
      </c>
      <c r="R364" s="17">
        <f t="shared" si="61"/>
        <v>-0.28904669214732254</v>
      </c>
      <c r="S364" s="17">
        <f t="shared" si="62"/>
        <v>-0.20833019310120365</v>
      </c>
      <c r="T364" s="17">
        <f t="shared" si="63"/>
        <v>-0.56365152227510484</v>
      </c>
      <c r="U364" s="16">
        <v>0</v>
      </c>
      <c r="V364" s="16">
        <v>3</v>
      </c>
      <c r="W364" s="16">
        <v>10</v>
      </c>
      <c r="X364" s="16">
        <v>22</v>
      </c>
      <c r="Y364" s="15">
        <v>0.52400000000000002</v>
      </c>
      <c r="Z364" s="15">
        <v>0.65500000000000003</v>
      </c>
      <c r="AA364" s="15">
        <v>0.753</v>
      </c>
      <c r="AB364" s="15">
        <v>0.85</v>
      </c>
      <c r="AC364" s="3">
        <f t="shared" si="69"/>
        <v>0.69207481785933178</v>
      </c>
      <c r="AD364" s="3">
        <f t="shared" si="70"/>
        <v>0.77238114149948056</v>
      </c>
      <c r="AE364" s="3">
        <f t="shared" si="71"/>
        <v>0.6065812794096167</v>
      </c>
      <c r="AF364" s="3">
        <f t="shared" si="72"/>
        <v>0.60234315102748626</v>
      </c>
    </row>
    <row r="365" spans="1:32" x14ac:dyDescent="0.2">
      <c r="A365" s="30">
        <v>363</v>
      </c>
      <c r="B365" s="9" t="s">
        <v>824</v>
      </c>
      <c r="C365" s="12">
        <v>145517</v>
      </c>
      <c r="D365" s="13" t="s">
        <v>364</v>
      </c>
      <c r="E365" s="17">
        <v>-71.709982632999996</v>
      </c>
      <c r="F365" s="17">
        <v>-33.781624287299998</v>
      </c>
      <c r="G365" s="14">
        <v>7</v>
      </c>
      <c r="H365" s="17">
        <v>15.8</v>
      </c>
      <c r="I365" s="17">
        <v>17.02</v>
      </c>
      <c r="J365" s="17">
        <v>18.13</v>
      </c>
      <c r="K365" s="17">
        <v>18.73</v>
      </c>
      <c r="L365" s="17">
        <v>19.29</v>
      </c>
      <c r="M365" s="17">
        <f t="shared" si="64"/>
        <v>1.2199999999999989</v>
      </c>
      <c r="N365" s="17">
        <f t="shared" si="65"/>
        <v>2.3299999999999983</v>
      </c>
      <c r="O365" s="17">
        <f t="shared" si="66"/>
        <v>2.9299999999999997</v>
      </c>
      <c r="P365" s="17">
        <f t="shared" si="67"/>
        <v>3.4899999999999984</v>
      </c>
      <c r="Q365" s="17">
        <f t="shared" si="68"/>
        <v>0.4372448066161887</v>
      </c>
      <c r="R365" s="17">
        <f t="shared" si="61"/>
        <v>0.31633281506334049</v>
      </c>
      <c r="S365" s="17">
        <f t="shared" si="62"/>
        <v>-0.63799431504733617</v>
      </c>
      <c r="T365" s="17">
        <f t="shared" si="63"/>
        <v>-1.2620524000440487</v>
      </c>
      <c r="U365" s="16">
        <v>0</v>
      </c>
      <c r="V365" s="16">
        <v>0</v>
      </c>
      <c r="W365" s="16">
        <v>0</v>
      </c>
      <c r="X365" s="16">
        <v>0</v>
      </c>
      <c r="Y365" s="15">
        <v>0.23499999999999999</v>
      </c>
      <c r="Z365" s="15">
        <v>0.33900000000000002</v>
      </c>
      <c r="AA365" s="15">
        <v>0.45600000000000002</v>
      </c>
      <c r="AB365" s="15">
        <v>0.52400000000000002</v>
      </c>
      <c r="AC365" s="3">
        <f t="shared" si="69"/>
        <v>-1.9784805817343132</v>
      </c>
      <c r="AD365" s="3">
        <f t="shared" si="70"/>
        <v>-2.0632178595931907</v>
      </c>
      <c r="AE365" s="3">
        <f t="shared" si="71"/>
        <v>-1.8386933945888486</v>
      </c>
      <c r="AF365" s="3">
        <f t="shared" si="72"/>
        <v>-2.0756014546024124</v>
      </c>
    </row>
    <row r="366" spans="1:32" x14ac:dyDescent="0.2">
      <c r="A366" s="30">
        <v>364</v>
      </c>
      <c r="B366" s="9" t="s">
        <v>1315</v>
      </c>
      <c r="C366" s="12">
        <v>145523</v>
      </c>
      <c r="D366" s="13" t="s">
        <v>365</v>
      </c>
      <c r="E366" s="17">
        <v>114.01756182299999</v>
      </c>
      <c r="F366" s="17">
        <v>22.4823574212</v>
      </c>
      <c r="G366" s="14">
        <v>10</v>
      </c>
      <c r="H366" s="17">
        <v>20.92</v>
      </c>
      <c r="I366" s="17">
        <v>23.05</v>
      </c>
      <c r="J366" s="17">
        <v>23.77</v>
      </c>
      <c r="K366" s="17">
        <v>24.49</v>
      </c>
      <c r="L366" s="17">
        <v>26.32</v>
      </c>
      <c r="M366" s="17">
        <f t="shared" si="64"/>
        <v>2.129999999999999</v>
      </c>
      <c r="N366" s="17">
        <f t="shared" si="65"/>
        <v>2.8499999999999979</v>
      </c>
      <c r="O366" s="17">
        <f t="shared" si="66"/>
        <v>3.5699999999999967</v>
      </c>
      <c r="P366" s="17">
        <f t="shared" si="67"/>
        <v>5.3999999999999986</v>
      </c>
      <c r="Q366" s="17">
        <f t="shared" si="68"/>
        <v>1.5459610870237175</v>
      </c>
      <c r="R366" s="17">
        <f t="shared" si="61"/>
        <v>1.0484196609925143</v>
      </c>
      <c r="S366" s="17">
        <f t="shared" si="62"/>
        <v>0.10520849048111096</v>
      </c>
      <c r="T366" s="17">
        <f t="shared" si="63"/>
        <v>0.67120220363519845</v>
      </c>
      <c r="U366" s="16">
        <v>0</v>
      </c>
      <c r="V366" s="16">
        <v>0</v>
      </c>
      <c r="W366" s="16">
        <v>0</v>
      </c>
      <c r="X366" s="16">
        <v>0</v>
      </c>
      <c r="Y366" s="15">
        <v>0.40237499999999998</v>
      </c>
      <c r="Z366" s="15">
        <v>0.53849999999999998</v>
      </c>
      <c r="AA366" s="15">
        <v>0.65612499999999996</v>
      </c>
      <c r="AB366" s="15">
        <v>0.75775000000000003</v>
      </c>
      <c r="AC366" s="3">
        <f t="shared" si="69"/>
        <v>-0.43182241562017387</v>
      </c>
      <c r="AD366" s="3">
        <f t="shared" si="70"/>
        <v>-0.27302165478943186</v>
      </c>
      <c r="AE366" s="3">
        <f t="shared" si="71"/>
        <v>-0.19101462646109527</v>
      </c>
      <c r="AF366" s="3">
        <f t="shared" si="72"/>
        <v>-0.15544945593373471</v>
      </c>
    </row>
    <row r="367" spans="1:32" x14ac:dyDescent="0.2">
      <c r="A367" s="30">
        <v>365</v>
      </c>
      <c r="B367" s="9" t="s">
        <v>825</v>
      </c>
      <c r="C367" s="12">
        <v>145524</v>
      </c>
      <c r="D367" s="13" t="s">
        <v>366</v>
      </c>
      <c r="E367" s="17">
        <v>-82.635893124099994</v>
      </c>
      <c r="F367" s="17">
        <v>9.6190646422700006</v>
      </c>
      <c r="G367" s="14">
        <v>67</v>
      </c>
      <c r="H367" s="17">
        <v>20.239999999999998</v>
      </c>
      <c r="I367" s="17">
        <v>21.02</v>
      </c>
      <c r="J367" s="17">
        <v>22.28</v>
      </c>
      <c r="K367" s="17">
        <v>23.4</v>
      </c>
      <c r="L367" s="17">
        <v>24.74</v>
      </c>
      <c r="M367" s="17">
        <f t="shared" si="64"/>
        <v>0.78000000000000114</v>
      </c>
      <c r="N367" s="17">
        <f t="shared" si="65"/>
        <v>2.0400000000000027</v>
      </c>
      <c r="O367" s="17">
        <f t="shared" si="66"/>
        <v>3.16</v>
      </c>
      <c r="P367" s="17">
        <f t="shared" si="67"/>
        <v>4.5</v>
      </c>
      <c r="Q367" s="17">
        <f t="shared" si="68"/>
        <v>-9.8837790503932252E-2</v>
      </c>
      <c r="R367" s="17">
        <f t="shared" si="61"/>
        <v>-9.1946387474077462E-2</v>
      </c>
      <c r="S367" s="17">
        <f t="shared" si="62"/>
        <v>-0.37090580681054874</v>
      </c>
      <c r="T367" s="17">
        <f t="shared" si="63"/>
        <v>-0.23975546301994274</v>
      </c>
      <c r="U367" s="16">
        <v>2</v>
      </c>
      <c r="V367" s="16">
        <v>2</v>
      </c>
      <c r="W367" s="16">
        <v>2</v>
      </c>
      <c r="X367" s="16">
        <v>2</v>
      </c>
      <c r="Y367" s="15">
        <v>0.5</v>
      </c>
      <c r="Z367" s="15">
        <v>0.63</v>
      </c>
      <c r="AA367" s="15">
        <v>0.75749999999999995</v>
      </c>
      <c r="AB367" s="15">
        <v>0.84950000000000003</v>
      </c>
      <c r="AC367" s="3">
        <f t="shared" si="69"/>
        <v>0.47029859090345799</v>
      </c>
      <c r="AD367" s="3">
        <f t="shared" si="70"/>
        <v>0.5480457774889842</v>
      </c>
      <c r="AE367" s="3">
        <f t="shared" si="71"/>
        <v>0.64363089568232024</v>
      </c>
      <c r="AF367" s="3">
        <f t="shared" si="72"/>
        <v>0.59823587402498679</v>
      </c>
    </row>
    <row r="368" spans="1:32" x14ac:dyDescent="0.2">
      <c r="A368" s="30">
        <v>366</v>
      </c>
      <c r="B368" s="9" t="s">
        <v>826</v>
      </c>
      <c r="C368" s="12">
        <v>145525</v>
      </c>
      <c r="D368" s="13" t="s">
        <v>367</v>
      </c>
      <c r="E368" s="17">
        <v>-83.580719478199995</v>
      </c>
      <c r="F368" s="17">
        <v>10.599314017399999</v>
      </c>
      <c r="G368" s="14">
        <v>127</v>
      </c>
      <c r="H368" s="17">
        <v>23.68</v>
      </c>
      <c r="I368" s="17">
        <v>24.37</v>
      </c>
      <c r="J368" s="17">
        <v>25.86</v>
      </c>
      <c r="K368" s="17">
        <v>26.82</v>
      </c>
      <c r="L368" s="17">
        <v>28.3</v>
      </c>
      <c r="M368" s="17">
        <f t="shared" si="64"/>
        <v>0.69000000000000128</v>
      </c>
      <c r="N368" s="17">
        <f t="shared" si="65"/>
        <v>2.1799999999999997</v>
      </c>
      <c r="O368" s="17">
        <f t="shared" si="66"/>
        <v>3.1400000000000006</v>
      </c>
      <c r="P368" s="17">
        <f t="shared" si="67"/>
        <v>4.620000000000001</v>
      </c>
      <c r="Q368" s="17">
        <f t="shared" si="68"/>
        <v>-0.20849104900577559</v>
      </c>
      <c r="R368" s="17">
        <f t="shared" si="61"/>
        <v>0.10515391719915759</v>
      </c>
      <c r="S368" s="17">
        <f t="shared" si="62"/>
        <v>-0.39413089448331234</v>
      </c>
      <c r="T368" s="17">
        <f t="shared" si="63"/>
        <v>-0.11829444079925605</v>
      </c>
      <c r="U368" s="16">
        <v>4</v>
      </c>
      <c r="V368" s="16">
        <v>4</v>
      </c>
      <c r="W368" s="16">
        <v>4</v>
      </c>
      <c r="X368" s="16">
        <v>4</v>
      </c>
      <c r="Y368" s="15">
        <v>0.52</v>
      </c>
      <c r="Z368" s="15">
        <v>0.65</v>
      </c>
      <c r="AA368" s="15">
        <v>0.77400000000000002</v>
      </c>
      <c r="AB368" s="15">
        <v>0.86599999999999999</v>
      </c>
      <c r="AC368" s="3">
        <f t="shared" si="69"/>
        <v>0.65511211336668618</v>
      </c>
      <c r="AD368" s="3">
        <f t="shared" si="70"/>
        <v>0.72751406869738133</v>
      </c>
      <c r="AE368" s="3">
        <f t="shared" si="71"/>
        <v>0.7794794886822356</v>
      </c>
      <c r="AF368" s="3">
        <f t="shared" si="72"/>
        <v>0.73377601510748136</v>
      </c>
    </row>
    <row r="369" spans="1:32" x14ac:dyDescent="0.2">
      <c r="A369" s="30">
        <v>367</v>
      </c>
      <c r="B369" s="9" t="s">
        <v>827</v>
      </c>
      <c r="C369" s="12">
        <v>145527</v>
      </c>
      <c r="D369" s="13" t="s">
        <v>368</v>
      </c>
      <c r="E369" s="17">
        <v>-83.516956331299994</v>
      </c>
      <c r="F369" s="17">
        <v>8.8674651744199995</v>
      </c>
      <c r="G369" s="14">
        <v>141</v>
      </c>
      <c r="H369" s="17">
        <v>26.44</v>
      </c>
      <c r="I369" s="17">
        <v>27.13</v>
      </c>
      <c r="J369" s="17">
        <v>28.44</v>
      </c>
      <c r="K369" s="17">
        <v>29.8</v>
      </c>
      <c r="L369" s="17">
        <v>30.71</v>
      </c>
      <c r="M369" s="17">
        <f t="shared" si="64"/>
        <v>0.68999999999999773</v>
      </c>
      <c r="N369" s="17">
        <f t="shared" si="65"/>
        <v>2</v>
      </c>
      <c r="O369" s="17">
        <f t="shared" si="66"/>
        <v>3.3599999999999994</v>
      </c>
      <c r="P369" s="17">
        <f t="shared" si="67"/>
        <v>4.2699999999999996</v>
      </c>
      <c r="Q369" s="17">
        <f t="shared" si="68"/>
        <v>-0.20849104900577992</v>
      </c>
      <c r="R369" s="17">
        <f t="shared" si="61"/>
        <v>-0.14826076023786391</v>
      </c>
      <c r="S369" s="17">
        <f t="shared" si="62"/>
        <v>-0.13865493008290877</v>
      </c>
      <c r="T369" s="17">
        <f t="shared" si="63"/>
        <v>-0.47255575560959073</v>
      </c>
      <c r="U369" s="16">
        <v>3</v>
      </c>
      <c r="V369" s="16">
        <v>3</v>
      </c>
      <c r="W369" s="16">
        <v>3</v>
      </c>
      <c r="X369" s="16">
        <v>4</v>
      </c>
      <c r="Y369" s="15">
        <v>0.5</v>
      </c>
      <c r="Z369" s="15">
        <v>0.60499999999999998</v>
      </c>
      <c r="AA369" s="15">
        <v>0.74</v>
      </c>
      <c r="AB369" s="15">
        <v>0.81599999999999995</v>
      </c>
      <c r="AC369" s="3">
        <f t="shared" si="69"/>
        <v>0.47029859090345799</v>
      </c>
      <c r="AD369" s="3">
        <f t="shared" si="70"/>
        <v>0.32371041347848789</v>
      </c>
      <c r="AE369" s="3">
        <f t="shared" si="71"/>
        <v>0.49954905462180499</v>
      </c>
      <c r="AF369" s="3">
        <f t="shared" si="72"/>
        <v>0.32304831485749652</v>
      </c>
    </row>
    <row r="370" spans="1:32" x14ac:dyDescent="0.2">
      <c r="A370" s="30">
        <v>368</v>
      </c>
      <c r="B370" s="9" t="s">
        <v>1112</v>
      </c>
      <c r="C370" s="12">
        <v>145528</v>
      </c>
      <c r="D370" s="13" t="s">
        <v>369</v>
      </c>
      <c r="E370" s="17">
        <v>-4.8785595257900001</v>
      </c>
      <c r="F370" s="17">
        <v>5.2070957494699996</v>
      </c>
      <c r="G370" s="14">
        <v>25</v>
      </c>
      <c r="H370" s="17">
        <v>26.14</v>
      </c>
      <c r="I370" s="17">
        <v>27.41</v>
      </c>
      <c r="J370" s="17">
        <v>28.41</v>
      </c>
      <c r="K370" s="17">
        <v>30.05</v>
      </c>
      <c r="L370" s="17">
        <v>31.01</v>
      </c>
      <c r="M370" s="17">
        <f t="shared" si="64"/>
        <v>1.2699999999999996</v>
      </c>
      <c r="N370" s="17">
        <f t="shared" si="65"/>
        <v>2.2699999999999996</v>
      </c>
      <c r="O370" s="17">
        <f t="shared" si="66"/>
        <v>3.91</v>
      </c>
      <c r="P370" s="17">
        <f t="shared" si="67"/>
        <v>4.870000000000001</v>
      </c>
      <c r="Q370" s="17">
        <f t="shared" si="68"/>
        <v>0.49816328356165818</v>
      </c>
      <c r="R370" s="17">
        <f t="shared" si="61"/>
        <v>0.23186125591766835</v>
      </c>
      <c r="S370" s="17">
        <f t="shared" si="62"/>
        <v>0.50003498091810428</v>
      </c>
      <c r="T370" s="17">
        <f t="shared" si="63"/>
        <v>0.13474935549383912</v>
      </c>
      <c r="U370" s="16">
        <v>0</v>
      </c>
      <c r="V370" s="16">
        <v>0</v>
      </c>
      <c r="W370" s="16">
        <v>0</v>
      </c>
      <c r="X370" s="16">
        <v>0</v>
      </c>
      <c r="Y370" s="15">
        <v>0.46899999999999997</v>
      </c>
      <c r="Z370" s="15">
        <v>0.59799999999999998</v>
      </c>
      <c r="AA370" s="15">
        <v>0.71899999999999997</v>
      </c>
      <c r="AB370" s="15">
        <v>0.81699999999999995</v>
      </c>
      <c r="AC370" s="3">
        <f t="shared" si="69"/>
        <v>0.18383763108545431</v>
      </c>
      <c r="AD370" s="3">
        <f t="shared" si="70"/>
        <v>0.26089651155554894</v>
      </c>
      <c r="AE370" s="3">
        <f t="shared" si="71"/>
        <v>0.32665084534918604</v>
      </c>
      <c r="AF370" s="3">
        <f t="shared" si="72"/>
        <v>0.33126286886249623</v>
      </c>
    </row>
    <row r="371" spans="1:32" x14ac:dyDescent="0.2">
      <c r="A371" s="30">
        <v>369</v>
      </c>
      <c r="B371" s="9" t="s">
        <v>1113</v>
      </c>
      <c r="C371" s="12">
        <v>145529</v>
      </c>
      <c r="D371" s="13" t="s">
        <v>370</v>
      </c>
      <c r="E371" s="17">
        <v>-15.8422149209</v>
      </c>
      <c r="F371" s="17">
        <v>13.501042311499999</v>
      </c>
      <c r="G371" s="14">
        <v>71</v>
      </c>
      <c r="H371" s="17">
        <v>26.29</v>
      </c>
      <c r="I371" s="17">
        <v>27.97</v>
      </c>
      <c r="J371" s="17">
        <v>29.62</v>
      </c>
      <c r="K371" s="17">
        <v>30.69</v>
      </c>
      <c r="L371" s="17">
        <v>32.01</v>
      </c>
      <c r="M371" s="17">
        <f t="shared" si="64"/>
        <v>1.6799999999999997</v>
      </c>
      <c r="N371" s="17">
        <f t="shared" si="65"/>
        <v>3.3300000000000018</v>
      </c>
      <c r="O371" s="17">
        <f t="shared" si="66"/>
        <v>4.4000000000000021</v>
      </c>
      <c r="P371" s="17">
        <f t="shared" si="67"/>
        <v>5.7199999999999989</v>
      </c>
      <c r="Q371" s="17">
        <f t="shared" si="68"/>
        <v>0.99769479451450094</v>
      </c>
      <c r="R371" s="17">
        <f t="shared" si="61"/>
        <v>1.7241921341579116</v>
      </c>
      <c r="S371" s="17">
        <f t="shared" si="62"/>
        <v>1.0690496289008267</v>
      </c>
      <c r="T371" s="17">
        <f t="shared" si="63"/>
        <v>0.99509826289036052</v>
      </c>
      <c r="U371" s="16">
        <v>0</v>
      </c>
      <c r="V371" s="16">
        <v>3</v>
      </c>
      <c r="W371" s="16">
        <v>7</v>
      </c>
      <c r="X371" s="16">
        <v>10</v>
      </c>
      <c r="Y371" s="15">
        <v>0.44800000000000001</v>
      </c>
      <c r="Z371" s="15">
        <v>0.57199999999999995</v>
      </c>
      <c r="AA371" s="15">
        <v>0.68200000000000005</v>
      </c>
      <c r="AB371" s="15">
        <v>0.77500000000000002</v>
      </c>
      <c r="AC371" s="3">
        <f t="shared" si="69"/>
        <v>-1.0216567500934746E-2</v>
      </c>
      <c r="AD371" s="3">
        <f t="shared" si="70"/>
        <v>2.7587732984632744E-2</v>
      </c>
      <c r="AE371" s="3">
        <f t="shared" si="71"/>
        <v>2.2020667106953617E-2</v>
      </c>
      <c r="AF371" s="3">
        <f t="shared" si="72"/>
        <v>-1.3748399347490175E-2</v>
      </c>
    </row>
    <row r="372" spans="1:32" x14ac:dyDescent="0.2">
      <c r="A372" s="30">
        <v>370</v>
      </c>
      <c r="B372" s="9" t="s">
        <v>1457</v>
      </c>
      <c r="C372" s="12">
        <v>145540</v>
      </c>
      <c r="D372" s="13" t="s">
        <v>371</v>
      </c>
      <c r="E372" s="17">
        <v>-114.88961288</v>
      </c>
      <c r="F372" s="17">
        <v>31.744247190999999</v>
      </c>
      <c r="G372" s="14">
        <v>2566</v>
      </c>
      <c r="H372" s="17">
        <v>19.079999999999998</v>
      </c>
      <c r="I372" s="17">
        <v>21.19</v>
      </c>
      <c r="J372" s="17">
        <v>22.64</v>
      </c>
      <c r="K372" s="17">
        <v>24.89</v>
      </c>
      <c r="L372" s="17">
        <v>26.61</v>
      </c>
      <c r="M372" s="17">
        <f t="shared" si="64"/>
        <v>2.110000000000003</v>
      </c>
      <c r="N372" s="17">
        <f t="shared" si="65"/>
        <v>3.5600000000000023</v>
      </c>
      <c r="O372" s="17">
        <f t="shared" si="66"/>
        <v>5.8100000000000023</v>
      </c>
      <c r="P372" s="17">
        <f t="shared" si="67"/>
        <v>7.5300000000000011</v>
      </c>
      <c r="Q372" s="17">
        <f t="shared" si="68"/>
        <v>1.521593696245535</v>
      </c>
      <c r="R372" s="17">
        <f t="shared" si="61"/>
        <v>2.0479997775496623</v>
      </c>
      <c r="S372" s="17">
        <f t="shared" si="62"/>
        <v>2.7064183098306946</v>
      </c>
      <c r="T372" s="17">
        <f t="shared" si="63"/>
        <v>2.8271353480523715</v>
      </c>
      <c r="U372" s="16">
        <v>29</v>
      </c>
      <c r="V372" s="16">
        <v>36</v>
      </c>
      <c r="W372" s="16">
        <v>43</v>
      </c>
      <c r="X372" s="16">
        <v>50</v>
      </c>
      <c r="Y372" s="15">
        <v>0.43</v>
      </c>
      <c r="Z372" s="15">
        <v>0.52900000000000003</v>
      </c>
      <c r="AA372" s="15">
        <v>0.63200000000000001</v>
      </c>
      <c r="AB372" s="15">
        <v>0.72399999999999998</v>
      </c>
      <c r="AC372" s="3">
        <f t="shared" si="69"/>
        <v>-0.1765487377178401</v>
      </c>
      <c r="AD372" s="3">
        <f t="shared" si="70"/>
        <v>-0.35826909311341992</v>
      </c>
      <c r="AE372" s="3">
        <f t="shared" si="71"/>
        <v>-0.38964173592309143</v>
      </c>
      <c r="AF372" s="3">
        <f t="shared" si="72"/>
        <v>-0.43269065360247472</v>
      </c>
    </row>
    <row r="373" spans="1:32" x14ac:dyDescent="0.2">
      <c r="A373" s="30">
        <v>371</v>
      </c>
      <c r="B373" s="9" t="s">
        <v>828</v>
      </c>
      <c r="C373" s="12">
        <v>145541</v>
      </c>
      <c r="D373" s="13" t="s">
        <v>372</v>
      </c>
      <c r="E373" s="17">
        <v>-92.852285577399996</v>
      </c>
      <c r="F373" s="17">
        <v>15.1979007615</v>
      </c>
      <c r="G373" s="14">
        <v>766</v>
      </c>
      <c r="H373" s="17">
        <v>27.48</v>
      </c>
      <c r="I373" s="17">
        <v>28.27</v>
      </c>
      <c r="J373" s="17">
        <v>29.45</v>
      </c>
      <c r="K373" s="17">
        <v>31.01</v>
      </c>
      <c r="L373" s="17">
        <v>31.57</v>
      </c>
      <c r="M373" s="17">
        <f t="shared" si="64"/>
        <v>0.78999999999999915</v>
      </c>
      <c r="N373" s="17">
        <f t="shared" si="65"/>
        <v>1.9699999999999989</v>
      </c>
      <c r="O373" s="17">
        <f t="shared" si="66"/>
        <v>3.5300000000000011</v>
      </c>
      <c r="P373" s="17">
        <f t="shared" si="67"/>
        <v>4.09</v>
      </c>
      <c r="Q373" s="17">
        <f t="shared" si="68"/>
        <v>-8.6654095114840957E-2</v>
      </c>
      <c r="R373" s="17">
        <f t="shared" si="61"/>
        <v>-0.1904965398107025</v>
      </c>
      <c r="S373" s="17">
        <f t="shared" si="62"/>
        <v>5.8758315135587907E-2</v>
      </c>
      <c r="T373" s="17">
        <f t="shared" si="63"/>
        <v>-0.65474728894061895</v>
      </c>
      <c r="U373" s="16">
        <v>10</v>
      </c>
      <c r="V373" s="16">
        <v>10</v>
      </c>
      <c r="W373" s="16">
        <v>12</v>
      </c>
      <c r="X373" s="16">
        <v>12</v>
      </c>
      <c r="Y373" s="15">
        <v>0.53400000000000003</v>
      </c>
      <c r="Z373" s="15">
        <v>0.63800000000000001</v>
      </c>
      <c r="AA373" s="15">
        <v>0.77200000000000002</v>
      </c>
      <c r="AB373" s="15">
        <v>0.84599999999999997</v>
      </c>
      <c r="AC373" s="3">
        <f t="shared" si="69"/>
        <v>0.78448157909094585</v>
      </c>
      <c r="AD373" s="3">
        <f t="shared" si="70"/>
        <v>0.6198330939723431</v>
      </c>
      <c r="AE373" s="3">
        <f t="shared" si="71"/>
        <v>0.76301299256103383</v>
      </c>
      <c r="AF373" s="3">
        <f t="shared" si="72"/>
        <v>0.56948493500748743</v>
      </c>
    </row>
    <row r="374" spans="1:32" x14ac:dyDescent="0.2">
      <c r="A374" s="30">
        <v>372</v>
      </c>
      <c r="B374" s="9" t="s">
        <v>829</v>
      </c>
      <c r="C374" s="12">
        <v>145549</v>
      </c>
      <c r="D374" s="13" t="s">
        <v>373</v>
      </c>
      <c r="E374" s="17">
        <v>-80.276808025799994</v>
      </c>
      <c r="F374" s="17">
        <v>-3.4269993776900001</v>
      </c>
      <c r="G374" s="14">
        <v>12</v>
      </c>
      <c r="H374" s="17">
        <v>25.29</v>
      </c>
      <c r="I374" s="17">
        <v>25.94</v>
      </c>
      <c r="J374" s="17">
        <v>27.15</v>
      </c>
      <c r="K374" s="17">
        <v>28.37</v>
      </c>
      <c r="L374" s="17">
        <v>29.12</v>
      </c>
      <c r="M374" s="17">
        <f t="shared" si="64"/>
        <v>0.65000000000000213</v>
      </c>
      <c r="N374" s="17">
        <f t="shared" si="65"/>
        <v>1.8599999999999994</v>
      </c>
      <c r="O374" s="17">
        <f t="shared" si="66"/>
        <v>3.0800000000000018</v>
      </c>
      <c r="P374" s="17">
        <f t="shared" si="67"/>
        <v>3.8300000000000018</v>
      </c>
      <c r="Q374" s="17">
        <f t="shared" si="68"/>
        <v>-0.25722583056214943</v>
      </c>
      <c r="R374" s="17">
        <f t="shared" si="61"/>
        <v>-0.34536106491110397</v>
      </c>
      <c r="S374" s="17">
        <f t="shared" si="62"/>
        <v>-0.46380615750160309</v>
      </c>
      <c r="T374" s="17">
        <f t="shared" si="63"/>
        <v>-0.91791283708543592</v>
      </c>
      <c r="U374" s="16">
        <v>1</v>
      </c>
      <c r="V374" s="16">
        <v>1</v>
      </c>
      <c r="W374" s="16">
        <v>1</v>
      </c>
      <c r="X374" s="16">
        <v>1</v>
      </c>
      <c r="Y374" s="15">
        <v>0.378</v>
      </c>
      <c r="Z374" s="15">
        <v>0.48499999999999999</v>
      </c>
      <c r="AA374" s="15">
        <v>0.626</v>
      </c>
      <c r="AB374" s="15">
        <v>0.69899999999999995</v>
      </c>
      <c r="AC374" s="3">
        <f t="shared" si="69"/>
        <v>-0.65706389612223282</v>
      </c>
      <c r="AD374" s="3">
        <f t="shared" si="70"/>
        <v>-0.75309933377189353</v>
      </c>
      <c r="AE374" s="3">
        <f t="shared" si="71"/>
        <v>-0.43904122428669684</v>
      </c>
      <c r="AF374" s="3">
        <f t="shared" si="72"/>
        <v>-0.63805450372746719</v>
      </c>
    </row>
    <row r="375" spans="1:32" x14ac:dyDescent="0.2">
      <c r="A375" s="30">
        <v>373</v>
      </c>
      <c r="B375" s="9" t="s">
        <v>1458</v>
      </c>
      <c r="C375" s="12">
        <v>145555</v>
      </c>
      <c r="D375" s="13" t="s">
        <v>374</v>
      </c>
      <c r="E375" s="17">
        <v>-66.751764135800002</v>
      </c>
      <c r="F375" s="17">
        <v>11.8801531693</v>
      </c>
      <c r="G375" s="14">
        <v>937</v>
      </c>
      <c r="H375" s="17">
        <v>25.81</v>
      </c>
      <c r="I375" s="17">
        <v>26.53</v>
      </c>
      <c r="J375" s="17">
        <v>27.41</v>
      </c>
      <c r="K375" s="17">
        <v>28.38</v>
      </c>
      <c r="L375" s="17">
        <v>29.8</v>
      </c>
      <c r="M375" s="17">
        <f t="shared" si="64"/>
        <v>0.72000000000000242</v>
      </c>
      <c r="N375" s="17">
        <f t="shared" si="65"/>
        <v>1.6000000000000014</v>
      </c>
      <c r="O375" s="17">
        <f t="shared" si="66"/>
        <v>2.5700000000000003</v>
      </c>
      <c r="P375" s="17">
        <f t="shared" si="67"/>
        <v>3.990000000000002</v>
      </c>
      <c r="Q375" s="17">
        <f t="shared" si="68"/>
        <v>-0.17193996283849303</v>
      </c>
      <c r="R375" s="17">
        <f t="shared" si="61"/>
        <v>-0.71140448787568833</v>
      </c>
      <c r="S375" s="17">
        <f t="shared" si="62"/>
        <v>-1.0560458931570891</v>
      </c>
      <c r="T375" s="17">
        <f t="shared" si="63"/>
        <v>-0.75596480745785488</v>
      </c>
      <c r="U375" s="16">
        <v>3</v>
      </c>
      <c r="V375" s="16">
        <v>3</v>
      </c>
      <c r="W375" s="16">
        <v>4</v>
      </c>
      <c r="X375" s="16">
        <v>6</v>
      </c>
      <c r="Y375" s="15">
        <v>0.51400000000000001</v>
      </c>
      <c r="Z375" s="15">
        <v>0.64100000000000001</v>
      </c>
      <c r="AA375" s="15">
        <v>0.75600000000000001</v>
      </c>
      <c r="AB375" s="15">
        <v>0.84799999999999998</v>
      </c>
      <c r="AC375" s="3">
        <f t="shared" si="69"/>
        <v>0.59966805662771772</v>
      </c>
      <c r="AD375" s="3">
        <f t="shared" si="70"/>
        <v>0.64675333765360266</v>
      </c>
      <c r="AE375" s="3">
        <f t="shared" si="71"/>
        <v>0.63128102359141935</v>
      </c>
      <c r="AF375" s="3">
        <f t="shared" si="72"/>
        <v>0.58591404301748684</v>
      </c>
    </row>
    <row r="376" spans="1:32" x14ac:dyDescent="0.2">
      <c r="A376" s="30">
        <v>374</v>
      </c>
      <c r="B376" s="9" t="s">
        <v>1459</v>
      </c>
      <c r="C376" s="12">
        <v>145556</v>
      </c>
      <c r="D376" s="13" t="s">
        <v>375</v>
      </c>
      <c r="E376" s="17">
        <v>-71.422051079699997</v>
      </c>
      <c r="F376" s="17">
        <v>10.9112782437</v>
      </c>
      <c r="G376" s="14">
        <v>241</v>
      </c>
      <c r="H376" s="17">
        <v>27.33</v>
      </c>
      <c r="I376" s="17">
        <v>28.05</v>
      </c>
      <c r="J376" s="17">
        <v>29.36</v>
      </c>
      <c r="K376" s="17">
        <v>30.87</v>
      </c>
      <c r="L376" s="17">
        <v>32.299999999999997</v>
      </c>
      <c r="M376" s="17">
        <f t="shared" si="64"/>
        <v>0.72000000000000242</v>
      </c>
      <c r="N376" s="17">
        <f t="shared" si="65"/>
        <v>2.0300000000000011</v>
      </c>
      <c r="O376" s="17">
        <f t="shared" si="66"/>
        <v>3.5400000000000027</v>
      </c>
      <c r="P376" s="17">
        <f t="shared" si="67"/>
        <v>4.9699999999999989</v>
      </c>
      <c r="Q376" s="17">
        <f t="shared" si="68"/>
        <v>-0.17193996283849303</v>
      </c>
      <c r="R376" s="17">
        <f t="shared" si="61"/>
        <v>-0.10602498066502532</v>
      </c>
      <c r="S376" s="17">
        <f t="shared" si="62"/>
        <v>7.0370858971971761E-2</v>
      </c>
      <c r="T376" s="17">
        <f t="shared" si="63"/>
        <v>0.23596687401107502</v>
      </c>
      <c r="U376" s="16">
        <v>35</v>
      </c>
      <c r="V376" s="16">
        <v>39</v>
      </c>
      <c r="W376" s="16">
        <v>48</v>
      </c>
      <c r="X376" s="16">
        <v>51</v>
      </c>
      <c r="Y376" s="15">
        <v>0.51800000000000002</v>
      </c>
      <c r="Z376" s="15">
        <v>0.64600000000000002</v>
      </c>
      <c r="AA376" s="15">
        <v>0.76400000000000001</v>
      </c>
      <c r="AB376" s="15">
        <v>0.85499999999999998</v>
      </c>
      <c r="AC376" s="3">
        <f t="shared" si="69"/>
        <v>0.63663076112036332</v>
      </c>
      <c r="AD376" s="3">
        <f t="shared" si="70"/>
        <v>0.69162041045570188</v>
      </c>
      <c r="AE376" s="3">
        <f t="shared" si="71"/>
        <v>0.69714700807622665</v>
      </c>
      <c r="AF376" s="3">
        <f t="shared" si="72"/>
        <v>0.64341592105248469</v>
      </c>
    </row>
    <row r="377" spans="1:32" x14ac:dyDescent="0.2">
      <c r="A377" s="30">
        <v>375</v>
      </c>
      <c r="B377" s="9" t="s">
        <v>830</v>
      </c>
      <c r="C377" s="12">
        <v>145557</v>
      </c>
      <c r="D377" s="13" t="s">
        <v>376</v>
      </c>
      <c r="E377" s="17">
        <v>-64.161907265699995</v>
      </c>
      <c r="F377" s="17">
        <v>11.0192250747</v>
      </c>
      <c r="G377" s="14">
        <v>102</v>
      </c>
      <c r="H377" s="17">
        <v>25.66</v>
      </c>
      <c r="I377" s="17">
        <v>26.4</v>
      </c>
      <c r="J377" s="17">
        <v>27.25</v>
      </c>
      <c r="K377" s="17">
        <v>28.06</v>
      </c>
      <c r="L377" s="17">
        <v>29.53</v>
      </c>
      <c r="M377" s="17">
        <f t="shared" si="64"/>
        <v>0.73999999999999844</v>
      </c>
      <c r="N377" s="17">
        <f t="shared" si="65"/>
        <v>1.5899999999999999</v>
      </c>
      <c r="O377" s="17">
        <f t="shared" si="66"/>
        <v>2.3999999999999986</v>
      </c>
      <c r="P377" s="17">
        <f t="shared" si="67"/>
        <v>3.870000000000001</v>
      </c>
      <c r="Q377" s="17">
        <f t="shared" si="68"/>
        <v>-0.14757257206031044</v>
      </c>
      <c r="R377" s="17">
        <f t="shared" si="61"/>
        <v>-0.72548308106663617</v>
      </c>
      <c r="S377" s="17">
        <f t="shared" si="62"/>
        <v>-1.2534591383755858</v>
      </c>
      <c r="T377" s="17">
        <f t="shared" si="63"/>
        <v>-0.87742582967854155</v>
      </c>
      <c r="U377" s="16">
        <v>9</v>
      </c>
      <c r="V377" s="16">
        <v>10</v>
      </c>
      <c r="W377" s="16">
        <v>12</v>
      </c>
      <c r="X377" s="16">
        <v>12</v>
      </c>
      <c r="Y377" s="15">
        <v>0.496</v>
      </c>
      <c r="Z377" s="15">
        <v>0.622</v>
      </c>
      <c r="AA377" s="15">
        <v>0.73399999999999999</v>
      </c>
      <c r="AB377" s="15">
        <v>0.83</v>
      </c>
      <c r="AC377" s="3">
        <f t="shared" si="69"/>
        <v>0.43333588641081233</v>
      </c>
      <c r="AD377" s="3">
        <f t="shared" si="70"/>
        <v>0.47625846100562541</v>
      </c>
      <c r="AE377" s="3">
        <f t="shared" si="71"/>
        <v>0.45014956625819957</v>
      </c>
      <c r="AF377" s="3">
        <f t="shared" si="72"/>
        <v>0.43805207092749227</v>
      </c>
    </row>
    <row r="378" spans="1:32" x14ac:dyDescent="0.2">
      <c r="A378" s="30">
        <v>376</v>
      </c>
      <c r="B378" s="9" t="s">
        <v>831</v>
      </c>
      <c r="C378" s="12">
        <v>145558</v>
      </c>
      <c r="D378" s="13" t="s">
        <v>377</v>
      </c>
      <c r="E378" s="17">
        <v>-65.792410779099995</v>
      </c>
      <c r="F378" s="17">
        <v>10.275253615600001</v>
      </c>
      <c r="G378" s="14">
        <v>324</v>
      </c>
      <c r="H378" s="17">
        <v>23.66</v>
      </c>
      <c r="I378" s="17">
        <v>24.42</v>
      </c>
      <c r="J378" s="17">
        <v>25.62</v>
      </c>
      <c r="K378" s="17">
        <v>26.77</v>
      </c>
      <c r="L378" s="17">
        <v>28.25</v>
      </c>
      <c r="M378" s="17">
        <f t="shared" si="64"/>
        <v>0.76000000000000156</v>
      </c>
      <c r="N378" s="17">
        <f t="shared" si="65"/>
        <v>1.9600000000000009</v>
      </c>
      <c r="O378" s="17">
        <f t="shared" si="66"/>
        <v>3.1099999999999994</v>
      </c>
      <c r="P378" s="17">
        <f t="shared" si="67"/>
        <v>4.59</v>
      </c>
      <c r="Q378" s="17">
        <f t="shared" si="68"/>
        <v>-0.12320518128211919</v>
      </c>
      <c r="R378" s="17">
        <f t="shared" si="61"/>
        <v>-0.20457513300164534</v>
      </c>
      <c r="S378" s="17">
        <f t="shared" si="62"/>
        <v>-0.42896852599245977</v>
      </c>
      <c r="T378" s="17">
        <f t="shared" si="63"/>
        <v>-0.14865969635442861</v>
      </c>
      <c r="U378" s="16">
        <v>2</v>
      </c>
      <c r="V378" s="16">
        <v>4</v>
      </c>
      <c r="W378" s="16">
        <v>5</v>
      </c>
      <c r="X378" s="16">
        <v>6</v>
      </c>
      <c r="Y378" s="15">
        <v>0.48099999999999998</v>
      </c>
      <c r="Z378" s="15">
        <v>0.60799999999999998</v>
      </c>
      <c r="AA378" s="15">
        <v>0.72</v>
      </c>
      <c r="AB378" s="15">
        <v>0.81499999999999995</v>
      </c>
      <c r="AC378" s="3">
        <f t="shared" si="69"/>
        <v>0.29472574456339123</v>
      </c>
      <c r="AD378" s="3">
        <f t="shared" si="70"/>
        <v>0.35063065715974745</v>
      </c>
      <c r="AE378" s="3">
        <f t="shared" si="71"/>
        <v>0.33488409340978692</v>
      </c>
      <c r="AF378" s="3">
        <f t="shared" si="72"/>
        <v>0.31483376085249681</v>
      </c>
    </row>
    <row r="379" spans="1:32" x14ac:dyDescent="0.2">
      <c r="A379" s="30">
        <v>377</v>
      </c>
      <c r="B379" s="9" t="s">
        <v>1316</v>
      </c>
      <c r="C379" s="12">
        <v>145580</v>
      </c>
      <c r="D379" s="13" t="s">
        <v>378</v>
      </c>
      <c r="E379" s="17">
        <v>89.397365657400002</v>
      </c>
      <c r="F379" s="17">
        <v>21.811723392699999</v>
      </c>
      <c r="G379" s="14">
        <v>1320</v>
      </c>
      <c r="H379" s="17">
        <v>24.52</v>
      </c>
      <c r="I379" s="17">
        <v>25.99</v>
      </c>
      <c r="J379" s="17">
        <v>27.35</v>
      </c>
      <c r="K379" s="17">
        <v>28.47</v>
      </c>
      <c r="L379" s="17">
        <v>30.17</v>
      </c>
      <c r="M379" s="17">
        <f t="shared" si="64"/>
        <v>1.4699999999999989</v>
      </c>
      <c r="N379" s="17">
        <f t="shared" si="65"/>
        <v>2.8300000000000018</v>
      </c>
      <c r="O379" s="17">
        <f t="shared" si="66"/>
        <v>3.9499999999999993</v>
      </c>
      <c r="P379" s="17">
        <f t="shared" si="67"/>
        <v>5.6500000000000021</v>
      </c>
      <c r="Q379" s="17">
        <f t="shared" si="68"/>
        <v>0.74183719134353177</v>
      </c>
      <c r="R379" s="17">
        <f t="shared" si="61"/>
        <v>1.0202624746106286</v>
      </c>
      <c r="S379" s="17">
        <f t="shared" si="62"/>
        <v>0.54648515626363148</v>
      </c>
      <c r="T379" s="17">
        <f t="shared" si="63"/>
        <v>0.92424599992829715</v>
      </c>
      <c r="U379" s="16">
        <v>19</v>
      </c>
      <c r="V379" s="16">
        <v>26</v>
      </c>
      <c r="W379" s="16">
        <v>28</v>
      </c>
      <c r="X379" s="16">
        <v>36</v>
      </c>
      <c r="Y379" s="15">
        <v>0.47049999999999997</v>
      </c>
      <c r="Z379" s="15">
        <v>0.5665</v>
      </c>
      <c r="AA379" s="15">
        <v>0.68149999999999999</v>
      </c>
      <c r="AB379" s="15">
        <v>0.79049999999999998</v>
      </c>
      <c r="AC379" s="3">
        <f t="shared" si="69"/>
        <v>0.19769864527019643</v>
      </c>
      <c r="AD379" s="3">
        <f t="shared" si="70"/>
        <v>-2.1766047097675951E-2</v>
      </c>
      <c r="AE379" s="3">
        <f t="shared" si="71"/>
        <v>1.7904043076652706E-2</v>
      </c>
      <c r="AF379" s="3">
        <f t="shared" si="72"/>
        <v>0.11357718773000468</v>
      </c>
    </row>
    <row r="380" spans="1:32" x14ac:dyDescent="0.2">
      <c r="A380" s="30">
        <v>378</v>
      </c>
      <c r="B380" s="9" t="s">
        <v>1317</v>
      </c>
      <c r="C380" s="12">
        <v>145594</v>
      </c>
      <c r="D380" s="13" t="s">
        <v>379</v>
      </c>
      <c r="E380" s="17">
        <v>98.509427371900003</v>
      </c>
      <c r="F380" s="17">
        <v>9.8128605252900005</v>
      </c>
      <c r="G380" s="14">
        <v>148</v>
      </c>
      <c r="H380" s="17">
        <v>26.1</v>
      </c>
      <c r="I380" s="17">
        <v>27.29</v>
      </c>
      <c r="J380" s="17">
        <v>28.5</v>
      </c>
      <c r="K380" s="17">
        <v>29.76</v>
      </c>
      <c r="L380" s="17">
        <v>30.73</v>
      </c>
      <c r="M380" s="17">
        <f t="shared" si="64"/>
        <v>1.1899999999999977</v>
      </c>
      <c r="N380" s="17">
        <f t="shared" si="65"/>
        <v>2.3999999999999986</v>
      </c>
      <c r="O380" s="17">
        <f t="shared" si="66"/>
        <v>3.66</v>
      </c>
      <c r="P380" s="17">
        <f t="shared" si="67"/>
        <v>4.629999999999999</v>
      </c>
      <c r="Q380" s="17">
        <f t="shared" si="68"/>
        <v>0.40069372044890617</v>
      </c>
      <c r="R380" s="17">
        <f t="shared" si="61"/>
        <v>0.41488296739996056</v>
      </c>
      <c r="S380" s="17">
        <f t="shared" si="62"/>
        <v>0.20972138500855328</v>
      </c>
      <c r="T380" s="17">
        <f t="shared" si="63"/>
        <v>-0.10817268894753425</v>
      </c>
      <c r="U380" s="16">
        <v>6</v>
      </c>
      <c r="V380" s="16">
        <v>7</v>
      </c>
      <c r="W380" s="16">
        <v>7</v>
      </c>
      <c r="X380" s="16">
        <v>8</v>
      </c>
      <c r="Y380" s="15">
        <v>0.44800000000000001</v>
      </c>
      <c r="Z380" s="15">
        <v>0.56399999999999995</v>
      </c>
      <c r="AA380" s="15">
        <v>0.68200000000000005</v>
      </c>
      <c r="AB380" s="15">
        <v>0.78500000000000003</v>
      </c>
      <c r="AC380" s="3">
        <f t="shared" si="69"/>
        <v>-1.0216567500934746E-2</v>
      </c>
      <c r="AD380" s="3">
        <f t="shared" si="70"/>
        <v>-4.4199583498726082E-2</v>
      </c>
      <c r="AE380" s="3">
        <f t="shared" si="71"/>
        <v>2.2020667106953617E-2</v>
      </c>
      <c r="AF380" s="3">
        <f t="shared" si="72"/>
        <v>6.8397140702506798E-2</v>
      </c>
    </row>
    <row r="381" spans="1:32" x14ac:dyDescent="0.2">
      <c r="A381" s="30">
        <v>379</v>
      </c>
      <c r="B381" s="9" t="s">
        <v>1114</v>
      </c>
      <c r="C381" s="12">
        <v>145809</v>
      </c>
      <c r="D381" s="13" t="s">
        <v>380</v>
      </c>
      <c r="E381" s="17">
        <v>-2.0672104086399998</v>
      </c>
      <c r="F381" s="17">
        <v>36.868362727899999</v>
      </c>
      <c r="G381" s="14">
        <v>18</v>
      </c>
      <c r="H381" s="17">
        <v>16.940000000000001</v>
      </c>
      <c r="I381" s="17">
        <v>17.100000000000001</v>
      </c>
      <c r="J381" s="17">
        <v>19.14</v>
      </c>
      <c r="K381" s="17">
        <v>19.98</v>
      </c>
      <c r="L381" s="17">
        <v>21.65</v>
      </c>
      <c r="M381" s="17">
        <f t="shared" si="64"/>
        <v>0.16000000000000014</v>
      </c>
      <c r="N381" s="17">
        <f t="shared" si="65"/>
        <v>2.1999999999999993</v>
      </c>
      <c r="O381" s="17">
        <f t="shared" si="66"/>
        <v>3.0399999999999991</v>
      </c>
      <c r="P381" s="17">
        <f t="shared" si="67"/>
        <v>4.7099999999999973</v>
      </c>
      <c r="Q381" s="17">
        <f t="shared" si="68"/>
        <v>-0.8542269046277442</v>
      </c>
      <c r="R381" s="17">
        <f t="shared" si="61"/>
        <v>0.13331110358104831</v>
      </c>
      <c r="S381" s="17">
        <f t="shared" si="62"/>
        <v>-0.51025633284713445</v>
      </c>
      <c r="T381" s="17">
        <f t="shared" si="63"/>
        <v>-2.7198674133745531E-2</v>
      </c>
      <c r="U381" s="16">
        <v>0</v>
      </c>
      <c r="V381" s="16">
        <v>0</v>
      </c>
      <c r="W381" s="16">
        <v>0</v>
      </c>
      <c r="X381" s="16">
        <v>0</v>
      </c>
      <c r="Y381" s="15">
        <v>0.39500000000000002</v>
      </c>
      <c r="Z381" s="15">
        <v>0.51400000000000001</v>
      </c>
      <c r="AA381" s="15">
        <v>0.62150000000000005</v>
      </c>
      <c r="AB381" s="15">
        <v>0.71299999999999997</v>
      </c>
      <c r="AC381" s="3">
        <f t="shared" si="69"/>
        <v>-0.49997240202848886</v>
      </c>
      <c r="AD381" s="3">
        <f t="shared" si="70"/>
        <v>-0.49287031151971772</v>
      </c>
      <c r="AE381" s="3">
        <f t="shared" si="71"/>
        <v>-0.47609084055940043</v>
      </c>
      <c r="AF381" s="3">
        <f t="shared" si="72"/>
        <v>-0.52305074765747139</v>
      </c>
    </row>
    <row r="382" spans="1:32" x14ac:dyDescent="0.2">
      <c r="A382" s="30">
        <v>380</v>
      </c>
      <c r="B382" s="9" t="s">
        <v>1115</v>
      </c>
      <c r="C382" s="12">
        <v>145815</v>
      </c>
      <c r="D382" s="13" t="s">
        <v>381</v>
      </c>
      <c r="E382" s="17">
        <v>1.5957370048199999</v>
      </c>
      <c r="F382" s="17">
        <v>50.224455720599998</v>
      </c>
      <c r="G382" s="14">
        <v>215</v>
      </c>
      <c r="H382" s="17">
        <v>12.39</v>
      </c>
      <c r="I382" s="17">
        <v>11.7</v>
      </c>
      <c r="J382" s="17">
        <v>13.39</v>
      </c>
      <c r="K382" s="17">
        <v>15.53</v>
      </c>
      <c r="L382" s="17">
        <v>16.66</v>
      </c>
      <c r="M382" s="17">
        <f t="shared" si="64"/>
        <v>-0.69000000000000128</v>
      </c>
      <c r="N382" s="17">
        <f t="shared" si="65"/>
        <v>1</v>
      </c>
      <c r="O382" s="17">
        <f t="shared" si="66"/>
        <v>3.1399999999999988</v>
      </c>
      <c r="P382" s="17">
        <f t="shared" si="67"/>
        <v>4.2699999999999996</v>
      </c>
      <c r="Q382" s="17">
        <f t="shared" si="68"/>
        <v>-1.8898410127007121</v>
      </c>
      <c r="R382" s="17">
        <f t="shared" si="61"/>
        <v>-1.5561200793324299</v>
      </c>
      <c r="S382" s="17">
        <f t="shared" si="62"/>
        <v>-0.3941308944833144</v>
      </c>
      <c r="T382" s="17">
        <f t="shared" si="63"/>
        <v>-0.47255575560959073</v>
      </c>
      <c r="U382" s="16">
        <v>2</v>
      </c>
      <c r="V382" s="16">
        <v>2</v>
      </c>
      <c r="W382" s="16">
        <v>2</v>
      </c>
      <c r="X382" s="16">
        <v>5</v>
      </c>
      <c r="Y382" s="15">
        <v>0.495</v>
      </c>
      <c r="Z382" s="15">
        <v>0.622</v>
      </c>
      <c r="AA382" s="15">
        <v>0.71599999999999997</v>
      </c>
      <c r="AB382" s="15">
        <v>0.82399999999999995</v>
      </c>
      <c r="AC382" s="3">
        <f t="shared" si="69"/>
        <v>0.42409521028765096</v>
      </c>
      <c r="AD382" s="3">
        <f t="shared" si="70"/>
        <v>0.47625846100562541</v>
      </c>
      <c r="AE382" s="3">
        <f t="shared" si="71"/>
        <v>0.30195110116738333</v>
      </c>
      <c r="AF382" s="3">
        <f t="shared" si="72"/>
        <v>0.38876474689749407</v>
      </c>
    </row>
    <row r="383" spans="1:32" x14ac:dyDescent="0.2">
      <c r="A383" s="30">
        <v>381</v>
      </c>
      <c r="B383" s="9" t="s">
        <v>832</v>
      </c>
      <c r="C383" s="12">
        <v>145816</v>
      </c>
      <c r="D383" s="13" t="s">
        <v>382</v>
      </c>
      <c r="E383" s="17">
        <v>-77.805365277500002</v>
      </c>
      <c r="F383" s="17">
        <v>18.0376325981</v>
      </c>
      <c r="G383" s="14">
        <v>9</v>
      </c>
      <c r="H383" s="17">
        <v>25.96</v>
      </c>
      <c r="I383" s="17">
        <v>26.75</v>
      </c>
      <c r="J383" s="17">
        <v>27.94</v>
      </c>
      <c r="K383" s="17">
        <v>29.34</v>
      </c>
      <c r="L383" s="17">
        <v>30.46</v>
      </c>
      <c r="M383" s="17">
        <f t="shared" si="64"/>
        <v>0.78999999999999915</v>
      </c>
      <c r="N383" s="17">
        <f t="shared" si="65"/>
        <v>1.9800000000000004</v>
      </c>
      <c r="O383" s="17">
        <f t="shared" si="66"/>
        <v>3.379999999999999</v>
      </c>
      <c r="P383" s="17">
        <f t="shared" si="67"/>
        <v>4.5</v>
      </c>
      <c r="Q383" s="17">
        <f t="shared" si="68"/>
        <v>-8.6654095114840957E-2</v>
      </c>
      <c r="R383" s="17">
        <f t="shared" si="61"/>
        <v>-0.17641794661975463</v>
      </c>
      <c r="S383" s="17">
        <f t="shared" si="62"/>
        <v>-0.11542984241014519</v>
      </c>
      <c r="T383" s="17">
        <f t="shared" si="63"/>
        <v>-0.23975546301994274</v>
      </c>
      <c r="U383" s="16">
        <v>1</v>
      </c>
      <c r="V383" s="16">
        <v>1</v>
      </c>
      <c r="W383" s="16">
        <v>1</v>
      </c>
      <c r="X383" s="16">
        <v>1</v>
      </c>
      <c r="Y383" s="15">
        <v>0.48399999999999999</v>
      </c>
      <c r="Z383" s="15">
        <v>0.61599999999999999</v>
      </c>
      <c r="AA383" s="15">
        <v>0.72899999999999998</v>
      </c>
      <c r="AB383" s="15">
        <v>0.82199999999999995</v>
      </c>
      <c r="AC383" s="3">
        <f t="shared" si="69"/>
        <v>0.32244777293287546</v>
      </c>
      <c r="AD383" s="3">
        <f t="shared" si="70"/>
        <v>0.42241797364310629</v>
      </c>
      <c r="AE383" s="3">
        <f t="shared" si="71"/>
        <v>0.40898332595519504</v>
      </c>
      <c r="AF383" s="3">
        <f t="shared" si="72"/>
        <v>0.37233563888749471</v>
      </c>
    </row>
    <row r="384" spans="1:32" x14ac:dyDescent="0.2">
      <c r="A384" s="30">
        <v>382</v>
      </c>
      <c r="B384" s="9" t="s">
        <v>1116</v>
      </c>
      <c r="C384" s="12">
        <v>166755</v>
      </c>
      <c r="D384" s="13" t="s">
        <v>383</v>
      </c>
      <c r="E384" s="17">
        <v>35.260456135600002</v>
      </c>
      <c r="F384" s="17">
        <v>36.628001404300001</v>
      </c>
      <c r="G384" s="14">
        <v>129</v>
      </c>
      <c r="H384" s="17">
        <v>20.54</v>
      </c>
      <c r="I384" s="17">
        <v>22.63</v>
      </c>
      <c r="J384" s="17">
        <v>22.63</v>
      </c>
      <c r="K384" s="17">
        <v>23.83</v>
      </c>
      <c r="L384" s="17">
        <v>25.71</v>
      </c>
      <c r="M384" s="17">
        <f t="shared" si="64"/>
        <v>2.09</v>
      </c>
      <c r="N384" s="17">
        <f t="shared" si="65"/>
        <v>2.09</v>
      </c>
      <c r="O384" s="17">
        <f t="shared" si="66"/>
        <v>3.2899999999999991</v>
      </c>
      <c r="P384" s="17">
        <f t="shared" si="67"/>
        <v>5.1700000000000017</v>
      </c>
      <c r="Q384" s="17">
        <f t="shared" si="68"/>
        <v>1.4972263054673436</v>
      </c>
      <c r="R384" s="17">
        <f t="shared" si="61"/>
        <v>-2.1553421519353154E-2</v>
      </c>
      <c r="S384" s="17">
        <f t="shared" si="62"/>
        <v>-0.2199427369375834</v>
      </c>
      <c r="T384" s="17">
        <f t="shared" si="63"/>
        <v>0.43840191104555404</v>
      </c>
      <c r="U384" s="16">
        <v>13</v>
      </c>
      <c r="V384" s="16">
        <v>13</v>
      </c>
      <c r="W384" s="16">
        <v>14</v>
      </c>
      <c r="X384" s="16">
        <v>15</v>
      </c>
      <c r="Y384" s="15">
        <v>0.41199999999999998</v>
      </c>
      <c r="Z384" s="15">
        <v>0.52400000000000002</v>
      </c>
      <c r="AA384" s="15">
        <v>0.63600000000000001</v>
      </c>
      <c r="AB384" s="15">
        <v>0.74299999999999999</v>
      </c>
      <c r="AC384" s="3">
        <f t="shared" si="69"/>
        <v>-0.34288090793474546</v>
      </c>
      <c r="AD384" s="3">
        <f t="shared" si="70"/>
        <v>-0.40313616591551921</v>
      </c>
      <c r="AE384" s="3">
        <f t="shared" si="71"/>
        <v>-0.35670874368068783</v>
      </c>
      <c r="AF384" s="3">
        <f t="shared" si="72"/>
        <v>-0.27661412750748049</v>
      </c>
    </row>
    <row r="385" spans="1:32" x14ac:dyDescent="0.2">
      <c r="A385" s="30">
        <v>383</v>
      </c>
      <c r="B385" s="9" t="s">
        <v>1318</v>
      </c>
      <c r="C385" s="12">
        <v>166862</v>
      </c>
      <c r="D385" s="13" t="s">
        <v>384</v>
      </c>
      <c r="E385" s="17">
        <v>150.55972903099999</v>
      </c>
      <c r="F385" s="17">
        <v>-22.462759679800001</v>
      </c>
      <c r="G385" s="14">
        <v>2284</v>
      </c>
      <c r="H385" s="17">
        <v>22.13</v>
      </c>
      <c r="I385" s="17">
        <v>23.07</v>
      </c>
      <c r="J385" s="17">
        <v>24.16</v>
      </c>
      <c r="K385" s="17">
        <v>25.68</v>
      </c>
      <c r="L385" s="17">
        <v>26.56</v>
      </c>
      <c r="M385" s="17">
        <f t="shared" si="64"/>
        <v>0.94000000000000128</v>
      </c>
      <c r="N385" s="17">
        <f t="shared" si="65"/>
        <v>2.0300000000000011</v>
      </c>
      <c r="O385" s="17">
        <f t="shared" si="66"/>
        <v>3.5500000000000007</v>
      </c>
      <c r="P385" s="17">
        <f t="shared" si="67"/>
        <v>4.43</v>
      </c>
      <c r="Q385" s="17">
        <f t="shared" si="68"/>
        <v>9.6101335721567455E-2</v>
      </c>
      <c r="R385" s="17">
        <f t="shared" si="61"/>
        <v>-0.10602498066502532</v>
      </c>
      <c r="S385" s="17">
        <f t="shared" si="62"/>
        <v>8.1983402808351494E-2</v>
      </c>
      <c r="T385" s="17">
        <f t="shared" si="63"/>
        <v>-0.31060772598200964</v>
      </c>
      <c r="U385" s="16">
        <v>53</v>
      </c>
      <c r="V385" s="16">
        <v>56</v>
      </c>
      <c r="W385" s="16">
        <v>65</v>
      </c>
      <c r="X385" s="16">
        <v>78</v>
      </c>
      <c r="Y385" s="15">
        <v>0.49199999999999999</v>
      </c>
      <c r="Z385" s="15">
        <v>0.61299999999999999</v>
      </c>
      <c r="AA385" s="15">
        <v>0.75600000000000001</v>
      </c>
      <c r="AB385" s="15">
        <v>0.85499999999999998</v>
      </c>
      <c r="AC385" s="3">
        <f t="shared" si="69"/>
        <v>0.39637318191816673</v>
      </c>
      <c r="AD385" s="3">
        <f t="shared" si="70"/>
        <v>0.39549772996184673</v>
      </c>
      <c r="AE385" s="3">
        <f t="shared" si="71"/>
        <v>0.63128102359141935</v>
      </c>
      <c r="AF385" s="3">
        <f t="shared" si="72"/>
        <v>0.64341592105248469</v>
      </c>
    </row>
    <row r="386" spans="1:32" x14ac:dyDescent="0.2">
      <c r="A386" s="30">
        <v>384</v>
      </c>
      <c r="B386" s="9" t="s">
        <v>1117</v>
      </c>
      <c r="C386" s="12">
        <v>166871</v>
      </c>
      <c r="D386" s="13" t="s">
        <v>385</v>
      </c>
      <c r="E386" s="17">
        <v>-4.0346901301600004</v>
      </c>
      <c r="F386" s="17">
        <v>57.861120286099997</v>
      </c>
      <c r="G386" s="14">
        <v>156</v>
      </c>
      <c r="H386" s="17">
        <v>6.49</v>
      </c>
      <c r="I386" s="17">
        <v>6.9</v>
      </c>
      <c r="J386" s="17">
        <v>8.41</v>
      </c>
      <c r="K386" s="17">
        <v>9.9</v>
      </c>
      <c r="L386" s="17">
        <v>11.3</v>
      </c>
      <c r="M386" s="17">
        <f t="shared" si="64"/>
        <v>0.41000000000000014</v>
      </c>
      <c r="N386" s="17">
        <f t="shared" si="65"/>
        <v>1.92</v>
      </c>
      <c r="O386" s="17">
        <f t="shared" si="66"/>
        <v>3.41</v>
      </c>
      <c r="P386" s="17">
        <f t="shared" si="67"/>
        <v>4.8100000000000005</v>
      </c>
      <c r="Q386" s="17">
        <f t="shared" si="68"/>
        <v>-0.54963451990040113</v>
      </c>
      <c r="R386" s="17">
        <f t="shared" si="61"/>
        <v>-0.2608895057654293</v>
      </c>
      <c r="S386" s="17">
        <f t="shared" si="62"/>
        <v>-8.0592210900997732E-2</v>
      </c>
      <c r="T386" s="17">
        <f t="shared" si="63"/>
        <v>7.4018844383495777E-2</v>
      </c>
      <c r="U386" s="16">
        <v>4</v>
      </c>
      <c r="V386" s="16">
        <v>5</v>
      </c>
      <c r="W386" s="16">
        <v>5</v>
      </c>
      <c r="X386" s="16">
        <v>5</v>
      </c>
      <c r="Y386" s="15">
        <v>0.32500000000000001</v>
      </c>
      <c r="Z386" s="15">
        <v>0.436</v>
      </c>
      <c r="AA386" s="15">
        <v>0.503</v>
      </c>
      <c r="AB386" s="15">
        <v>0.61199999999999999</v>
      </c>
      <c r="AC386" s="3">
        <f t="shared" si="69"/>
        <v>-1.1468197306497869</v>
      </c>
      <c r="AD386" s="3">
        <f t="shared" si="70"/>
        <v>-1.1927966472324658</v>
      </c>
      <c r="AE386" s="3">
        <f t="shared" si="71"/>
        <v>-1.4517307357406068</v>
      </c>
      <c r="AF386" s="3">
        <f t="shared" si="72"/>
        <v>-1.3527207021624399</v>
      </c>
    </row>
    <row r="387" spans="1:32" x14ac:dyDescent="0.2">
      <c r="A387" s="30">
        <v>385</v>
      </c>
      <c r="B387" s="9" t="s">
        <v>1118</v>
      </c>
      <c r="C387" s="12">
        <v>166872</v>
      </c>
      <c r="D387" s="13" t="s">
        <v>386</v>
      </c>
      <c r="E387" s="17">
        <v>-5.7478838306200002</v>
      </c>
      <c r="F387" s="17">
        <v>54.803268727800003</v>
      </c>
      <c r="G387" s="14">
        <v>17</v>
      </c>
      <c r="H387" s="17">
        <v>8.91</v>
      </c>
      <c r="I387" s="17">
        <v>8.9</v>
      </c>
      <c r="J387" s="17">
        <v>10.14</v>
      </c>
      <c r="K387" s="17">
        <v>11.58</v>
      </c>
      <c r="L387" s="17">
        <v>12.67</v>
      </c>
      <c r="M387" s="17">
        <f t="shared" si="64"/>
        <v>-9.9999999999997868E-3</v>
      </c>
      <c r="N387" s="17">
        <f t="shared" si="65"/>
        <v>1.2300000000000004</v>
      </c>
      <c r="O387" s="17">
        <f t="shared" si="66"/>
        <v>2.67</v>
      </c>
      <c r="P387" s="17">
        <f t="shared" si="67"/>
        <v>3.76</v>
      </c>
      <c r="Q387" s="17">
        <f t="shared" si="68"/>
        <v>-1.0613497262423375</v>
      </c>
      <c r="R387" s="17">
        <f t="shared" ref="R387:R450" si="73">(N387-N$764)/N$767</f>
        <v>-1.2323124359406792</v>
      </c>
      <c r="S387" s="17">
        <f t="shared" ref="S387:S450" si="74">(O387-O$764)/O$767</f>
        <v>-0.93992045479326902</v>
      </c>
      <c r="T387" s="17">
        <f t="shared" ref="T387:T450" si="75">(P387-P$764)/P$767</f>
        <v>-0.98876510004750462</v>
      </c>
      <c r="U387" s="16">
        <v>0</v>
      </c>
      <c r="V387" s="16">
        <v>0</v>
      </c>
      <c r="W387" s="16">
        <v>0</v>
      </c>
      <c r="X387" s="16">
        <v>0</v>
      </c>
      <c r="Y387" s="15">
        <v>0.28749999999999998</v>
      </c>
      <c r="Z387" s="15">
        <v>0.39950000000000002</v>
      </c>
      <c r="AA387" s="15">
        <v>0.47749999999999998</v>
      </c>
      <c r="AB387" s="15">
        <v>0.57499999999999996</v>
      </c>
      <c r="AC387" s="3">
        <f t="shared" si="69"/>
        <v>-1.4933450852683399</v>
      </c>
      <c r="AD387" s="3">
        <f t="shared" si="70"/>
        <v>-1.52032627868779</v>
      </c>
      <c r="AE387" s="3">
        <f t="shared" si="71"/>
        <v>-1.6616785612859297</v>
      </c>
      <c r="AF387" s="3">
        <f t="shared" si="72"/>
        <v>-1.6566592003474288</v>
      </c>
    </row>
    <row r="388" spans="1:32" x14ac:dyDescent="0.2">
      <c r="A388" s="30">
        <v>386</v>
      </c>
      <c r="B388" s="9" t="s">
        <v>1119</v>
      </c>
      <c r="C388" s="12">
        <v>166875</v>
      </c>
      <c r="D388" s="13" t="s">
        <v>387</v>
      </c>
      <c r="E388" s="17">
        <v>-3.6224767635499999</v>
      </c>
      <c r="F388" s="17">
        <v>57.637846975199999</v>
      </c>
      <c r="G388" s="14">
        <v>56</v>
      </c>
      <c r="H388" s="17">
        <v>6.39</v>
      </c>
      <c r="I388" s="17">
        <v>6.81</v>
      </c>
      <c r="J388" s="17">
        <v>8.32</v>
      </c>
      <c r="K388" s="17">
        <v>9.85</v>
      </c>
      <c r="L388" s="17">
        <v>11.22</v>
      </c>
      <c r="M388" s="17">
        <f t="shared" ref="M388:M451" si="76">I388-H388</f>
        <v>0.41999999999999993</v>
      </c>
      <c r="N388" s="17">
        <f t="shared" ref="N388:N451" si="77">J388-H388</f>
        <v>1.9300000000000006</v>
      </c>
      <c r="O388" s="17">
        <f t="shared" ref="O388:O451" si="78">K388-H388</f>
        <v>3.46</v>
      </c>
      <c r="P388" s="17">
        <f t="shared" ref="P388:P451" si="79">L388-H388</f>
        <v>4.830000000000001</v>
      </c>
      <c r="Q388" s="17">
        <f t="shared" ref="Q388:Q451" si="80">(M388-M$764)/M$767</f>
        <v>-0.53745082451130766</v>
      </c>
      <c r="R388" s="17">
        <f t="shared" si="73"/>
        <v>-0.24681091257448268</v>
      </c>
      <c r="S388" s="17">
        <f t="shared" si="74"/>
        <v>-2.2529491719087739E-2</v>
      </c>
      <c r="T388" s="17">
        <f t="shared" si="75"/>
        <v>9.4262348086943851E-2</v>
      </c>
      <c r="U388" s="16">
        <v>2</v>
      </c>
      <c r="V388" s="16">
        <v>2</v>
      </c>
      <c r="W388" s="16">
        <v>2</v>
      </c>
      <c r="X388" s="16">
        <v>2</v>
      </c>
      <c r="Y388" s="15">
        <v>0.32500000000000001</v>
      </c>
      <c r="Z388" s="15">
        <v>0.436</v>
      </c>
      <c r="AA388" s="15">
        <v>0.503</v>
      </c>
      <c r="AB388" s="15">
        <v>0.61199999999999999</v>
      </c>
      <c r="AC388" s="3">
        <f t="shared" ref="AC388:AC451" si="81">(Y388-Y$764)/Y$767</f>
        <v>-1.1468197306497869</v>
      </c>
      <c r="AD388" s="3">
        <f t="shared" ref="AD388:AD451" si="82">(Z388-Z$764)/Z$767</f>
        <v>-1.1927966472324658</v>
      </c>
      <c r="AE388" s="3">
        <f t="shared" ref="AE388:AE451" si="83">(AA388-AA$764)/AA$767</f>
        <v>-1.4517307357406068</v>
      </c>
      <c r="AF388" s="3">
        <f t="shared" ref="AF388:AF451" si="84">(AB388-AB$764)/AB$767</f>
        <v>-1.3527207021624399</v>
      </c>
    </row>
    <row r="389" spans="1:32" x14ac:dyDescent="0.2">
      <c r="A389" s="30">
        <v>387</v>
      </c>
      <c r="B389" s="9" t="s">
        <v>1120</v>
      </c>
      <c r="C389" s="12">
        <v>166880</v>
      </c>
      <c r="D389" s="13" t="s">
        <v>388</v>
      </c>
      <c r="E389" s="17">
        <v>44.384440337299999</v>
      </c>
      <c r="F389" s="17">
        <v>-18.972234745000002</v>
      </c>
      <c r="G389" s="14">
        <v>130</v>
      </c>
      <c r="H389" s="17">
        <v>26.37</v>
      </c>
      <c r="I389" s="17">
        <v>27.31</v>
      </c>
      <c r="J389" s="17">
        <v>28.03</v>
      </c>
      <c r="K389" s="17">
        <v>29.21</v>
      </c>
      <c r="L389" s="17">
        <v>30.51</v>
      </c>
      <c r="M389" s="17">
        <f t="shared" si="76"/>
        <v>0.93999999999999773</v>
      </c>
      <c r="N389" s="17">
        <f t="shared" si="77"/>
        <v>1.6600000000000001</v>
      </c>
      <c r="O389" s="17">
        <f t="shared" si="78"/>
        <v>2.84</v>
      </c>
      <c r="P389" s="17">
        <f t="shared" si="79"/>
        <v>4.1400000000000006</v>
      </c>
      <c r="Q389" s="17">
        <f t="shared" si="80"/>
        <v>9.6101335721563125E-2</v>
      </c>
      <c r="R389" s="17">
        <f t="shared" si="73"/>
        <v>-0.62693292873001616</v>
      </c>
      <c r="S389" s="17">
        <f t="shared" si="74"/>
        <v>-0.74250720957477445</v>
      </c>
      <c r="T389" s="17">
        <f t="shared" si="75"/>
        <v>-0.60413852968199921</v>
      </c>
      <c r="U389" s="16">
        <v>0</v>
      </c>
      <c r="V389" s="16">
        <v>1</v>
      </c>
      <c r="W389" s="16">
        <v>1</v>
      </c>
      <c r="X389" s="16">
        <v>3</v>
      </c>
      <c r="Y389" s="15">
        <v>0.46800000000000003</v>
      </c>
      <c r="Z389" s="15">
        <v>0.58599999999999997</v>
      </c>
      <c r="AA389" s="15">
        <v>0.72299999999999998</v>
      </c>
      <c r="AB389" s="15">
        <v>0.80200000000000005</v>
      </c>
      <c r="AC389" s="3">
        <f t="shared" si="81"/>
        <v>0.17459695496229341</v>
      </c>
      <c r="AD389" s="3">
        <f t="shared" si="82"/>
        <v>0.1532155368305107</v>
      </c>
      <c r="AE389" s="3">
        <f t="shared" si="83"/>
        <v>0.35958383759158963</v>
      </c>
      <c r="AF389" s="3">
        <f t="shared" si="84"/>
        <v>0.20804455878750167</v>
      </c>
    </row>
    <row r="390" spans="1:32" x14ac:dyDescent="0.2">
      <c r="A390" s="30">
        <v>388</v>
      </c>
      <c r="B390" s="9" t="s">
        <v>1121</v>
      </c>
      <c r="C390" s="12">
        <v>166884</v>
      </c>
      <c r="D390" s="13" t="s">
        <v>389</v>
      </c>
      <c r="E390" s="17">
        <v>26.888237648200001</v>
      </c>
      <c r="F390" s="17">
        <v>38.519109198700001</v>
      </c>
      <c r="G390" s="14">
        <v>210</v>
      </c>
      <c r="H390" s="17">
        <v>17.27</v>
      </c>
      <c r="I390" s="17">
        <v>19.100000000000001</v>
      </c>
      <c r="J390" s="17">
        <v>19.29</v>
      </c>
      <c r="K390" s="17">
        <v>20.58</v>
      </c>
      <c r="L390" s="17">
        <v>23.5</v>
      </c>
      <c r="M390" s="17">
        <f t="shared" si="76"/>
        <v>1.8300000000000018</v>
      </c>
      <c r="N390" s="17">
        <f t="shared" si="77"/>
        <v>2.0199999999999996</v>
      </c>
      <c r="O390" s="17">
        <f t="shared" si="78"/>
        <v>3.3099999999999987</v>
      </c>
      <c r="P390" s="17">
        <f t="shared" si="79"/>
        <v>6.23</v>
      </c>
      <c r="Q390" s="17">
        <f t="shared" si="80"/>
        <v>1.1804502253509093</v>
      </c>
      <c r="R390" s="17">
        <f t="shared" si="73"/>
        <v>-0.12010357385597319</v>
      </c>
      <c r="S390" s="17">
        <f t="shared" si="74"/>
        <v>-0.1967176492648198</v>
      </c>
      <c r="T390" s="17">
        <f t="shared" si="75"/>
        <v>1.5113076073282763</v>
      </c>
      <c r="U390" s="16">
        <v>23</v>
      </c>
      <c r="V390" s="16">
        <v>26</v>
      </c>
      <c r="W390" s="16">
        <v>30</v>
      </c>
      <c r="X390" s="16">
        <v>31</v>
      </c>
      <c r="Y390" s="15">
        <v>0.43</v>
      </c>
      <c r="Z390" s="15">
        <v>0.53400000000000003</v>
      </c>
      <c r="AA390" s="15">
        <v>0.63700000000000001</v>
      </c>
      <c r="AB390" s="15">
        <v>0.73</v>
      </c>
      <c r="AC390" s="3">
        <f t="shared" si="81"/>
        <v>-0.1765487377178401</v>
      </c>
      <c r="AD390" s="3">
        <f t="shared" si="82"/>
        <v>-0.31340202031132069</v>
      </c>
      <c r="AE390" s="3">
        <f t="shared" si="83"/>
        <v>-0.34847549562008695</v>
      </c>
      <c r="AF390" s="3">
        <f t="shared" si="84"/>
        <v>-0.38340332957247658</v>
      </c>
    </row>
    <row r="391" spans="1:32" x14ac:dyDescent="0.2">
      <c r="A391" s="30">
        <v>389</v>
      </c>
      <c r="B391" s="9" t="s">
        <v>1319</v>
      </c>
      <c r="C391" s="12">
        <v>166887</v>
      </c>
      <c r="D391" s="13" t="s">
        <v>390</v>
      </c>
      <c r="E391" s="17">
        <v>106.47563059399999</v>
      </c>
      <c r="F391" s="17">
        <v>20.252125224299999</v>
      </c>
      <c r="G391" s="14">
        <v>125</v>
      </c>
      <c r="H391" s="17">
        <v>22.95</v>
      </c>
      <c r="I391" s="17">
        <v>24.67</v>
      </c>
      <c r="J391" s="17">
        <v>25.95</v>
      </c>
      <c r="K391" s="17">
        <v>26.55</v>
      </c>
      <c r="L391" s="17">
        <v>28.32</v>
      </c>
      <c r="M391" s="17">
        <f t="shared" si="76"/>
        <v>1.7200000000000024</v>
      </c>
      <c r="N391" s="17">
        <f t="shared" si="77"/>
        <v>3</v>
      </c>
      <c r="O391" s="17">
        <f t="shared" si="78"/>
        <v>3.6000000000000014</v>
      </c>
      <c r="P391" s="17">
        <f t="shared" si="79"/>
        <v>5.370000000000001</v>
      </c>
      <c r="Q391" s="17">
        <f t="shared" si="80"/>
        <v>1.0464295760708791</v>
      </c>
      <c r="R391" s="17">
        <f t="shared" si="73"/>
        <v>1.2595985588567022</v>
      </c>
      <c r="S391" s="17">
        <f t="shared" si="74"/>
        <v>0.14004612199026253</v>
      </c>
      <c r="T391" s="17">
        <f t="shared" si="75"/>
        <v>0.64083694808002944</v>
      </c>
      <c r="U391" s="16">
        <v>2</v>
      </c>
      <c r="V391" s="16">
        <v>10</v>
      </c>
      <c r="W391" s="16">
        <v>14</v>
      </c>
      <c r="X391" s="16">
        <v>25</v>
      </c>
      <c r="Y391" s="15">
        <v>0.42199999999999999</v>
      </c>
      <c r="Z391" s="15">
        <v>0.55600000000000005</v>
      </c>
      <c r="AA391" s="15">
        <v>0.66600000000000004</v>
      </c>
      <c r="AB391" s="15">
        <v>0.76400000000000001</v>
      </c>
      <c r="AC391" s="3">
        <f t="shared" si="81"/>
        <v>-0.25047414670313134</v>
      </c>
      <c r="AD391" s="3">
        <f t="shared" si="82"/>
        <v>-0.1159868999820839</v>
      </c>
      <c r="AE391" s="3">
        <f t="shared" si="83"/>
        <v>-0.1097113018626608</v>
      </c>
      <c r="AF391" s="3">
        <f t="shared" si="84"/>
        <v>-0.10410849340248685</v>
      </c>
    </row>
    <row r="392" spans="1:32" x14ac:dyDescent="0.2">
      <c r="A392" s="30">
        <v>390</v>
      </c>
      <c r="B392" s="9" t="s">
        <v>1460</v>
      </c>
      <c r="C392" s="12">
        <v>168216</v>
      </c>
      <c r="D392" s="13" t="s">
        <v>391</v>
      </c>
      <c r="E392" s="17">
        <v>-9.1808215192699993</v>
      </c>
      <c r="F392" s="17">
        <v>30.339648446000002</v>
      </c>
      <c r="G392" s="14">
        <v>206</v>
      </c>
      <c r="H392" s="17">
        <v>18.899999999999999</v>
      </c>
      <c r="I392" s="17">
        <v>19.149999999999999</v>
      </c>
      <c r="J392" s="17">
        <v>20.16</v>
      </c>
      <c r="K392" s="17">
        <v>20.48</v>
      </c>
      <c r="L392" s="17">
        <v>22.01</v>
      </c>
      <c r="M392" s="17">
        <f t="shared" si="76"/>
        <v>0.25</v>
      </c>
      <c r="N392" s="17">
        <f t="shared" si="77"/>
        <v>1.2600000000000016</v>
      </c>
      <c r="O392" s="17">
        <f t="shared" si="78"/>
        <v>1.5800000000000018</v>
      </c>
      <c r="P392" s="17">
        <f t="shared" si="79"/>
        <v>3.110000000000003</v>
      </c>
      <c r="Q392" s="17">
        <f t="shared" si="80"/>
        <v>-0.74457364612590093</v>
      </c>
      <c r="R392" s="17">
        <f t="shared" si="73"/>
        <v>-1.1900766563678407</v>
      </c>
      <c r="S392" s="17">
        <f t="shared" si="74"/>
        <v>-2.2056877329589093</v>
      </c>
      <c r="T392" s="17">
        <f t="shared" si="75"/>
        <v>-1.6466789704095488</v>
      </c>
      <c r="U392" s="16">
        <v>0</v>
      </c>
      <c r="V392" s="16">
        <v>0</v>
      </c>
      <c r="W392" s="16">
        <v>0</v>
      </c>
      <c r="X392" s="16">
        <v>1</v>
      </c>
      <c r="Y392" s="15">
        <v>0.44900000000000001</v>
      </c>
      <c r="Z392" s="15">
        <v>0.56799999999999995</v>
      </c>
      <c r="AA392" s="15">
        <v>0.68600000000000005</v>
      </c>
      <c r="AB392" s="15">
        <v>0.78</v>
      </c>
      <c r="AC392" s="3">
        <f t="shared" si="81"/>
        <v>-9.7589137777333735E-4</v>
      </c>
      <c r="AD392" s="3">
        <f t="shared" si="82"/>
        <v>-8.3059252570466691E-3</v>
      </c>
      <c r="AE392" s="3">
        <f t="shared" si="83"/>
        <v>5.4953659349357219E-2</v>
      </c>
      <c r="AF392" s="3">
        <f t="shared" si="84"/>
        <v>2.732437067750831E-2</v>
      </c>
    </row>
    <row r="393" spans="1:32" x14ac:dyDescent="0.2">
      <c r="A393" s="30">
        <v>391</v>
      </c>
      <c r="B393" s="9" t="s">
        <v>1320</v>
      </c>
      <c r="C393" s="12">
        <v>168239</v>
      </c>
      <c r="D393" s="13" t="s">
        <v>392</v>
      </c>
      <c r="E393" s="17">
        <v>170.184235618</v>
      </c>
      <c r="F393" s="17">
        <v>-50.232948687499999</v>
      </c>
      <c r="G393" s="14">
        <v>11643</v>
      </c>
      <c r="H393" s="17">
        <v>8.14</v>
      </c>
      <c r="I393" s="17">
        <v>9.35</v>
      </c>
      <c r="J393" s="17">
        <v>10.01</v>
      </c>
      <c r="K393" s="17">
        <v>10.62</v>
      </c>
      <c r="L393" s="17">
        <v>11.16</v>
      </c>
      <c r="M393" s="17">
        <f t="shared" si="76"/>
        <v>1.2099999999999991</v>
      </c>
      <c r="N393" s="17">
        <f t="shared" si="77"/>
        <v>1.8699999999999992</v>
      </c>
      <c r="O393" s="17">
        <f t="shared" si="78"/>
        <v>2.4799999999999986</v>
      </c>
      <c r="P393" s="17">
        <f t="shared" si="79"/>
        <v>3.0199999999999996</v>
      </c>
      <c r="Q393" s="17">
        <f t="shared" si="80"/>
        <v>0.42506111122709528</v>
      </c>
      <c r="R393" s="17">
        <f t="shared" si="73"/>
        <v>-0.33128247172015862</v>
      </c>
      <c r="S393" s="17">
        <f t="shared" si="74"/>
        <v>-1.1605587876845294</v>
      </c>
      <c r="T393" s="17">
        <f t="shared" si="75"/>
        <v>-1.7377747370750665</v>
      </c>
      <c r="U393" s="16">
        <v>1</v>
      </c>
      <c r="V393" s="16">
        <v>1</v>
      </c>
      <c r="W393" s="16">
        <v>2</v>
      </c>
      <c r="X393" s="16">
        <v>5</v>
      </c>
      <c r="Y393" s="15">
        <v>0.41199999999999998</v>
      </c>
      <c r="Z393" s="15">
        <v>0.55800000000000005</v>
      </c>
      <c r="AA393" s="15">
        <v>0.71199999999999997</v>
      </c>
      <c r="AB393" s="15">
        <v>0.79300000000000004</v>
      </c>
      <c r="AC393" s="3">
        <f t="shared" si="81"/>
        <v>-0.34288090793474546</v>
      </c>
      <c r="AD393" s="3">
        <f t="shared" si="82"/>
        <v>-9.8040070861244208E-2</v>
      </c>
      <c r="AE393" s="3">
        <f t="shared" si="83"/>
        <v>0.26901810892497974</v>
      </c>
      <c r="AF393" s="3">
        <f t="shared" si="84"/>
        <v>0.13411357274250438</v>
      </c>
    </row>
    <row r="394" spans="1:32" x14ac:dyDescent="0.2">
      <c r="A394" s="30">
        <v>392</v>
      </c>
      <c r="B394" s="9" t="s">
        <v>1321</v>
      </c>
      <c r="C394" s="12">
        <v>168242</v>
      </c>
      <c r="D394" s="13" t="s">
        <v>393</v>
      </c>
      <c r="E394" s="17">
        <v>160.44306385199999</v>
      </c>
      <c r="F394" s="17">
        <v>-11.754887567000001</v>
      </c>
      <c r="G394" s="14">
        <v>97</v>
      </c>
      <c r="H394" s="17">
        <v>25.76</v>
      </c>
      <c r="I394" s="17">
        <v>26.69</v>
      </c>
      <c r="J394" s="17">
        <v>27.74</v>
      </c>
      <c r="K394" s="17">
        <v>28.71</v>
      </c>
      <c r="L394" s="17">
        <v>29.79</v>
      </c>
      <c r="M394" s="17">
        <f t="shared" si="76"/>
        <v>0.92999999999999972</v>
      </c>
      <c r="N394" s="17">
        <f t="shared" si="77"/>
        <v>1.9799999999999969</v>
      </c>
      <c r="O394" s="17">
        <f t="shared" si="78"/>
        <v>2.9499999999999993</v>
      </c>
      <c r="P394" s="17">
        <f t="shared" si="79"/>
        <v>4.0299999999999976</v>
      </c>
      <c r="Q394" s="17">
        <f t="shared" si="80"/>
        <v>8.391764033247183E-2</v>
      </c>
      <c r="R394" s="17">
        <f t="shared" si="73"/>
        <v>-0.17641794661975962</v>
      </c>
      <c r="S394" s="17">
        <f t="shared" si="74"/>
        <v>-0.61476922737457262</v>
      </c>
      <c r="T394" s="17">
        <f t="shared" si="75"/>
        <v>-0.71547780005096406</v>
      </c>
      <c r="U394" s="16">
        <v>0</v>
      </c>
      <c r="V394" s="16">
        <v>0</v>
      </c>
      <c r="W394" s="16">
        <v>0</v>
      </c>
      <c r="X394" s="16">
        <v>0</v>
      </c>
      <c r="Y394" s="15">
        <v>0.46600000000000003</v>
      </c>
      <c r="Z394" s="15">
        <v>0.58199999999999996</v>
      </c>
      <c r="AA394" s="15">
        <v>0.70299999999999996</v>
      </c>
      <c r="AB394" s="15">
        <v>0.81399999999999995</v>
      </c>
      <c r="AC394" s="3">
        <f t="shared" si="81"/>
        <v>0.15611560271597061</v>
      </c>
      <c r="AD394" s="3">
        <f t="shared" si="82"/>
        <v>0.11732187858883128</v>
      </c>
      <c r="AE394" s="3">
        <f t="shared" si="83"/>
        <v>0.19491887637957162</v>
      </c>
      <c r="AF394" s="3">
        <f t="shared" si="84"/>
        <v>0.30661920684749711</v>
      </c>
    </row>
    <row r="395" spans="1:32" x14ac:dyDescent="0.2">
      <c r="A395" s="30">
        <v>393</v>
      </c>
      <c r="B395" s="9" t="s">
        <v>1461</v>
      </c>
      <c r="C395" s="12">
        <v>198291</v>
      </c>
      <c r="D395" s="13" t="s">
        <v>394</v>
      </c>
      <c r="E395" s="17">
        <v>-63.946621099399998</v>
      </c>
      <c r="F395" s="17">
        <v>-42.498425584099998</v>
      </c>
      <c r="G395" s="14">
        <v>395</v>
      </c>
      <c r="H395" s="17">
        <v>13.51</v>
      </c>
      <c r="I395" s="17">
        <v>15.77</v>
      </c>
      <c r="J395" s="17">
        <v>16.28</v>
      </c>
      <c r="K395" s="17">
        <v>16.850000000000001</v>
      </c>
      <c r="L395" s="17">
        <v>17.79</v>
      </c>
      <c r="M395" s="17">
        <f t="shared" si="76"/>
        <v>2.2599999999999998</v>
      </c>
      <c r="N395" s="17">
        <f t="shared" si="77"/>
        <v>2.7700000000000014</v>
      </c>
      <c r="O395" s="17">
        <f t="shared" si="78"/>
        <v>3.3400000000000016</v>
      </c>
      <c r="P395" s="17">
        <f t="shared" si="79"/>
        <v>4.2799999999999994</v>
      </c>
      <c r="Q395" s="17">
        <f t="shared" si="80"/>
        <v>1.7043491270819369</v>
      </c>
      <c r="R395" s="17">
        <f t="shared" si="73"/>
        <v>0.93579091546495385</v>
      </c>
      <c r="S395" s="17">
        <f t="shared" si="74"/>
        <v>-0.16188001775567029</v>
      </c>
      <c r="T395" s="17">
        <f t="shared" si="75"/>
        <v>-0.46243400375786714</v>
      </c>
      <c r="U395" s="16">
        <v>16</v>
      </c>
      <c r="V395" s="16">
        <v>24</v>
      </c>
      <c r="W395" s="16">
        <v>25</v>
      </c>
      <c r="X395" s="16">
        <v>26</v>
      </c>
      <c r="Y395" s="15">
        <v>0.4</v>
      </c>
      <c r="Z395" s="15">
        <v>0.51100000000000001</v>
      </c>
      <c r="AA395" s="15">
        <v>0.624</v>
      </c>
      <c r="AB395" s="15">
        <v>0.69599999999999995</v>
      </c>
      <c r="AC395" s="3">
        <f t="shared" si="81"/>
        <v>-0.45376902141268183</v>
      </c>
      <c r="AD395" s="3">
        <f t="shared" si="82"/>
        <v>-0.51979055520097728</v>
      </c>
      <c r="AE395" s="3">
        <f t="shared" si="83"/>
        <v>-0.45550772040789866</v>
      </c>
      <c r="AF395" s="3">
        <f t="shared" si="84"/>
        <v>-0.66269816574246632</v>
      </c>
    </row>
    <row r="396" spans="1:32" x14ac:dyDescent="0.2">
      <c r="A396" s="30">
        <v>394</v>
      </c>
      <c r="B396" s="9" t="s">
        <v>833</v>
      </c>
      <c r="C396" s="12">
        <v>198292</v>
      </c>
      <c r="D396" s="13" t="s">
        <v>395</v>
      </c>
      <c r="E396" s="17">
        <v>-39.574185735999997</v>
      </c>
      <c r="F396" s="17">
        <v>-17.5815923744</v>
      </c>
      <c r="G396" s="14">
        <v>31</v>
      </c>
      <c r="H396" s="17">
        <v>22.29</v>
      </c>
      <c r="I396" s="17">
        <v>22.93</v>
      </c>
      <c r="J396" s="17">
        <v>24.42</v>
      </c>
      <c r="K396" s="17">
        <v>25.75</v>
      </c>
      <c r="L396" s="17">
        <v>26.68</v>
      </c>
      <c r="M396" s="17">
        <f t="shared" si="76"/>
        <v>0.64000000000000057</v>
      </c>
      <c r="N396" s="17">
        <f t="shared" si="77"/>
        <v>2.1300000000000026</v>
      </c>
      <c r="O396" s="17">
        <f t="shared" si="78"/>
        <v>3.4600000000000009</v>
      </c>
      <c r="P396" s="17">
        <f t="shared" si="79"/>
        <v>4.3900000000000006</v>
      </c>
      <c r="Q396" s="17">
        <f t="shared" si="80"/>
        <v>-0.26940952595124507</v>
      </c>
      <c r="R396" s="17">
        <f t="shared" si="73"/>
        <v>3.4760951244433291E-2</v>
      </c>
      <c r="S396" s="17">
        <f t="shared" si="74"/>
        <v>-2.2529491719086709E-2</v>
      </c>
      <c r="T396" s="17">
        <f t="shared" si="75"/>
        <v>-0.35109473338890401</v>
      </c>
      <c r="U396" s="16">
        <v>0</v>
      </c>
      <c r="V396" s="16">
        <v>0</v>
      </c>
      <c r="W396" s="16">
        <v>0</v>
      </c>
      <c r="X396" s="16">
        <v>0</v>
      </c>
      <c r="Y396" s="15">
        <v>0.41799999999999998</v>
      </c>
      <c r="Z396" s="15">
        <v>0.54500000000000004</v>
      </c>
      <c r="AA396" s="15">
        <v>0.67600000000000005</v>
      </c>
      <c r="AB396" s="15">
        <v>0.75600000000000001</v>
      </c>
      <c r="AC396" s="3">
        <f t="shared" si="81"/>
        <v>-0.287436851195777</v>
      </c>
      <c r="AD396" s="3">
        <f t="shared" si="82"/>
        <v>-0.21469446014670229</v>
      </c>
      <c r="AE396" s="3">
        <f t="shared" si="83"/>
        <v>-2.7378821256651791E-2</v>
      </c>
      <c r="AF396" s="3">
        <f t="shared" si="84"/>
        <v>-0.16982492544248443</v>
      </c>
    </row>
    <row r="397" spans="1:32" x14ac:dyDescent="0.2">
      <c r="A397" s="30">
        <v>395</v>
      </c>
      <c r="B397" s="9" t="s">
        <v>834</v>
      </c>
      <c r="C397" s="12">
        <v>198293</v>
      </c>
      <c r="D397" s="13" t="s">
        <v>396</v>
      </c>
      <c r="E397" s="17">
        <v>-48.101595818200003</v>
      </c>
      <c r="F397" s="17">
        <v>-24.705125541000001</v>
      </c>
      <c r="G397" s="14">
        <v>306</v>
      </c>
      <c r="H397" s="17">
        <v>18.84</v>
      </c>
      <c r="I397" s="17">
        <v>20.14</v>
      </c>
      <c r="J397" s="17">
        <v>21.62</v>
      </c>
      <c r="K397" s="17">
        <v>22.52</v>
      </c>
      <c r="L397" s="17">
        <v>23.36</v>
      </c>
      <c r="M397" s="17">
        <f t="shared" si="76"/>
        <v>1.3000000000000007</v>
      </c>
      <c r="N397" s="17">
        <f t="shared" si="77"/>
        <v>2.7800000000000011</v>
      </c>
      <c r="O397" s="17">
        <f t="shared" si="78"/>
        <v>3.6799999999999997</v>
      </c>
      <c r="P397" s="17">
        <f t="shared" si="79"/>
        <v>4.5199999999999996</v>
      </c>
      <c r="Q397" s="17">
        <f t="shared" si="80"/>
        <v>0.53471436972894071</v>
      </c>
      <c r="R397" s="17">
        <f t="shared" si="73"/>
        <v>0.94986950865589925</v>
      </c>
      <c r="S397" s="17">
        <f t="shared" si="74"/>
        <v>0.23294647268131688</v>
      </c>
      <c r="T397" s="17">
        <f t="shared" si="75"/>
        <v>-0.21951195931649556</v>
      </c>
      <c r="U397" s="16">
        <v>10</v>
      </c>
      <c r="V397" s="16">
        <v>11</v>
      </c>
      <c r="W397" s="16">
        <v>12</v>
      </c>
      <c r="X397" s="16">
        <v>12</v>
      </c>
      <c r="Y397" s="15">
        <v>0.55049999999999999</v>
      </c>
      <c r="Z397" s="15">
        <v>0.6865</v>
      </c>
      <c r="AA397" s="15">
        <v>0.81899999999999995</v>
      </c>
      <c r="AB397" s="15">
        <v>0.90449999999999997</v>
      </c>
      <c r="AC397" s="3">
        <f t="shared" si="81"/>
        <v>0.93695273512310862</v>
      </c>
      <c r="AD397" s="3">
        <f t="shared" si="82"/>
        <v>1.0550437001527055</v>
      </c>
      <c r="AE397" s="3">
        <f t="shared" si="83"/>
        <v>1.1499756514092752</v>
      </c>
      <c r="AF397" s="3">
        <f t="shared" si="84"/>
        <v>1.0500363442999692</v>
      </c>
    </row>
    <row r="398" spans="1:32" x14ac:dyDescent="0.2">
      <c r="A398" s="30">
        <v>396</v>
      </c>
      <c r="B398" s="9" t="s">
        <v>835</v>
      </c>
      <c r="C398" s="12">
        <v>198294</v>
      </c>
      <c r="D398" s="13" t="s">
        <v>397</v>
      </c>
      <c r="E398" s="17">
        <v>-66.370463254800001</v>
      </c>
      <c r="F398" s="17">
        <v>48.107303717800001</v>
      </c>
      <c r="G398" s="14">
        <v>8</v>
      </c>
      <c r="H398" s="17">
        <v>4.3</v>
      </c>
      <c r="I398" s="17">
        <v>4.8099999999999996</v>
      </c>
      <c r="J398" s="17">
        <v>7.13</v>
      </c>
      <c r="K398" s="17">
        <v>8.64</v>
      </c>
      <c r="L398" s="17">
        <v>9.6199999999999992</v>
      </c>
      <c r="M398" s="17">
        <f t="shared" si="76"/>
        <v>0.50999999999999979</v>
      </c>
      <c r="N398" s="17">
        <f t="shared" si="77"/>
        <v>2.83</v>
      </c>
      <c r="O398" s="17">
        <f t="shared" si="78"/>
        <v>4.3400000000000007</v>
      </c>
      <c r="P398" s="17">
        <f t="shared" si="79"/>
        <v>5.3199999999999994</v>
      </c>
      <c r="Q398" s="17">
        <f t="shared" si="80"/>
        <v>-0.42779756600946439</v>
      </c>
      <c r="R398" s="17">
        <f t="shared" si="73"/>
        <v>1.0202624746106261</v>
      </c>
      <c r="S398" s="17">
        <f t="shared" si="74"/>
        <v>0.99937436588253281</v>
      </c>
      <c r="T398" s="17">
        <f t="shared" si="75"/>
        <v>0.59022818882140882</v>
      </c>
      <c r="U398" s="16">
        <v>0</v>
      </c>
      <c r="V398" s="16">
        <v>0</v>
      </c>
      <c r="W398" s="16">
        <v>0</v>
      </c>
      <c r="X398" s="16">
        <v>0</v>
      </c>
      <c r="Y398" s="15">
        <v>0.54400000000000004</v>
      </c>
      <c r="Z398" s="15">
        <v>0.68200000000000005</v>
      </c>
      <c r="AA398" s="15">
        <v>0.78600000000000003</v>
      </c>
      <c r="AB398" s="15">
        <v>0.91300000000000003</v>
      </c>
      <c r="AC398" s="3">
        <f t="shared" si="81"/>
        <v>0.87688834032255991</v>
      </c>
      <c r="AD398" s="3">
        <f t="shared" si="82"/>
        <v>1.0146633346308165</v>
      </c>
      <c r="AE398" s="3">
        <f t="shared" si="83"/>
        <v>0.87827846540944643</v>
      </c>
      <c r="AF398" s="3">
        <f t="shared" si="84"/>
        <v>1.1198600533424672</v>
      </c>
    </row>
    <row r="399" spans="1:32" x14ac:dyDescent="0.2">
      <c r="A399" s="30">
        <v>397</v>
      </c>
      <c r="B399" s="9" t="s">
        <v>1462</v>
      </c>
      <c r="C399" s="12">
        <v>198296</v>
      </c>
      <c r="D399" s="13" t="s">
        <v>398</v>
      </c>
      <c r="E399" s="17">
        <v>-85.653911864500003</v>
      </c>
      <c r="F399" s="17">
        <v>10.844453319499999</v>
      </c>
      <c r="G399" s="14">
        <v>624</v>
      </c>
      <c r="H399" s="17">
        <v>26.84</v>
      </c>
      <c r="I399" s="17">
        <v>26.99</v>
      </c>
      <c r="J399" s="17">
        <v>28.37</v>
      </c>
      <c r="K399" s="17">
        <v>29.78</v>
      </c>
      <c r="L399" s="17">
        <v>30.55</v>
      </c>
      <c r="M399" s="17">
        <f t="shared" si="76"/>
        <v>0.14999999999999858</v>
      </c>
      <c r="N399" s="17">
        <f t="shared" si="77"/>
        <v>1.5300000000000011</v>
      </c>
      <c r="O399" s="17">
        <f t="shared" si="78"/>
        <v>2.9400000000000013</v>
      </c>
      <c r="P399" s="17">
        <f t="shared" si="79"/>
        <v>3.7100000000000009</v>
      </c>
      <c r="Q399" s="17">
        <f t="shared" si="80"/>
        <v>-0.86641060001683978</v>
      </c>
      <c r="R399" s="17">
        <f t="shared" si="73"/>
        <v>-0.80995464021230834</v>
      </c>
      <c r="S399" s="17">
        <f t="shared" si="74"/>
        <v>-0.6263817712109524</v>
      </c>
      <c r="T399" s="17">
        <f t="shared" si="75"/>
        <v>-1.0393738593061226</v>
      </c>
      <c r="U399" s="16">
        <v>5</v>
      </c>
      <c r="V399" s="16">
        <v>5</v>
      </c>
      <c r="W399" s="16">
        <v>6</v>
      </c>
      <c r="X399" s="16">
        <v>7</v>
      </c>
      <c r="Y399" s="15">
        <v>0.5</v>
      </c>
      <c r="Z399" s="15">
        <v>0.60199999999999998</v>
      </c>
      <c r="AA399" s="15">
        <v>0.73599999999999999</v>
      </c>
      <c r="AB399" s="15">
        <v>0.81200000000000006</v>
      </c>
      <c r="AC399" s="3">
        <f t="shared" si="81"/>
        <v>0.47029859090345799</v>
      </c>
      <c r="AD399" s="3">
        <f t="shared" si="82"/>
        <v>0.29679016979722833</v>
      </c>
      <c r="AE399" s="3">
        <f t="shared" si="83"/>
        <v>0.46661606237940134</v>
      </c>
      <c r="AF399" s="3">
        <f t="shared" si="84"/>
        <v>0.29019009883749863</v>
      </c>
    </row>
    <row r="400" spans="1:32" x14ac:dyDescent="0.2">
      <c r="A400" s="30">
        <v>398</v>
      </c>
      <c r="B400" s="9" t="s">
        <v>836</v>
      </c>
      <c r="C400" s="12">
        <v>198297</v>
      </c>
      <c r="D400" s="13" t="s">
        <v>399</v>
      </c>
      <c r="E400" s="17">
        <v>-77.579014352200005</v>
      </c>
      <c r="F400" s="17">
        <v>19.8727127491</v>
      </c>
      <c r="G400" s="14">
        <v>125</v>
      </c>
      <c r="H400" s="17">
        <v>25.77</v>
      </c>
      <c r="I400" s="17">
        <v>26.61</v>
      </c>
      <c r="J400" s="17">
        <v>27.71</v>
      </c>
      <c r="K400" s="17">
        <v>29.11</v>
      </c>
      <c r="L400" s="17">
        <v>29.95</v>
      </c>
      <c r="M400" s="17">
        <f t="shared" si="76"/>
        <v>0.83999999999999986</v>
      </c>
      <c r="N400" s="17">
        <f t="shared" si="77"/>
        <v>1.9400000000000013</v>
      </c>
      <c r="O400" s="17">
        <f t="shared" si="78"/>
        <v>3.34</v>
      </c>
      <c r="P400" s="17">
        <f t="shared" si="79"/>
        <v>4.18</v>
      </c>
      <c r="Q400" s="17">
        <f t="shared" si="80"/>
        <v>-2.5735618169371487E-2</v>
      </c>
      <c r="R400" s="17">
        <f t="shared" si="73"/>
        <v>-0.23273231938353606</v>
      </c>
      <c r="S400" s="17">
        <f t="shared" si="74"/>
        <v>-0.16188001775567235</v>
      </c>
      <c r="T400" s="17">
        <f t="shared" si="75"/>
        <v>-0.56365152227510484</v>
      </c>
      <c r="U400" s="16">
        <v>2</v>
      </c>
      <c r="V400" s="16">
        <v>4</v>
      </c>
      <c r="W400" s="16">
        <v>4</v>
      </c>
      <c r="X400" s="16">
        <v>5</v>
      </c>
      <c r="Y400" s="15">
        <v>0.4325</v>
      </c>
      <c r="Z400" s="15">
        <v>0.55649999999999999</v>
      </c>
      <c r="AA400" s="15">
        <v>0.65800000000000003</v>
      </c>
      <c r="AB400" s="15">
        <v>0.746</v>
      </c>
      <c r="AC400" s="3">
        <f t="shared" si="81"/>
        <v>-0.15344704740993659</v>
      </c>
      <c r="AD400" s="3">
        <f t="shared" si="82"/>
        <v>-0.11150019270187449</v>
      </c>
      <c r="AE400" s="3">
        <f t="shared" si="83"/>
        <v>-0.175577286347468</v>
      </c>
      <c r="AF400" s="3">
        <f t="shared" si="84"/>
        <v>-0.25197046549248142</v>
      </c>
    </row>
    <row r="401" spans="1:32" x14ac:dyDescent="0.2">
      <c r="A401" s="30">
        <v>399</v>
      </c>
      <c r="B401" s="9" t="s">
        <v>1322</v>
      </c>
      <c r="C401" s="12">
        <v>198298</v>
      </c>
      <c r="D401" s="13" t="s">
        <v>400</v>
      </c>
      <c r="E401" s="17">
        <v>137.82890320000001</v>
      </c>
      <c r="F401" s="17">
        <v>-4.4951347529000003</v>
      </c>
      <c r="G401" s="14">
        <v>2555</v>
      </c>
      <c r="H401" s="17">
        <v>25.6</v>
      </c>
      <c r="I401" s="17">
        <v>26.38</v>
      </c>
      <c r="J401" s="17">
        <v>27.77</v>
      </c>
      <c r="K401" s="17">
        <v>28.73</v>
      </c>
      <c r="L401" s="17">
        <v>29.7</v>
      </c>
      <c r="M401" s="17">
        <f t="shared" si="76"/>
        <v>0.77999999999999758</v>
      </c>
      <c r="N401" s="17">
        <f t="shared" si="77"/>
        <v>2.1699999999999982</v>
      </c>
      <c r="O401" s="17">
        <f t="shared" si="78"/>
        <v>3.129999999999999</v>
      </c>
      <c r="P401" s="17">
        <f t="shared" si="79"/>
        <v>4.0999999999999979</v>
      </c>
      <c r="Q401" s="17">
        <f t="shared" si="80"/>
        <v>-9.8837790503936582E-2</v>
      </c>
      <c r="R401" s="17">
        <f t="shared" si="73"/>
        <v>9.1075324008209738E-2</v>
      </c>
      <c r="S401" s="17">
        <f t="shared" si="74"/>
        <v>-0.40574343831969623</v>
      </c>
      <c r="T401" s="17">
        <f t="shared" si="75"/>
        <v>-0.64462553708889714</v>
      </c>
      <c r="U401" s="16">
        <v>6</v>
      </c>
      <c r="V401" s="16">
        <v>13</v>
      </c>
      <c r="W401" s="16">
        <v>13</v>
      </c>
      <c r="X401" s="16">
        <v>14</v>
      </c>
      <c r="Y401" s="15">
        <v>0.41799999999999998</v>
      </c>
      <c r="Z401" s="15">
        <v>0.52900000000000003</v>
      </c>
      <c r="AA401" s="15">
        <v>0.63400000000000001</v>
      </c>
      <c r="AB401" s="15">
        <v>0.74199999999999999</v>
      </c>
      <c r="AC401" s="3">
        <f t="shared" si="81"/>
        <v>-0.287436851195777</v>
      </c>
      <c r="AD401" s="3">
        <f t="shared" si="82"/>
        <v>-0.35826909311341992</v>
      </c>
      <c r="AE401" s="3">
        <f t="shared" si="83"/>
        <v>-0.37317523980188966</v>
      </c>
      <c r="AF401" s="3">
        <f t="shared" si="84"/>
        <v>-0.2848286815124802</v>
      </c>
    </row>
    <row r="402" spans="1:32" x14ac:dyDescent="0.2">
      <c r="A402" s="30">
        <v>400</v>
      </c>
      <c r="B402" s="9" t="s">
        <v>1122</v>
      </c>
      <c r="C402" s="12">
        <v>198302</v>
      </c>
      <c r="D402" s="13" t="s">
        <v>401</v>
      </c>
      <c r="E402" s="17">
        <v>32.55584245</v>
      </c>
      <c r="F402" s="17">
        <v>-27.751807072799998</v>
      </c>
      <c r="G402" s="14">
        <v>2610</v>
      </c>
      <c r="H402" s="17">
        <v>22.25</v>
      </c>
      <c r="I402" s="17">
        <v>23.55</v>
      </c>
      <c r="J402" s="17">
        <v>24.33</v>
      </c>
      <c r="K402" s="17">
        <v>26.03</v>
      </c>
      <c r="L402" s="17">
        <v>26.53</v>
      </c>
      <c r="M402" s="17">
        <f t="shared" si="76"/>
        <v>1.3000000000000007</v>
      </c>
      <c r="N402" s="17">
        <f t="shared" si="77"/>
        <v>2.0799999999999983</v>
      </c>
      <c r="O402" s="17">
        <f t="shared" si="78"/>
        <v>3.7800000000000011</v>
      </c>
      <c r="P402" s="17">
        <f t="shared" si="79"/>
        <v>4.2800000000000011</v>
      </c>
      <c r="Q402" s="17">
        <f t="shared" si="80"/>
        <v>0.53471436972894071</v>
      </c>
      <c r="R402" s="17">
        <f t="shared" si="73"/>
        <v>-3.5632014710301016E-2</v>
      </c>
      <c r="S402" s="17">
        <f t="shared" si="74"/>
        <v>0.34907191104513896</v>
      </c>
      <c r="T402" s="17">
        <f t="shared" si="75"/>
        <v>-0.46243400375786531</v>
      </c>
      <c r="U402" s="16">
        <v>75</v>
      </c>
      <c r="V402" s="16">
        <v>92</v>
      </c>
      <c r="W402" s="16">
        <v>102</v>
      </c>
      <c r="X402" s="16">
        <v>104</v>
      </c>
      <c r="Y402" s="15">
        <v>0.47199999999999998</v>
      </c>
      <c r="Z402" s="15">
        <v>0.6</v>
      </c>
      <c r="AA402" s="15">
        <v>0.73599999999999999</v>
      </c>
      <c r="AB402" s="15">
        <v>0.82299999999999995</v>
      </c>
      <c r="AC402" s="3">
        <f t="shared" si="81"/>
        <v>0.21155965945493854</v>
      </c>
      <c r="AD402" s="3">
        <f t="shared" si="82"/>
        <v>0.27884334067638861</v>
      </c>
      <c r="AE402" s="3">
        <f t="shared" si="83"/>
        <v>0.46661606237940134</v>
      </c>
      <c r="AF402" s="3">
        <f t="shared" si="84"/>
        <v>0.38055019289249437</v>
      </c>
    </row>
    <row r="403" spans="1:32" x14ac:dyDescent="0.2">
      <c r="A403" s="30">
        <v>401</v>
      </c>
      <c r="B403" s="9" t="s">
        <v>1323</v>
      </c>
      <c r="C403" s="12">
        <v>198306</v>
      </c>
      <c r="D403" s="13" t="s">
        <v>402</v>
      </c>
      <c r="E403" s="17">
        <v>152.96354640199999</v>
      </c>
      <c r="F403" s="17">
        <v>-25.552272002900001</v>
      </c>
      <c r="G403" s="14">
        <v>975</v>
      </c>
      <c r="H403" s="17">
        <v>20.350000000000001</v>
      </c>
      <c r="I403" s="17">
        <v>21.82</v>
      </c>
      <c r="J403" s="17">
        <v>22.69</v>
      </c>
      <c r="K403" s="17">
        <v>25.13</v>
      </c>
      <c r="L403" s="17">
        <v>26.04</v>
      </c>
      <c r="M403" s="17">
        <f t="shared" si="76"/>
        <v>1.4699999999999989</v>
      </c>
      <c r="N403" s="17">
        <f t="shared" si="77"/>
        <v>2.34</v>
      </c>
      <c r="O403" s="17">
        <f t="shared" si="78"/>
        <v>4.7799999999999976</v>
      </c>
      <c r="P403" s="17">
        <f t="shared" si="79"/>
        <v>5.6899999999999977</v>
      </c>
      <c r="Q403" s="17">
        <f t="shared" si="80"/>
        <v>0.74183719134353177</v>
      </c>
      <c r="R403" s="17">
        <f t="shared" si="73"/>
        <v>0.33041140825428839</v>
      </c>
      <c r="S403" s="17">
        <f t="shared" si="74"/>
        <v>1.5103262946833389</v>
      </c>
      <c r="T403" s="17">
        <f t="shared" si="75"/>
        <v>0.96473300733518796</v>
      </c>
      <c r="U403" s="16">
        <v>23</v>
      </c>
      <c r="V403" s="16">
        <v>38</v>
      </c>
      <c r="W403" s="16">
        <v>43</v>
      </c>
      <c r="X403" s="16">
        <v>46</v>
      </c>
      <c r="Y403" s="15">
        <v>0.42099999999999999</v>
      </c>
      <c r="Z403" s="15">
        <v>0.54200000000000004</v>
      </c>
      <c r="AA403" s="15">
        <v>0.68700000000000006</v>
      </c>
      <c r="AB403" s="15">
        <v>0.78</v>
      </c>
      <c r="AC403" s="3">
        <f t="shared" si="81"/>
        <v>-0.25971482282629277</v>
      </c>
      <c r="AD403" s="3">
        <f t="shared" si="82"/>
        <v>-0.24161470382796185</v>
      </c>
      <c r="AE403" s="3">
        <f t="shared" si="83"/>
        <v>6.3186907409958123E-2</v>
      </c>
      <c r="AF403" s="3">
        <f t="shared" si="84"/>
        <v>2.732437067750831E-2</v>
      </c>
    </row>
    <row r="404" spans="1:32" x14ac:dyDescent="0.2">
      <c r="A404" s="30">
        <v>402</v>
      </c>
      <c r="B404" s="9" t="s">
        <v>1324</v>
      </c>
      <c r="C404" s="12">
        <v>198308</v>
      </c>
      <c r="D404" s="13" t="s">
        <v>403</v>
      </c>
      <c r="E404" s="17">
        <v>144.073309266</v>
      </c>
      <c r="F404" s="17">
        <v>-39.718597793000001</v>
      </c>
      <c r="G404" s="14">
        <v>27</v>
      </c>
      <c r="H404" s="17">
        <v>13.46</v>
      </c>
      <c r="I404" s="17">
        <v>15.17</v>
      </c>
      <c r="J404" s="17">
        <v>16.25</v>
      </c>
      <c r="K404" s="17">
        <v>16.43</v>
      </c>
      <c r="L404" s="17">
        <v>17.11</v>
      </c>
      <c r="M404" s="17">
        <f t="shared" si="76"/>
        <v>1.7099999999999991</v>
      </c>
      <c r="N404" s="17">
        <f t="shared" si="77"/>
        <v>2.7899999999999991</v>
      </c>
      <c r="O404" s="17">
        <f t="shared" si="78"/>
        <v>2.9699999999999989</v>
      </c>
      <c r="P404" s="17">
        <f t="shared" si="79"/>
        <v>3.6499999999999986</v>
      </c>
      <c r="Q404" s="17">
        <f t="shared" si="80"/>
        <v>1.0342458806817814</v>
      </c>
      <c r="R404" s="17">
        <f t="shared" si="73"/>
        <v>0.9639481018468421</v>
      </c>
      <c r="S404" s="17">
        <f t="shared" si="74"/>
        <v>-0.59154413970180908</v>
      </c>
      <c r="T404" s="17">
        <f t="shared" si="75"/>
        <v>-1.1001043704164677</v>
      </c>
      <c r="U404" s="16">
        <v>1</v>
      </c>
      <c r="V404" s="16">
        <v>1</v>
      </c>
      <c r="W404" s="16">
        <v>1</v>
      </c>
      <c r="X404" s="16">
        <v>1</v>
      </c>
      <c r="Y404" s="15">
        <v>0.40600000000000003</v>
      </c>
      <c r="Z404" s="15">
        <v>0.51</v>
      </c>
      <c r="AA404" s="15">
        <v>0.61099999999999999</v>
      </c>
      <c r="AB404" s="15">
        <v>0.69299999999999995</v>
      </c>
      <c r="AC404" s="3">
        <f t="shared" si="81"/>
        <v>-0.39832496467371337</v>
      </c>
      <c r="AD404" s="3">
        <f t="shared" si="82"/>
        <v>-0.52876396976139717</v>
      </c>
      <c r="AE404" s="3">
        <f t="shared" si="83"/>
        <v>-0.56253994519571038</v>
      </c>
      <c r="AF404" s="3">
        <f t="shared" si="84"/>
        <v>-0.68734182775746533</v>
      </c>
    </row>
    <row r="405" spans="1:32" x14ac:dyDescent="0.2">
      <c r="A405" s="30">
        <v>403</v>
      </c>
      <c r="B405" s="9" t="s">
        <v>1325</v>
      </c>
      <c r="C405" s="12">
        <v>198315</v>
      </c>
      <c r="D405" s="13" t="s">
        <v>404</v>
      </c>
      <c r="E405" s="17">
        <v>103.060778691</v>
      </c>
      <c r="F405" s="17">
        <v>11.4600597135</v>
      </c>
      <c r="G405" s="14">
        <v>70</v>
      </c>
      <c r="H405" s="17">
        <v>26.05</v>
      </c>
      <c r="I405" s="17">
        <v>27.25</v>
      </c>
      <c r="J405" s="17">
        <v>28.4</v>
      </c>
      <c r="K405" s="17">
        <v>29.64</v>
      </c>
      <c r="L405" s="17">
        <v>30.67</v>
      </c>
      <c r="M405" s="17">
        <f t="shared" si="76"/>
        <v>1.1999999999999993</v>
      </c>
      <c r="N405" s="17">
        <f t="shared" si="77"/>
        <v>2.3499999999999979</v>
      </c>
      <c r="O405" s="17">
        <f t="shared" si="78"/>
        <v>3.59</v>
      </c>
      <c r="P405" s="17">
        <f t="shared" si="79"/>
        <v>4.620000000000001</v>
      </c>
      <c r="Q405" s="17">
        <f t="shared" si="80"/>
        <v>0.4128774158380018</v>
      </c>
      <c r="R405" s="17">
        <f t="shared" si="73"/>
        <v>0.34449000144523123</v>
      </c>
      <c r="S405" s="17">
        <f t="shared" si="74"/>
        <v>0.12843357815387868</v>
      </c>
      <c r="T405" s="17">
        <f t="shared" si="75"/>
        <v>-0.11829444079925605</v>
      </c>
      <c r="U405" s="16">
        <v>1</v>
      </c>
      <c r="V405" s="16">
        <v>1</v>
      </c>
      <c r="W405" s="16">
        <v>1</v>
      </c>
      <c r="X405" s="16">
        <v>1</v>
      </c>
      <c r="Y405" s="15">
        <v>0.441</v>
      </c>
      <c r="Z405" s="15">
        <v>0.56399999999999995</v>
      </c>
      <c r="AA405" s="15">
        <v>0.68300000000000005</v>
      </c>
      <c r="AB405" s="15">
        <v>0.78</v>
      </c>
      <c r="AC405" s="3">
        <f t="shared" si="81"/>
        <v>-7.490130036306461E-2</v>
      </c>
      <c r="AD405" s="3">
        <f t="shared" si="82"/>
        <v>-4.4199583498726082E-2</v>
      </c>
      <c r="AE405" s="3">
        <f t="shared" si="83"/>
        <v>3.0253915167554518E-2</v>
      </c>
      <c r="AF405" s="3">
        <f t="shared" si="84"/>
        <v>2.732437067750831E-2</v>
      </c>
    </row>
    <row r="406" spans="1:32" x14ac:dyDescent="0.2">
      <c r="A406" s="30">
        <v>404</v>
      </c>
      <c r="B406" s="9" t="s">
        <v>837</v>
      </c>
      <c r="C406" s="12">
        <v>198318</v>
      </c>
      <c r="D406" s="13" t="s">
        <v>405</v>
      </c>
      <c r="E406" s="17">
        <v>-85.851413762600004</v>
      </c>
      <c r="F406" s="17">
        <v>10.858571685999999</v>
      </c>
      <c r="G406" s="14">
        <v>2</v>
      </c>
      <c r="H406" s="17">
        <v>26.82</v>
      </c>
      <c r="I406" s="17">
        <v>26.95</v>
      </c>
      <c r="J406" s="17">
        <v>28.34</v>
      </c>
      <c r="K406" s="17">
        <v>29.72</v>
      </c>
      <c r="L406" s="17">
        <v>30.51</v>
      </c>
      <c r="M406" s="17">
        <f t="shared" si="76"/>
        <v>0.12999999999999901</v>
      </c>
      <c r="N406" s="17">
        <f t="shared" si="77"/>
        <v>1.5199999999999996</v>
      </c>
      <c r="O406" s="17">
        <f t="shared" si="78"/>
        <v>2.8999999999999986</v>
      </c>
      <c r="P406" s="17">
        <f t="shared" si="79"/>
        <v>3.6900000000000013</v>
      </c>
      <c r="Q406" s="17">
        <f t="shared" si="80"/>
        <v>-0.89077799079502673</v>
      </c>
      <c r="R406" s="17">
        <f t="shared" si="73"/>
        <v>-0.82403323340325618</v>
      </c>
      <c r="S406" s="17">
        <f t="shared" si="74"/>
        <v>-0.6728319465564836</v>
      </c>
      <c r="T406" s="17">
        <f t="shared" si="75"/>
        <v>-1.0596173630095698</v>
      </c>
      <c r="U406" s="16">
        <v>0</v>
      </c>
      <c r="V406" s="16">
        <v>0</v>
      </c>
      <c r="W406" s="16">
        <v>0</v>
      </c>
      <c r="X406" s="16">
        <v>0</v>
      </c>
      <c r="Y406" s="15">
        <v>0.5</v>
      </c>
      <c r="Z406" s="15">
        <v>0.60199999999999998</v>
      </c>
      <c r="AA406" s="15">
        <v>0.73599999999999999</v>
      </c>
      <c r="AB406" s="15">
        <v>0.81200000000000006</v>
      </c>
      <c r="AC406" s="3">
        <f t="shared" si="81"/>
        <v>0.47029859090345799</v>
      </c>
      <c r="AD406" s="3">
        <f t="shared" si="82"/>
        <v>0.29679016979722833</v>
      </c>
      <c r="AE406" s="3">
        <f t="shared" si="83"/>
        <v>0.46661606237940134</v>
      </c>
      <c r="AF406" s="3">
        <f t="shared" si="84"/>
        <v>0.29019009883749863</v>
      </c>
    </row>
    <row r="407" spans="1:32" x14ac:dyDescent="0.2">
      <c r="A407" s="30">
        <v>405</v>
      </c>
      <c r="B407" s="9" t="s">
        <v>838</v>
      </c>
      <c r="C407" s="12">
        <v>198322</v>
      </c>
      <c r="D407" s="13" t="s">
        <v>406</v>
      </c>
      <c r="E407" s="17">
        <v>-88.4808394617</v>
      </c>
      <c r="F407" s="17">
        <v>15.877557515099999</v>
      </c>
      <c r="G407" s="14">
        <v>1167</v>
      </c>
      <c r="H407" s="17">
        <v>25.6</v>
      </c>
      <c r="I407" s="17">
        <v>26.05</v>
      </c>
      <c r="J407" s="17">
        <v>27.29</v>
      </c>
      <c r="K407" s="17">
        <v>28.52</v>
      </c>
      <c r="L407" s="17">
        <v>29.63</v>
      </c>
      <c r="M407" s="17">
        <f t="shared" si="76"/>
        <v>0.44999999999999929</v>
      </c>
      <c r="N407" s="17">
        <f t="shared" si="77"/>
        <v>1.6899999999999977</v>
      </c>
      <c r="O407" s="17">
        <f t="shared" si="78"/>
        <v>2.9199999999999982</v>
      </c>
      <c r="P407" s="17">
        <f t="shared" si="79"/>
        <v>4.0299999999999976</v>
      </c>
      <c r="Q407" s="17">
        <f t="shared" si="80"/>
        <v>-0.50089973834402735</v>
      </c>
      <c r="R407" s="17">
        <f t="shared" si="73"/>
        <v>-0.58469714915718263</v>
      </c>
      <c r="S407" s="17">
        <f t="shared" si="74"/>
        <v>-0.64960685888372005</v>
      </c>
      <c r="T407" s="17">
        <f t="shared" si="75"/>
        <v>-0.71547780005096406</v>
      </c>
      <c r="U407" s="16">
        <v>4</v>
      </c>
      <c r="V407" s="16">
        <v>4</v>
      </c>
      <c r="W407" s="16">
        <v>8</v>
      </c>
      <c r="X407" s="16">
        <v>8</v>
      </c>
      <c r="Y407" s="15">
        <v>0.84399999999999997</v>
      </c>
      <c r="Z407" s="15">
        <v>0.97050000000000003</v>
      </c>
      <c r="AA407" s="15">
        <v>1.091</v>
      </c>
      <c r="AB407" s="15">
        <v>1.1825000000000001</v>
      </c>
      <c r="AC407" s="3">
        <f t="shared" si="81"/>
        <v>3.6490911772709795</v>
      </c>
      <c r="AD407" s="3">
        <f t="shared" si="82"/>
        <v>3.6034934353119419</v>
      </c>
      <c r="AE407" s="3">
        <f t="shared" si="83"/>
        <v>3.3894191238927185</v>
      </c>
      <c r="AF407" s="3">
        <f t="shared" si="84"/>
        <v>3.3336823576898844</v>
      </c>
    </row>
    <row r="408" spans="1:32" x14ac:dyDescent="0.2">
      <c r="A408" s="30">
        <v>406</v>
      </c>
      <c r="B408" s="9" t="s">
        <v>1326</v>
      </c>
      <c r="C408" s="12">
        <v>198324</v>
      </c>
      <c r="D408" s="13" t="s">
        <v>407</v>
      </c>
      <c r="E408" s="17">
        <v>127.68488908800001</v>
      </c>
      <c r="F408" s="17">
        <v>26.195714157600001</v>
      </c>
      <c r="G408" s="14">
        <v>1</v>
      </c>
      <c r="H408" s="17">
        <v>21.78</v>
      </c>
      <c r="I408" s="17">
        <v>22.69</v>
      </c>
      <c r="J408" s="17">
        <v>24.21</v>
      </c>
      <c r="K408" s="17">
        <v>25</v>
      </c>
      <c r="L408" s="17">
        <v>25.59</v>
      </c>
      <c r="M408" s="17">
        <f t="shared" si="76"/>
        <v>0.91000000000000014</v>
      </c>
      <c r="N408" s="17">
        <f t="shared" si="77"/>
        <v>2.4299999999999997</v>
      </c>
      <c r="O408" s="17">
        <f t="shared" si="78"/>
        <v>3.2199999999999989</v>
      </c>
      <c r="P408" s="17">
        <f t="shared" si="79"/>
        <v>3.8099999999999987</v>
      </c>
      <c r="Q408" s="17">
        <f t="shared" si="80"/>
        <v>5.9550249554284909E-2</v>
      </c>
      <c r="R408" s="17">
        <f t="shared" si="73"/>
        <v>0.45711874697279914</v>
      </c>
      <c r="S408" s="17">
        <f t="shared" si="74"/>
        <v>-0.301230543792258</v>
      </c>
      <c r="T408" s="17">
        <f t="shared" si="75"/>
        <v>-0.93815634078888666</v>
      </c>
      <c r="U408" s="16">
        <v>0</v>
      </c>
      <c r="V408" s="16">
        <v>0</v>
      </c>
      <c r="W408" s="16">
        <v>0</v>
      </c>
      <c r="X408" s="16">
        <v>0</v>
      </c>
      <c r="Y408" s="15">
        <v>0.47533333333299999</v>
      </c>
      <c r="Z408" s="15">
        <v>0.62733333333300001</v>
      </c>
      <c r="AA408" s="15">
        <v>0.75833333333300001</v>
      </c>
      <c r="AB408" s="15">
        <v>0.85633333333299999</v>
      </c>
      <c r="AC408" s="3">
        <f t="shared" si="81"/>
        <v>0.24236191319572975</v>
      </c>
      <c r="AD408" s="3">
        <f t="shared" si="82"/>
        <v>0.52411667199154022</v>
      </c>
      <c r="AE408" s="3">
        <f t="shared" si="83"/>
        <v>0.65049193573007713</v>
      </c>
      <c r="AF408" s="3">
        <f t="shared" si="84"/>
        <v>0.65436865972307956</v>
      </c>
    </row>
    <row r="409" spans="1:32" x14ac:dyDescent="0.2">
      <c r="A409" s="30">
        <v>407</v>
      </c>
      <c r="B409" s="9" t="s">
        <v>1123</v>
      </c>
      <c r="C409" s="12">
        <v>198331</v>
      </c>
      <c r="D409" s="13" t="s">
        <v>408</v>
      </c>
      <c r="E409" s="17">
        <v>-13.2789931148</v>
      </c>
      <c r="F409" s="17">
        <v>8.4799552277199997</v>
      </c>
      <c r="G409" s="14">
        <v>6</v>
      </c>
      <c r="H409" s="17">
        <v>26.12</v>
      </c>
      <c r="I409" s="17">
        <v>27.28</v>
      </c>
      <c r="J409" s="17">
        <v>28.11</v>
      </c>
      <c r="K409" s="17">
        <v>28.8</v>
      </c>
      <c r="L409" s="17">
        <v>29.52</v>
      </c>
      <c r="M409" s="17">
        <f t="shared" si="76"/>
        <v>1.1600000000000001</v>
      </c>
      <c r="N409" s="17">
        <f t="shared" si="77"/>
        <v>1.9899999999999984</v>
      </c>
      <c r="O409" s="17">
        <f t="shared" si="78"/>
        <v>2.6799999999999997</v>
      </c>
      <c r="P409" s="17">
        <f t="shared" si="79"/>
        <v>3.3999999999999986</v>
      </c>
      <c r="Q409" s="17">
        <f t="shared" si="80"/>
        <v>0.36414263428162796</v>
      </c>
      <c r="R409" s="17">
        <f t="shared" si="73"/>
        <v>-0.16233935342881176</v>
      </c>
      <c r="S409" s="17">
        <f t="shared" si="74"/>
        <v>-0.92830791095688725</v>
      </c>
      <c r="T409" s="17">
        <f t="shared" si="75"/>
        <v>-1.3531481667095628</v>
      </c>
      <c r="U409" s="16">
        <v>0</v>
      </c>
      <c r="V409" s="16">
        <v>0</v>
      </c>
      <c r="W409" s="16">
        <v>0</v>
      </c>
      <c r="X409" s="16">
        <v>0</v>
      </c>
      <c r="Y409" s="15">
        <v>0.47099999999999997</v>
      </c>
      <c r="Z409" s="15">
        <v>0.59599999999999997</v>
      </c>
      <c r="AA409" s="15">
        <v>0.70899999999999996</v>
      </c>
      <c r="AB409" s="15">
        <v>0.80200000000000005</v>
      </c>
      <c r="AC409" s="3">
        <f t="shared" si="81"/>
        <v>0.20231898333177714</v>
      </c>
      <c r="AD409" s="3">
        <f t="shared" si="82"/>
        <v>0.24294968243470921</v>
      </c>
      <c r="AE409" s="3">
        <f t="shared" si="83"/>
        <v>0.24431836474317703</v>
      </c>
      <c r="AF409" s="3">
        <f t="shared" si="84"/>
        <v>0.20804455878750167</v>
      </c>
    </row>
    <row r="410" spans="1:32" x14ac:dyDescent="0.2">
      <c r="A410" s="30">
        <v>408</v>
      </c>
      <c r="B410" s="9" t="s">
        <v>1327</v>
      </c>
      <c r="C410" s="12">
        <v>198336</v>
      </c>
      <c r="D410" s="13" t="s">
        <v>409</v>
      </c>
      <c r="E410" s="17">
        <v>109.70411130399999</v>
      </c>
      <c r="F410" s="17">
        <v>21.5601155797</v>
      </c>
      <c r="G410" s="14">
        <v>79</v>
      </c>
      <c r="H410" s="17">
        <v>22.29</v>
      </c>
      <c r="I410" s="17">
        <v>24.47</v>
      </c>
      <c r="J410" s="17">
        <v>25.13</v>
      </c>
      <c r="K410" s="17">
        <v>26.1</v>
      </c>
      <c r="L410" s="17">
        <v>28.01</v>
      </c>
      <c r="M410" s="17">
        <f t="shared" si="76"/>
        <v>2.1799999999999997</v>
      </c>
      <c r="N410" s="17">
        <f t="shared" si="77"/>
        <v>2.84</v>
      </c>
      <c r="O410" s="17">
        <f t="shared" si="78"/>
        <v>3.8100000000000023</v>
      </c>
      <c r="P410" s="17">
        <f t="shared" si="79"/>
        <v>5.7200000000000024</v>
      </c>
      <c r="Q410" s="17">
        <f t="shared" si="80"/>
        <v>1.6068795639691871</v>
      </c>
      <c r="R410" s="17">
        <f t="shared" si="73"/>
        <v>1.0343410678015714</v>
      </c>
      <c r="S410" s="17">
        <f t="shared" si="74"/>
        <v>0.38390954255428639</v>
      </c>
      <c r="T410" s="17">
        <f t="shared" si="75"/>
        <v>0.99509826289036407</v>
      </c>
      <c r="U410" s="16">
        <v>3</v>
      </c>
      <c r="V410" s="16">
        <v>3</v>
      </c>
      <c r="W410" s="16">
        <v>3</v>
      </c>
      <c r="X410" s="16">
        <v>3</v>
      </c>
      <c r="Y410" s="15">
        <v>0.41399999999999998</v>
      </c>
      <c r="Z410" s="15">
        <v>0.54800000000000004</v>
      </c>
      <c r="AA410" s="15">
        <v>0.66200000000000003</v>
      </c>
      <c r="AB410" s="15">
        <v>0.76400000000000001</v>
      </c>
      <c r="AC410" s="3">
        <f t="shared" si="81"/>
        <v>-0.32439955568842266</v>
      </c>
      <c r="AD410" s="3">
        <f t="shared" si="82"/>
        <v>-0.18777421646544273</v>
      </c>
      <c r="AE410" s="3">
        <f t="shared" si="83"/>
        <v>-0.14264429410506441</v>
      </c>
      <c r="AF410" s="3">
        <f t="shared" si="84"/>
        <v>-0.10410849340248685</v>
      </c>
    </row>
    <row r="411" spans="1:32" x14ac:dyDescent="0.2">
      <c r="A411" s="30">
        <v>409</v>
      </c>
      <c r="B411" s="9" t="s">
        <v>1463</v>
      </c>
      <c r="C411" s="12">
        <v>198339</v>
      </c>
      <c r="D411" s="13" t="s">
        <v>410</v>
      </c>
      <c r="E411" s="17">
        <v>-81.377488500400005</v>
      </c>
      <c r="F411" s="17">
        <v>22.2679258163</v>
      </c>
      <c r="G411" s="14">
        <v>2334</v>
      </c>
      <c r="H411" s="17">
        <v>24.85</v>
      </c>
      <c r="I411" s="17">
        <v>25.61</v>
      </c>
      <c r="J411" s="17">
        <v>26.94</v>
      </c>
      <c r="K411" s="17">
        <v>28.45</v>
      </c>
      <c r="L411" s="17">
        <v>29.06</v>
      </c>
      <c r="M411" s="17">
        <f t="shared" si="76"/>
        <v>0.75999999999999801</v>
      </c>
      <c r="N411" s="17">
        <f t="shared" si="77"/>
        <v>2.09</v>
      </c>
      <c r="O411" s="17">
        <f t="shared" si="78"/>
        <v>3.5999999999999979</v>
      </c>
      <c r="P411" s="17">
        <f t="shared" si="79"/>
        <v>4.2099999999999973</v>
      </c>
      <c r="Q411" s="17">
        <f t="shared" si="80"/>
        <v>-0.12320518128212352</v>
      </c>
      <c r="R411" s="17">
        <f t="shared" si="73"/>
        <v>-2.1553421519353154E-2</v>
      </c>
      <c r="S411" s="17">
        <f t="shared" si="74"/>
        <v>0.1400461219902584</v>
      </c>
      <c r="T411" s="17">
        <f t="shared" si="75"/>
        <v>-0.53328626671993584</v>
      </c>
      <c r="U411" s="16">
        <v>50</v>
      </c>
      <c r="V411" s="16">
        <v>62</v>
      </c>
      <c r="W411" s="16">
        <v>76</v>
      </c>
      <c r="X411" s="16">
        <v>77</v>
      </c>
      <c r="Y411" s="15">
        <v>0.53600000000000003</v>
      </c>
      <c r="Z411" s="15">
        <v>0.66</v>
      </c>
      <c r="AA411" s="15">
        <v>0.76400000000000001</v>
      </c>
      <c r="AB411" s="15">
        <v>0.84899999999999998</v>
      </c>
      <c r="AC411" s="3">
        <f t="shared" si="81"/>
        <v>0.8029629313372687</v>
      </c>
      <c r="AD411" s="3">
        <f t="shared" si="82"/>
        <v>0.81724821430157979</v>
      </c>
      <c r="AE411" s="3">
        <f t="shared" si="83"/>
        <v>0.69714700807622665</v>
      </c>
      <c r="AF411" s="3">
        <f t="shared" si="84"/>
        <v>0.59412859702248655</v>
      </c>
    </row>
    <row r="412" spans="1:32" x14ac:dyDescent="0.2">
      <c r="A412" s="30">
        <v>410</v>
      </c>
      <c r="B412" s="9" t="s">
        <v>839</v>
      </c>
      <c r="C412" s="12">
        <v>198342</v>
      </c>
      <c r="D412" s="13" t="s">
        <v>411</v>
      </c>
      <c r="E412" s="17">
        <v>-114.182470145</v>
      </c>
      <c r="F412" s="17">
        <v>31.687404859099999</v>
      </c>
      <c r="G412" s="14">
        <v>6916</v>
      </c>
      <c r="H412" s="17">
        <v>20.079999999999998</v>
      </c>
      <c r="I412" s="17">
        <v>22.06</v>
      </c>
      <c r="J412" s="17">
        <v>23.5</v>
      </c>
      <c r="K412" s="17">
        <v>25.21</v>
      </c>
      <c r="L412" s="17">
        <v>26.8</v>
      </c>
      <c r="M412" s="17">
        <f t="shared" si="76"/>
        <v>1.9800000000000004</v>
      </c>
      <c r="N412" s="17">
        <f t="shared" si="77"/>
        <v>3.4200000000000017</v>
      </c>
      <c r="O412" s="17">
        <f t="shared" si="78"/>
        <v>5.1300000000000026</v>
      </c>
      <c r="P412" s="17">
        <f t="shared" si="79"/>
        <v>6.7200000000000024</v>
      </c>
      <c r="Q412" s="17">
        <f t="shared" si="80"/>
        <v>1.3632056561873134</v>
      </c>
      <c r="R412" s="17">
        <f t="shared" si="73"/>
        <v>1.8508994728764223</v>
      </c>
      <c r="S412" s="17">
        <f t="shared" si="74"/>
        <v>1.9167653289567161</v>
      </c>
      <c r="T412" s="17">
        <f t="shared" si="75"/>
        <v>2.0072734480627448</v>
      </c>
      <c r="U412" s="16">
        <v>42</v>
      </c>
      <c r="V412" s="16">
        <v>54</v>
      </c>
      <c r="W412" s="16">
        <v>63</v>
      </c>
      <c r="X412" s="16">
        <v>72</v>
      </c>
      <c r="Y412" s="15">
        <v>0.45400000000000001</v>
      </c>
      <c r="Z412" s="15">
        <v>0.55400000000000005</v>
      </c>
      <c r="AA412" s="15">
        <v>0.65800000000000003</v>
      </c>
      <c r="AB412" s="15">
        <v>0.74399999999999999</v>
      </c>
      <c r="AC412" s="3">
        <f t="shared" si="81"/>
        <v>4.5227489238033707E-2</v>
      </c>
      <c r="AD412" s="3">
        <f t="shared" si="82"/>
        <v>-0.13393372910292362</v>
      </c>
      <c r="AE412" s="3">
        <f t="shared" si="83"/>
        <v>-0.175577286347468</v>
      </c>
      <c r="AF412" s="3">
        <f t="shared" si="84"/>
        <v>-0.26839957350248078</v>
      </c>
    </row>
    <row r="413" spans="1:32" x14ac:dyDescent="0.2">
      <c r="A413" s="30">
        <v>411</v>
      </c>
      <c r="B413" s="9" t="s">
        <v>1124</v>
      </c>
      <c r="C413" s="12">
        <v>220045</v>
      </c>
      <c r="D413" s="13" t="s">
        <v>412</v>
      </c>
      <c r="E413" s="17">
        <v>-5.8561441090599997</v>
      </c>
      <c r="F413" s="17">
        <v>54.665712909200003</v>
      </c>
      <c r="G413" s="14">
        <v>39</v>
      </c>
      <c r="H413" s="17">
        <v>8.7100000000000009</v>
      </c>
      <c r="I413" s="17">
        <v>8.68</v>
      </c>
      <c r="J413" s="17">
        <v>9.9499999999999993</v>
      </c>
      <c r="K413" s="17">
        <v>11.4</v>
      </c>
      <c r="L413" s="17">
        <v>12.48</v>
      </c>
      <c r="M413" s="17">
        <f t="shared" si="76"/>
        <v>-3.0000000000001137E-2</v>
      </c>
      <c r="N413" s="17">
        <f t="shared" si="77"/>
        <v>1.2399999999999984</v>
      </c>
      <c r="O413" s="17">
        <f t="shared" si="78"/>
        <v>2.6899999999999995</v>
      </c>
      <c r="P413" s="17">
        <f t="shared" si="79"/>
        <v>3.7699999999999996</v>
      </c>
      <c r="Q413" s="17">
        <f t="shared" si="80"/>
        <v>-1.0857171170205264</v>
      </c>
      <c r="R413" s="17">
        <f t="shared" si="73"/>
        <v>-1.2182338427497363</v>
      </c>
      <c r="S413" s="17">
        <f t="shared" si="74"/>
        <v>-0.91669536712050548</v>
      </c>
      <c r="T413" s="17">
        <f t="shared" si="75"/>
        <v>-0.97864334819578103</v>
      </c>
      <c r="U413" s="16">
        <v>0</v>
      </c>
      <c r="V413" s="16">
        <v>0</v>
      </c>
      <c r="W413" s="16">
        <v>0</v>
      </c>
      <c r="X413" s="16">
        <v>0</v>
      </c>
      <c r="Y413" s="15">
        <v>0.28749999999999998</v>
      </c>
      <c r="Z413" s="15">
        <v>0.39950000000000002</v>
      </c>
      <c r="AA413" s="15">
        <v>0.47749999999999998</v>
      </c>
      <c r="AB413" s="15">
        <v>0.57499999999999996</v>
      </c>
      <c r="AC413" s="3">
        <f t="shared" si="81"/>
        <v>-1.4933450852683399</v>
      </c>
      <c r="AD413" s="3">
        <f t="shared" si="82"/>
        <v>-1.52032627868779</v>
      </c>
      <c r="AE413" s="3">
        <f t="shared" si="83"/>
        <v>-1.6616785612859297</v>
      </c>
      <c r="AF413" s="3">
        <f t="shared" si="84"/>
        <v>-1.6566592003474288</v>
      </c>
    </row>
    <row r="414" spans="1:32" x14ac:dyDescent="0.2">
      <c r="A414" s="30">
        <v>412</v>
      </c>
      <c r="B414" s="9" t="s">
        <v>1125</v>
      </c>
      <c r="C414" s="12">
        <v>220048</v>
      </c>
      <c r="D414" s="13" t="s">
        <v>413</v>
      </c>
      <c r="E414" s="17">
        <v>-6.1128372873399996</v>
      </c>
      <c r="F414" s="17">
        <v>54.053380282500001</v>
      </c>
      <c r="G414" s="14">
        <v>34</v>
      </c>
      <c r="H414" s="17">
        <v>9.02</v>
      </c>
      <c r="I414" s="17">
        <v>8.8800000000000008</v>
      </c>
      <c r="J414" s="17">
        <v>10.199999999999999</v>
      </c>
      <c r="K414" s="17">
        <v>11.67</v>
      </c>
      <c r="L414" s="17">
        <v>12.77</v>
      </c>
      <c r="M414" s="17">
        <f t="shared" si="76"/>
        <v>-0.13999999999999879</v>
      </c>
      <c r="N414" s="17">
        <f t="shared" si="77"/>
        <v>1.1799999999999997</v>
      </c>
      <c r="O414" s="17">
        <f t="shared" si="78"/>
        <v>2.6500000000000004</v>
      </c>
      <c r="P414" s="17">
        <f t="shared" si="79"/>
        <v>3.75</v>
      </c>
      <c r="Q414" s="17">
        <f t="shared" si="80"/>
        <v>-1.2197377663005546</v>
      </c>
      <c r="R414" s="17">
        <f t="shared" si="73"/>
        <v>-1.3027054018954085</v>
      </c>
      <c r="S414" s="17">
        <f t="shared" si="74"/>
        <v>-0.96314554246603257</v>
      </c>
      <c r="T414" s="17">
        <f t="shared" si="75"/>
        <v>-0.99888685189922821</v>
      </c>
      <c r="U414" s="16">
        <v>0</v>
      </c>
      <c r="V414" s="16">
        <v>0</v>
      </c>
      <c r="W414" s="16">
        <v>0</v>
      </c>
      <c r="X414" s="16">
        <v>0</v>
      </c>
      <c r="Y414" s="15">
        <v>0.34399999999999997</v>
      </c>
      <c r="Z414" s="15">
        <v>0.45800000000000002</v>
      </c>
      <c r="AA414" s="15">
        <v>0.54</v>
      </c>
      <c r="AB414" s="15">
        <v>0.63200000000000001</v>
      </c>
      <c r="AC414" s="3">
        <f t="shared" si="81"/>
        <v>-0.97124688430972073</v>
      </c>
      <c r="AD414" s="3">
        <f t="shared" si="82"/>
        <v>-0.99538152690322901</v>
      </c>
      <c r="AE414" s="3">
        <f t="shared" si="83"/>
        <v>-1.1471005574983735</v>
      </c>
      <c r="AF414" s="3">
        <f t="shared" si="84"/>
        <v>-1.188429622062446</v>
      </c>
    </row>
    <row r="415" spans="1:32" x14ac:dyDescent="0.2">
      <c r="A415" s="30">
        <v>413</v>
      </c>
      <c r="B415" s="9" t="s">
        <v>1126</v>
      </c>
      <c r="C415" s="12">
        <v>220049</v>
      </c>
      <c r="D415" s="13" t="s">
        <v>414</v>
      </c>
      <c r="E415" s="17">
        <v>-4.1933830723199996</v>
      </c>
      <c r="F415" s="17">
        <v>57.674609599199997</v>
      </c>
      <c r="G415" s="14">
        <v>161</v>
      </c>
      <c r="H415" s="17">
        <v>5.98</v>
      </c>
      <c r="I415" s="17">
        <v>6.4</v>
      </c>
      <c r="J415" s="17">
        <v>7.91</v>
      </c>
      <c r="K415" s="17">
        <v>9.4</v>
      </c>
      <c r="L415" s="17">
        <v>10.78</v>
      </c>
      <c r="M415" s="17">
        <f t="shared" si="76"/>
        <v>0.41999999999999993</v>
      </c>
      <c r="N415" s="17">
        <f t="shared" si="77"/>
        <v>1.9299999999999997</v>
      </c>
      <c r="O415" s="17">
        <f t="shared" si="78"/>
        <v>3.42</v>
      </c>
      <c r="P415" s="17">
        <f t="shared" si="79"/>
        <v>4.7999999999999989</v>
      </c>
      <c r="Q415" s="17">
        <f t="shared" si="80"/>
        <v>-0.53745082451130766</v>
      </c>
      <c r="R415" s="17">
        <f t="shared" si="73"/>
        <v>-0.24681091257448393</v>
      </c>
      <c r="S415" s="17">
        <f t="shared" si="74"/>
        <v>-6.8979667064615946E-2</v>
      </c>
      <c r="T415" s="17">
        <f t="shared" si="75"/>
        <v>6.389709253177038E-2</v>
      </c>
      <c r="U415" s="16">
        <v>0</v>
      </c>
      <c r="V415" s="16">
        <v>0</v>
      </c>
      <c r="W415" s="16">
        <v>0</v>
      </c>
      <c r="X415" s="16">
        <v>0</v>
      </c>
      <c r="Y415" s="15">
        <v>0.32500000000000001</v>
      </c>
      <c r="Z415" s="15">
        <v>0.436</v>
      </c>
      <c r="AA415" s="15">
        <v>0.503</v>
      </c>
      <c r="AB415" s="15">
        <v>0.61199999999999999</v>
      </c>
      <c r="AC415" s="3">
        <f t="shared" si="81"/>
        <v>-1.1468197306497869</v>
      </c>
      <c r="AD415" s="3">
        <f t="shared" si="82"/>
        <v>-1.1927966472324658</v>
      </c>
      <c r="AE415" s="3">
        <f t="shared" si="83"/>
        <v>-1.4517307357406068</v>
      </c>
      <c r="AF415" s="3">
        <f t="shared" si="84"/>
        <v>-1.3527207021624399</v>
      </c>
    </row>
    <row r="416" spans="1:32" x14ac:dyDescent="0.2">
      <c r="A416" s="30">
        <v>414</v>
      </c>
      <c r="B416" s="9" t="s">
        <v>1127</v>
      </c>
      <c r="C416" s="12">
        <v>220052</v>
      </c>
      <c r="D416" s="13" t="s">
        <v>415</v>
      </c>
      <c r="E416" s="17">
        <v>-3.2568752681199999</v>
      </c>
      <c r="F416" s="17">
        <v>54.186044060699999</v>
      </c>
      <c r="G416" s="14">
        <v>129</v>
      </c>
      <c r="H416" s="17">
        <v>10.86</v>
      </c>
      <c r="I416" s="17">
        <v>10.65</v>
      </c>
      <c r="J416" s="17">
        <v>12.02</v>
      </c>
      <c r="K416" s="17">
        <v>13.51</v>
      </c>
      <c r="L416" s="17">
        <v>14.68</v>
      </c>
      <c r="M416" s="17">
        <f t="shared" si="76"/>
        <v>-0.20999999999999908</v>
      </c>
      <c r="N416" s="17">
        <f t="shared" si="77"/>
        <v>1.1600000000000001</v>
      </c>
      <c r="O416" s="17">
        <f t="shared" si="78"/>
        <v>2.6500000000000004</v>
      </c>
      <c r="P416" s="17">
        <f t="shared" si="79"/>
        <v>3.8200000000000003</v>
      </c>
      <c r="Q416" s="17">
        <f t="shared" si="80"/>
        <v>-1.305023634024211</v>
      </c>
      <c r="R416" s="17">
        <f t="shared" si="73"/>
        <v>-1.3308625882772993</v>
      </c>
      <c r="S416" s="17">
        <f t="shared" si="74"/>
        <v>-0.96314554246603257</v>
      </c>
      <c r="T416" s="17">
        <f t="shared" si="75"/>
        <v>-0.92803458893716129</v>
      </c>
      <c r="U416" s="16">
        <v>2</v>
      </c>
      <c r="V416" s="16">
        <v>2</v>
      </c>
      <c r="W416" s="16">
        <v>2</v>
      </c>
      <c r="X416" s="16">
        <v>2</v>
      </c>
      <c r="Y416" s="15">
        <v>0.39100000000000001</v>
      </c>
      <c r="Z416" s="15">
        <v>0.50800000000000001</v>
      </c>
      <c r="AA416" s="15">
        <v>0.59399999999999997</v>
      </c>
      <c r="AB416" s="15">
        <v>0.69099999999999995</v>
      </c>
      <c r="AC416" s="3">
        <f t="shared" si="81"/>
        <v>-0.53693510652113452</v>
      </c>
      <c r="AD416" s="3">
        <f t="shared" si="82"/>
        <v>-0.54671079888223684</v>
      </c>
      <c r="AE416" s="3">
        <f t="shared" si="83"/>
        <v>-0.70250516222592574</v>
      </c>
      <c r="AF416" s="3">
        <f t="shared" si="84"/>
        <v>-0.70377093576746474</v>
      </c>
    </row>
    <row r="417" spans="1:32" x14ac:dyDescent="0.2">
      <c r="A417" s="30">
        <v>415</v>
      </c>
      <c r="B417" s="9" t="s">
        <v>1128</v>
      </c>
      <c r="C417" s="12">
        <v>220053</v>
      </c>
      <c r="D417" s="13" t="s">
        <v>416</v>
      </c>
      <c r="E417" s="17">
        <v>-2.0521475801900002</v>
      </c>
      <c r="F417" s="17">
        <v>50.711598316100002</v>
      </c>
      <c r="G417" s="14">
        <v>12</v>
      </c>
      <c r="H417" s="17">
        <v>11.71</v>
      </c>
      <c r="I417" s="17">
        <v>11.19</v>
      </c>
      <c r="J417" s="17">
        <v>12.6</v>
      </c>
      <c r="K417" s="17">
        <v>14.5</v>
      </c>
      <c r="L417" s="17">
        <v>15.75</v>
      </c>
      <c r="M417" s="17">
        <f t="shared" si="76"/>
        <v>-0.52000000000000135</v>
      </c>
      <c r="N417" s="17">
        <f t="shared" si="77"/>
        <v>0.88999999999999879</v>
      </c>
      <c r="O417" s="17">
        <f t="shared" si="78"/>
        <v>2.7899999999999991</v>
      </c>
      <c r="P417" s="17">
        <f t="shared" si="79"/>
        <v>4.0399999999999991</v>
      </c>
      <c r="Q417" s="17">
        <f t="shared" si="80"/>
        <v>-1.6827181910861191</v>
      </c>
      <c r="R417" s="17">
        <f t="shared" si="73"/>
        <v>-1.7109846044328341</v>
      </c>
      <c r="S417" s="17">
        <f t="shared" si="74"/>
        <v>-0.80056992875668542</v>
      </c>
      <c r="T417" s="17">
        <f t="shared" si="75"/>
        <v>-0.70535604819923869</v>
      </c>
      <c r="U417" s="16">
        <v>0</v>
      </c>
      <c r="V417" s="16">
        <v>0</v>
      </c>
      <c r="W417" s="16">
        <v>0</v>
      </c>
      <c r="X417" s="16">
        <v>0</v>
      </c>
      <c r="Y417" s="15">
        <v>0.41699999999999998</v>
      </c>
      <c r="Z417" s="15">
        <v>0.53700000000000003</v>
      </c>
      <c r="AA417" s="15">
        <v>0.628</v>
      </c>
      <c r="AB417" s="15">
        <v>0.72733333333299999</v>
      </c>
      <c r="AC417" s="3">
        <f t="shared" si="81"/>
        <v>-0.29667752731893843</v>
      </c>
      <c r="AD417" s="3">
        <f t="shared" si="82"/>
        <v>-0.28648177663006114</v>
      </c>
      <c r="AE417" s="3">
        <f t="shared" si="83"/>
        <v>-0.42257472816549507</v>
      </c>
      <c r="AF417" s="3">
        <f t="shared" si="84"/>
        <v>-0.40530880692188054</v>
      </c>
    </row>
    <row r="418" spans="1:32" x14ac:dyDescent="0.2">
      <c r="A418" s="30">
        <v>416</v>
      </c>
      <c r="B418" s="9" t="s">
        <v>1129</v>
      </c>
      <c r="C418" s="12">
        <v>220057</v>
      </c>
      <c r="D418" s="13" t="s">
        <v>417</v>
      </c>
      <c r="E418" s="17">
        <v>-2.5157724524799998</v>
      </c>
      <c r="F418" s="17">
        <v>59.266890391499999</v>
      </c>
      <c r="G418" s="14">
        <v>74</v>
      </c>
      <c r="H418" s="17">
        <v>8.41</v>
      </c>
      <c r="I418" s="17">
        <v>8.76</v>
      </c>
      <c r="J418" s="17">
        <v>10.199999999999999</v>
      </c>
      <c r="K418" s="17">
        <v>11.55</v>
      </c>
      <c r="L418" s="17">
        <v>12.91</v>
      </c>
      <c r="M418" s="17">
        <f t="shared" si="76"/>
        <v>0.34999999999999964</v>
      </c>
      <c r="N418" s="17">
        <f t="shared" si="77"/>
        <v>1.7899999999999991</v>
      </c>
      <c r="O418" s="17">
        <f t="shared" si="78"/>
        <v>3.1400000000000006</v>
      </c>
      <c r="P418" s="17">
        <f t="shared" si="79"/>
        <v>4.5</v>
      </c>
      <c r="Q418" s="17">
        <f t="shared" si="80"/>
        <v>-0.62273669223496408</v>
      </c>
      <c r="R418" s="17">
        <f t="shared" si="73"/>
        <v>-0.44391121724772398</v>
      </c>
      <c r="S418" s="17">
        <f t="shared" si="74"/>
        <v>-0.39413089448331234</v>
      </c>
      <c r="T418" s="17">
        <f t="shared" si="75"/>
        <v>-0.23975546301994274</v>
      </c>
      <c r="U418" s="16">
        <v>1</v>
      </c>
      <c r="V418" s="16">
        <v>4</v>
      </c>
      <c r="W418" s="16">
        <v>4</v>
      </c>
      <c r="X418" s="16">
        <v>9</v>
      </c>
      <c r="Y418" s="15">
        <v>0.32500000000000001</v>
      </c>
      <c r="Z418" s="15">
        <v>0.436</v>
      </c>
      <c r="AA418" s="15">
        <v>0.495</v>
      </c>
      <c r="AB418" s="15">
        <v>0.60399999999999998</v>
      </c>
      <c r="AC418" s="3">
        <f t="shared" si="81"/>
        <v>-1.1468197306497869</v>
      </c>
      <c r="AD418" s="3">
        <f t="shared" si="82"/>
        <v>-1.1927966472324658</v>
      </c>
      <c r="AE418" s="3">
        <f t="shared" si="83"/>
        <v>-1.5175967202254139</v>
      </c>
      <c r="AF418" s="3">
        <f t="shared" si="84"/>
        <v>-1.4184371342024376</v>
      </c>
    </row>
    <row r="419" spans="1:32" x14ac:dyDescent="0.2">
      <c r="A419" s="30">
        <v>417</v>
      </c>
      <c r="B419" s="9" t="s">
        <v>1130</v>
      </c>
      <c r="C419" s="12">
        <v>220061</v>
      </c>
      <c r="D419" s="13" t="s">
        <v>418</v>
      </c>
      <c r="E419" s="17">
        <v>-4.2490747552199997</v>
      </c>
      <c r="F419" s="17">
        <v>57.5204993591</v>
      </c>
      <c r="G419" s="14">
        <v>82</v>
      </c>
      <c r="H419" s="17">
        <v>5.66</v>
      </c>
      <c r="I419" s="17">
        <v>6.1</v>
      </c>
      <c r="J419" s="17">
        <v>7.6</v>
      </c>
      <c r="K419" s="17">
        <v>9.11</v>
      </c>
      <c r="L419" s="17">
        <v>10.47</v>
      </c>
      <c r="M419" s="17">
        <f t="shared" si="76"/>
        <v>0.4399999999999995</v>
      </c>
      <c r="N419" s="17">
        <f t="shared" si="77"/>
        <v>1.9399999999999995</v>
      </c>
      <c r="O419" s="17">
        <f t="shared" si="78"/>
        <v>3.4499999999999993</v>
      </c>
      <c r="P419" s="17">
        <f t="shared" si="79"/>
        <v>4.8100000000000005</v>
      </c>
      <c r="Q419" s="17">
        <f t="shared" si="80"/>
        <v>-0.51308343373312082</v>
      </c>
      <c r="R419" s="17">
        <f t="shared" si="73"/>
        <v>-0.23273231938353856</v>
      </c>
      <c r="S419" s="17">
        <f t="shared" si="74"/>
        <v>-3.4142035555470567E-2</v>
      </c>
      <c r="T419" s="17">
        <f t="shared" si="75"/>
        <v>7.4018844383495777E-2</v>
      </c>
      <c r="U419" s="16">
        <v>0</v>
      </c>
      <c r="V419" s="16">
        <v>0</v>
      </c>
      <c r="W419" s="16">
        <v>0</v>
      </c>
      <c r="X419" s="16">
        <v>0</v>
      </c>
      <c r="Y419" s="15">
        <v>0.32500000000000001</v>
      </c>
      <c r="Z419" s="15">
        <v>0.436</v>
      </c>
      <c r="AA419" s="15">
        <v>0.503</v>
      </c>
      <c r="AB419" s="15">
        <v>0.61199999999999999</v>
      </c>
      <c r="AC419" s="3">
        <f t="shared" si="81"/>
        <v>-1.1468197306497869</v>
      </c>
      <c r="AD419" s="3">
        <f t="shared" si="82"/>
        <v>-1.1927966472324658</v>
      </c>
      <c r="AE419" s="3">
        <f t="shared" si="83"/>
        <v>-1.4517307357406068</v>
      </c>
      <c r="AF419" s="3">
        <f t="shared" si="84"/>
        <v>-1.3527207021624399</v>
      </c>
    </row>
    <row r="420" spans="1:32" x14ac:dyDescent="0.2">
      <c r="A420" s="30">
        <v>418</v>
      </c>
      <c r="B420" s="9" t="s">
        <v>1131</v>
      </c>
      <c r="C420" s="12">
        <v>220064</v>
      </c>
      <c r="D420" s="13" t="s">
        <v>419</v>
      </c>
      <c r="E420" s="17">
        <v>-4.8914569406600004</v>
      </c>
      <c r="F420" s="17">
        <v>54.848160911999997</v>
      </c>
      <c r="G420" s="14">
        <v>34</v>
      </c>
      <c r="H420" s="17">
        <v>10.16</v>
      </c>
      <c r="I420" s="17">
        <v>10.16</v>
      </c>
      <c r="J420" s="17">
        <v>11.33</v>
      </c>
      <c r="K420" s="17">
        <v>12.8</v>
      </c>
      <c r="L420" s="17">
        <v>13.95</v>
      </c>
      <c r="M420" s="17">
        <f t="shared" si="76"/>
        <v>0</v>
      </c>
      <c r="N420" s="17">
        <f t="shared" si="77"/>
        <v>1.17</v>
      </c>
      <c r="O420" s="17">
        <f t="shared" si="78"/>
        <v>2.6400000000000006</v>
      </c>
      <c r="P420" s="17">
        <f t="shared" si="79"/>
        <v>3.7899999999999991</v>
      </c>
      <c r="Q420" s="17">
        <f t="shared" si="80"/>
        <v>-1.049166030853244</v>
      </c>
      <c r="R420" s="17">
        <f t="shared" si="73"/>
        <v>-1.3167839950863538</v>
      </c>
      <c r="S420" s="17">
        <f t="shared" si="74"/>
        <v>-0.97475808630241445</v>
      </c>
      <c r="T420" s="17">
        <f t="shared" si="75"/>
        <v>-0.95839984449233384</v>
      </c>
      <c r="U420" s="16">
        <v>0</v>
      </c>
      <c r="V420" s="16">
        <v>3</v>
      </c>
      <c r="W420" s="16">
        <v>3</v>
      </c>
      <c r="X420" s="16">
        <v>4</v>
      </c>
      <c r="Y420" s="15">
        <v>0.30199999999999999</v>
      </c>
      <c r="Z420" s="15">
        <v>0.41449999999999998</v>
      </c>
      <c r="AA420" s="15">
        <v>0.49399999999999999</v>
      </c>
      <c r="AB420" s="15">
        <v>0.59050000000000002</v>
      </c>
      <c r="AC420" s="3">
        <f t="shared" si="81"/>
        <v>-1.3593552814824994</v>
      </c>
      <c r="AD420" s="3">
        <f t="shared" si="82"/>
        <v>-1.3857250602814926</v>
      </c>
      <c r="AE420" s="3">
        <f t="shared" si="83"/>
        <v>-1.5258299682860148</v>
      </c>
      <c r="AF420" s="3">
        <f t="shared" si="84"/>
        <v>-1.5293336132699329</v>
      </c>
    </row>
    <row r="421" spans="1:32" x14ac:dyDescent="0.2">
      <c r="A421" s="30">
        <v>419</v>
      </c>
      <c r="B421" s="9" t="s">
        <v>1132</v>
      </c>
      <c r="C421" s="12">
        <v>220065</v>
      </c>
      <c r="D421" s="13" t="s">
        <v>420</v>
      </c>
      <c r="E421" s="17">
        <v>-7.04030476373</v>
      </c>
      <c r="F421" s="17">
        <v>55.098684477500001</v>
      </c>
      <c r="G421" s="14">
        <v>89</v>
      </c>
      <c r="H421" s="17">
        <v>9.3800000000000008</v>
      </c>
      <c r="I421" s="17">
        <v>9.18</v>
      </c>
      <c r="J421" s="17">
        <v>10.51</v>
      </c>
      <c r="K421" s="17">
        <v>11.8</v>
      </c>
      <c r="L421" s="17">
        <v>12.9</v>
      </c>
      <c r="M421" s="17">
        <f t="shared" si="76"/>
        <v>-0.20000000000000107</v>
      </c>
      <c r="N421" s="17">
        <f t="shared" si="77"/>
        <v>1.129999999999999</v>
      </c>
      <c r="O421" s="17">
        <f t="shared" si="78"/>
        <v>2.42</v>
      </c>
      <c r="P421" s="17">
        <f t="shared" si="79"/>
        <v>3.5199999999999996</v>
      </c>
      <c r="Q421" s="17">
        <f t="shared" si="80"/>
        <v>-1.2928399386351197</v>
      </c>
      <c r="R421" s="17">
        <f t="shared" si="73"/>
        <v>-1.3730983678501378</v>
      </c>
      <c r="S421" s="17">
        <f t="shared" si="74"/>
        <v>-1.23023405070282</v>
      </c>
      <c r="T421" s="17">
        <f t="shared" si="75"/>
        <v>-1.2316871444888762</v>
      </c>
      <c r="U421" s="16">
        <v>0</v>
      </c>
      <c r="V421" s="16">
        <v>0</v>
      </c>
      <c r="W421" s="16">
        <v>0</v>
      </c>
      <c r="X421" s="16">
        <v>2</v>
      </c>
      <c r="Y421" s="15">
        <v>0.28133333333299998</v>
      </c>
      <c r="Z421" s="15">
        <v>0.39300000000000002</v>
      </c>
      <c r="AA421" s="15">
        <v>0.46700000000000003</v>
      </c>
      <c r="AB421" s="15">
        <v>0.56866666666700005</v>
      </c>
      <c r="AC421" s="3">
        <f t="shared" si="81"/>
        <v>-1.550329254697582</v>
      </c>
      <c r="AD421" s="3">
        <f t="shared" si="82"/>
        <v>-1.5786534733305191</v>
      </c>
      <c r="AE421" s="3">
        <f t="shared" si="83"/>
        <v>-1.7481276659222387</v>
      </c>
      <c r="AF421" s="3">
        <f t="shared" si="84"/>
        <v>-1.7086847090430211</v>
      </c>
    </row>
    <row r="422" spans="1:32" x14ac:dyDescent="0.2">
      <c r="A422" s="30">
        <v>420</v>
      </c>
      <c r="B422" s="9" t="s">
        <v>1328</v>
      </c>
      <c r="C422" s="12">
        <v>220070</v>
      </c>
      <c r="D422" s="13" t="s">
        <v>421</v>
      </c>
      <c r="E422" s="17">
        <v>152.296386138</v>
      </c>
      <c r="F422" s="17">
        <v>-32.469829679299998</v>
      </c>
      <c r="G422" s="14">
        <v>179</v>
      </c>
      <c r="H422" s="17">
        <v>17.670000000000002</v>
      </c>
      <c r="I422" s="17">
        <v>19.38</v>
      </c>
      <c r="J422" s="17">
        <v>20.68</v>
      </c>
      <c r="K422" s="17">
        <v>23.21</v>
      </c>
      <c r="L422" s="17">
        <v>24.14</v>
      </c>
      <c r="M422" s="17">
        <f t="shared" si="76"/>
        <v>1.7099999999999973</v>
      </c>
      <c r="N422" s="17">
        <f t="shared" si="77"/>
        <v>3.009999999999998</v>
      </c>
      <c r="O422" s="17">
        <f t="shared" si="78"/>
        <v>5.5399999999999991</v>
      </c>
      <c r="P422" s="17">
        <f t="shared" si="79"/>
        <v>6.4699999999999989</v>
      </c>
      <c r="Q422" s="17">
        <f t="shared" si="80"/>
        <v>1.0342458806817791</v>
      </c>
      <c r="R422" s="17">
        <f t="shared" si="73"/>
        <v>1.2736771520476451</v>
      </c>
      <c r="S422" s="17">
        <f t="shared" si="74"/>
        <v>2.392879626248376</v>
      </c>
      <c r="T422" s="17">
        <f t="shared" si="75"/>
        <v>1.7542296517696461</v>
      </c>
      <c r="U422" s="16">
        <v>0</v>
      </c>
      <c r="V422" s="16">
        <v>66</v>
      </c>
      <c r="W422" s="16">
        <v>73</v>
      </c>
      <c r="X422" s="16">
        <v>75</v>
      </c>
      <c r="Y422" s="15">
        <v>0.46200000000000002</v>
      </c>
      <c r="Z422" s="15">
        <v>0.59599999999999997</v>
      </c>
      <c r="AA422" s="15">
        <v>0.74</v>
      </c>
      <c r="AB422" s="15">
        <v>0.84399999999999997</v>
      </c>
      <c r="AC422" s="3">
        <f t="shared" si="81"/>
        <v>0.11915289822332498</v>
      </c>
      <c r="AD422" s="3">
        <f t="shared" si="82"/>
        <v>0.24294968243470921</v>
      </c>
      <c r="AE422" s="3">
        <f t="shared" si="83"/>
        <v>0.49954905462180499</v>
      </c>
      <c r="AF422" s="3">
        <f t="shared" si="84"/>
        <v>0.55305582699748801</v>
      </c>
    </row>
    <row r="423" spans="1:32" x14ac:dyDescent="0.2">
      <c r="A423" s="30">
        <v>421</v>
      </c>
      <c r="B423" s="9" t="s">
        <v>1133</v>
      </c>
      <c r="C423" s="12">
        <v>220072</v>
      </c>
      <c r="D423" s="13" t="s">
        <v>422</v>
      </c>
      <c r="E423" s="17">
        <v>-7.3355749725999999</v>
      </c>
      <c r="F423" s="17">
        <v>57.639474891399999</v>
      </c>
      <c r="G423" s="14">
        <v>77</v>
      </c>
      <c r="H423" s="17">
        <v>9.39</v>
      </c>
      <c r="I423" s="17">
        <v>9.48</v>
      </c>
      <c r="J423" s="17">
        <v>10.85</v>
      </c>
      <c r="K423" s="17">
        <v>11.93</v>
      </c>
      <c r="L423" s="17">
        <v>13.31</v>
      </c>
      <c r="M423" s="17">
        <f t="shared" si="76"/>
        <v>8.9999999999999858E-2</v>
      </c>
      <c r="N423" s="17">
        <f t="shared" si="77"/>
        <v>1.4599999999999991</v>
      </c>
      <c r="O423" s="17">
        <f t="shared" si="78"/>
        <v>2.5399999999999991</v>
      </c>
      <c r="P423" s="17">
        <f t="shared" si="79"/>
        <v>3.92</v>
      </c>
      <c r="Q423" s="17">
        <f t="shared" si="80"/>
        <v>-0.93951277235140063</v>
      </c>
      <c r="R423" s="17">
        <f t="shared" si="73"/>
        <v>-0.90850479254893091</v>
      </c>
      <c r="S423" s="17">
        <f t="shared" si="74"/>
        <v>-1.0908835246662365</v>
      </c>
      <c r="T423" s="17">
        <f t="shared" si="75"/>
        <v>-0.82681707041992358</v>
      </c>
      <c r="U423" s="16">
        <v>2</v>
      </c>
      <c r="V423" s="16">
        <v>2</v>
      </c>
      <c r="W423" s="16">
        <v>4</v>
      </c>
      <c r="X423" s="16">
        <v>4</v>
      </c>
      <c r="Y423" s="15">
        <v>0.32900000000000001</v>
      </c>
      <c r="Z423" s="15">
        <v>0.434</v>
      </c>
      <c r="AA423" s="15">
        <v>0.498</v>
      </c>
      <c r="AB423" s="15">
        <v>0.59699999999999998</v>
      </c>
      <c r="AC423" s="3">
        <f t="shared" si="81"/>
        <v>-1.1098570261571412</v>
      </c>
      <c r="AD423" s="3">
        <f t="shared" si="82"/>
        <v>-1.2107434763533056</v>
      </c>
      <c r="AE423" s="3">
        <f t="shared" si="83"/>
        <v>-1.4928969760436113</v>
      </c>
      <c r="AF423" s="3">
        <f t="shared" si="84"/>
        <v>-1.4759390122374354</v>
      </c>
    </row>
    <row r="424" spans="1:32" x14ac:dyDescent="0.2">
      <c r="A424" s="30">
        <v>422</v>
      </c>
      <c r="B424" s="9" t="s">
        <v>1134</v>
      </c>
      <c r="C424" s="12">
        <v>220073</v>
      </c>
      <c r="D424" s="13" t="s">
        <v>423</v>
      </c>
      <c r="E424" s="17">
        <v>-1.5413776702799999</v>
      </c>
      <c r="F424" s="17">
        <v>55.309500477999997</v>
      </c>
      <c r="G424" s="14">
        <v>77</v>
      </c>
      <c r="H424" s="17">
        <v>7.84</v>
      </c>
      <c r="I424" s="17">
        <v>7.81</v>
      </c>
      <c r="J424" s="17">
        <v>9.3699999999999992</v>
      </c>
      <c r="K424" s="17">
        <v>11.11</v>
      </c>
      <c r="L424" s="17">
        <v>12.27</v>
      </c>
      <c r="M424" s="17">
        <f t="shared" si="76"/>
        <v>-3.0000000000000249E-2</v>
      </c>
      <c r="N424" s="17">
        <f t="shared" si="77"/>
        <v>1.5299999999999994</v>
      </c>
      <c r="O424" s="17">
        <f t="shared" si="78"/>
        <v>3.2699999999999996</v>
      </c>
      <c r="P424" s="17">
        <f t="shared" si="79"/>
        <v>4.43</v>
      </c>
      <c r="Q424" s="17">
        <f t="shared" si="80"/>
        <v>-1.0857171170205253</v>
      </c>
      <c r="R424" s="17">
        <f t="shared" si="73"/>
        <v>-0.80995464021231089</v>
      </c>
      <c r="S424" s="17">
        <f t="shared" si="74"/>
        <v>-0.24316782461034697</v>
      </c>
      <c r="T424" s="17">
        <f t="shared" si="75"/>
        <v>-0.31060772598200964</v>
      </c>
      <c r="U424" s="16">
        <v>6</v>
      </c>
      <c r="V424" s="16">
        <v>8</v>
      </c>
      <c r="W424" s="16">
        <v>8</v>
      </c>
      <c r="X424" s="16">
        <v>8</v>
      </c>
      <c r="Y424" s="15">
        <v>0.43</v>
      </c>
      <c r="Z424" s="15">
        <v>0.55000000000000004</v>
      </c>
      <c r="AA424" s="15">
        <v>0.63100000000000001</v>
      </c>
      <c r="AB424" s="15">
        <v>0.74199999999999999</v>
      </c>
      <c r="AC424" s="3">
        <f t="shared" si="81"/>
        <v>-0.1765487377178401</v>
      </c>
      <c r="AD424" s="3">
        <f t="shared" si="82"/>
        <v>-0.16982738734460304</v>
      </c>
      <c r="AE424" s="3">
        <f t="shared" si="83"/>
        <v>-0.39787498398369237</v>
      </c>
      <c r="AF424" s="3">
        <f t="shared" si="84"/>
        <v>-0.2848286815124802</v>
      </c>
    </row>
    <row r="425" spans="1:32" x14ac:dyDescent="0.2">
      <c r="A425" s="30">
        <v>423</v>
      </c>
      <c r="B425" s="9" t="s">
        <v>1135</v>
      </c>
      <c r="C425" s="12">
        <v>220076</v>
      </c>
      <c r="D425" s="13" t="s">
        <v>424</v>
      </c>
      <c r="E425" s="17">
        <v>-2.0312762100100001</v>
      </c>
      <c r="F425" s="17">
        <v>50.6948704924</v>
      </c>
      <c r="G425" s="14">
        <v>61</v>
      </c>
      <c r="H425" s="17">
        <v>11.68</v>
      </c>
      <c r="I425" s="17">
        <v>11.16</v>
      </c>
      <c r="J425" s="17">
        <v>12.56</v>
      </c>
      <c r="K425" s="17">
        <v>14.47</v>
      </c>
      <c r="L425" s="17">
        <v>15.71</v>
      </c>
      <c r="M425" s="17">
        <f t="shared" si="76"/>
        <v>-0.51999999999999957</v>
      </c>
      <c r="N425" s="17">
        <f t="shared" si="77"/>
        <v>0.88000000000000078</v>
      </c>
      <c r="O425" s="17">
        <f t="shared" si="78"/>
        <v>2.7900000000000009</v>
      </c>
      <c r="P425" s="17">
        <f t="shared" si="79"/>
        <v>4.0300000000000011</v>
      </c>
      <c r="Q425" s="17">
        <f t="shared" si="80"/>
        <v>-1.6827181910861169</v>
      </c>
      <c r="R425" s="17">
        <f t="shared" si="73"/>
        <v>-1.7250631976237769</v>
      </c>
      <c r="S425" s="17">
        <f t="shared" si="74"/>
        <v>-0.80056992875668342</v>
      </c>
      <c r="T425" s="17">
        <f t="shared" si="75"/>
        <v>-0.71547780005096051</v>
      </c>
      <c r="U425" s="16">
        <v>0</v>
      </c>
      <c r="V425" s="16">
        <v>0</v>
      </c>
      <c r="W425" s="16">
        <v>0</v>
      </c>
      <c r="X425" s="16">
        <v>0</v>
      </c>
      <c r="Y425" s="15">
        <v>0.41699999999999998</v>
      </c>
      <c r="Z425" s="15">
        <v>0.53700000000000003</v>
      </c>
      <c r="AA425" s="15">
        <v>0.628</v>
      </c>
      <c r="AB425" s="15">
        <v>0.72733333333299999</v>
      </c>
      <c r="AC425" s="3">
        <f t="shared" si="81"/>
        <v>-0.29667752731893843</v>
      </c>
      <c r="AD425" s="3">
        <f t="shared" si="82"/>
        <v>-0.28648177663006114</v>
      </c>
      <c r="AE425" s="3">
        <f t="shared" si="83"/>
        <v>-0.42257472816549507</v>
      </c>
      <c r="AF425" s="3">
        <f t="shared" si="84"/>
        <v>-0.40530880692188054</v>
      </c>
    </row>
    <row r="426" spans="1:32" x14ac:dyDescent="0.2">
      <c r="A426" s="30">
        <v>424</v>
      </c>
      <c r="B426" s="9" t="s">
        <v>1136</v>
      </c>
      <c r="C426" s="12">
        <v>220079</v>
      </c>
      <c r="D426" s="13" t="s">
        <v>425</v>
      </c>
      <c r="E426" s="17">
        <v>-1.3571191384100001</v>
      </c>
      <c r="F426" s="17">
        <v>50.777496294300001</v>
      </c>
      <c r="G426" s="14">
        <v>154</v>
      </c>
      <c r="H426" s="17">
        <v>11.63</v>
      </c>
      <c r="I426" s="17">
        <v>11.17</v>
      </c>
      <c r="J426" s="17">
        <v>12.61</v>
      </c>
      <c r="K426" s="17">
        <v>14.6</v>
      </c>
      <c r="L426" s="17">
        <v>15.85</v>
      </c>
      <c r="M426" s="17">
        <f t="shared" si="76"/>
        <v>-0.46000000000000085</v>
      </c>
      <c r="N426" s="17">
        <f t="shared" si="77"/>
        <v>0.97999999999999865</v>
      </c>
      <c r="O426" s="17">
        <f t="shared" si="78"/>
        <v>2.9699999999999989</v>
      </c>
      <c r="P426" s="17">
        <f t="shared" si="79"/>
        <v>4.2199999999999989</v>
      </c>
      <c r="Q426" s="17">
        <f t="shared" si="80"/>
        <v>-1.6096160187515562</v>
      </c>
      <c r="R426" s="17">
        <f t="shared" si="73"/>
        <v>-1.5842772657143231</v>
      </c>
      <c r="S426" s="17">
        <f t="shared" si="74"/>
        <v>-0.59154413970180908</v>
      </c>
      <c r="T426" s="17">
        <f t="shared" si="75"/>
        <v>-0.52316451486821047</v>
      </c>
      <c r="U426" s="16">
        <v>7</v>
      </c>
      <c r="V426" s="16">
        <v>8</v>
      </c>
      <c r="W426" s="16">
        <v>8</v>
      </c>
      <c r="X426" s="16">
        <v>8</v>
      </c>
      <c r="Y426" s="15">
        <v>0.42849999999999999</v>
      </c>
      <c r="Z426" s="15">
        <v>0.55249999999999999</v>
      </c>
      <c r="AA426" s="15">
        <v>0.64200000000000002</v>
      </c>
      <c r="AB426" s="15">
        <v>0.74399999999999999</v>
      </c>
      <c r="AC426" s="3">
        <f t="shared" si="81"/>
        <v>-0.19040975190258222</v>
      </c>
      <c r="AD426" s="3">
        <f t="shared" si="82"/>
        <v>-0.14739385094355389</v>
      </c>
      <c r="AE426" s="3">
        <f t="shared" si="83"/>
        <v>-0.30730925531708242</v>
      </c>
      <c r="AF426" s="3">
        <f t="shared" si="84"/>
        <v>-0.26839957350248078</v>
      </c>
    </row>
    <row r="427" spans="1:32" x14ac:dyDescent="0.2">
      <c r="A427" s="30">
        <v>425</v>
      </c>
      <c r="B427" s="9" t="s">
        <v>1137</v>
      </c>
      <c r="C427" s="12">
        <v>220082</v>
      </c>
      <c r="D427" s="13" t="s">
        <v>426</v>
      </c>
      <c r="E427" s="17">
        <v>-7.37727655646</v>
      </c>
      <c r="F427" s="17">
        <v>57.313718997099997</v>
      </c>
      <c r="G427" s="14">
        <v>44</v>
      </c>
      <c r="H427" s="17">
        <v>9.5500000000000007</v>
      </c>
      <c r="I427" s="17">
        <v>9.6199999999999992</v>
      </c>
      <c r="J427" s="17">
        <v>10.98</v>
      </c>
      <c r="K427" s="17">
        <v>12.04</v>
      </c>
      <c r="L427" s="17">
        <v>13.4</v>
      </c>
      <c r="M427" s="17">
        <f t="shared" si="76"/>
        <v>6.9999999999998508E-2</v>
      </c>
      <c r="N427" s="17">
        <f t="shared" si="77"/>
        <v>1.4299999999999997</v>
      </c>
      <c r="O427" s="17">
        <f t="shared" si="78"/>
        <v>2.4899999999999984</v>
      </c>
      <c r="P427" s="17">
        <f t="shared" si="79"/>
        <v>3.8499999999999996</v>
      </c>
      <c r="Q427" s="17">
        <f t="shared" si="80"/>
        <v>-0.96388016312958968</v>
      </c>
      <c r="R427" s="17">
        <f t="shared" si="73"/>
        <v>-0.95074057212176699</v>
      </c>
      <c r="S427" s="17">
        <f t="shared" si="74"/>
        <v>-1.1489462438481475</v>
      </c>
      <c r="T427" s="17">
        <f t="shared" si="75"/>
        <v>-0.89766933338199051</v>
      </c>
      <c r="U427" s="16">
        <v>0</v>
      </c>
      <c r="V427" s="16">
        <v>1</v>
      </c>
      <c r="W427" s="16">
        <v>3</v>
      </c>
      <c r="X427" s="16">
        <v>4</v>
      </c>
      <c r="Y427" s="15">
        <v>0.29399999999999998</v>
      </c>
      <c r="Z427" s="15">
        <v>0.40100000000000002</v>
      </c>
      <c r="AA427" s="15">
        <v>0.46800000000000003</v>
      </c>
      <c r="AB427" s="15">
        <v>0.56799999999999995</v>
      </c>
      <c r="AC427" s="3">
        <f t="shared" si="81"/>
        <v>-1.4332806904677906</v>
      </c>
      <c r="AD427" s="3">
        <f t="shared" si="82"/>
        <v>-1.5068661568471602</v>
      </c>
      <c r="AE427" s="3">
        <f t="shared" si="83"/>
        <v>-1.7398944178616378</v>
      </c>
      <c r="AF427" s="3">
        <f t="shared" si="84"/>
        <v>-1.7141610783824266</v>
      </c>
    </row>
    <row r="428" spans="1:32" x14ac:dyDescent="0.2">
      <c r="A428" s="30">
        <v>426</v>
      </c>
      <c r="B428" s="9" t="s">
        <v>840</v>
      </c>
      <c r="C428" s="12">
        <v>220083</v>
      </c>
      <c r="D428" s="13" t="s">
        <v>427</v>
      </c>
      <c r="E428" s="17">
        <v>-64.725950136199998</v>
      </c>
      <c r="F428" s="17">
        <v>32.311705789900003</v>
      </c>
      <c r="G428" s="14">
        <v>1</v>
      </c>
      <c r="H428" s="17">
        <v>20.63</v>
      </c>
      <c r="I428" s="17">
        <v>21.41</v>
      </c>
      <c r="J428" s="17">
        <v>22.43</v>
      </c>
      <c r="K428" s="17">
        <v>23.89</v>
      </c>
      <c r="L428" s="17">
        <v>23.67</v>
      </c>
      <c r="M428" s="17">
        <f t="shared" si="76"/>
        <v>0.78000000000000114</v>
      </c>
      <c r="N428" s="17">
        <f t="shared" si="77"/>
        <v>1.8000000000000007</v>
      </c>
      <c r="O428" s="17">
        <f t="shared" si="78"/>
        <v>3.2600000000000016</v>
      </c>
      <c r="P428" s="17">
        <f t="shared" si="79"/>
        <v>3.0400000000000027</v>
      </c>
      <c r="Q428" s="17">
        <f t="shared" si="80"/>
        <v>-9.8837790503932252E-2</v>
      </c>
      <c r="R428" s="17">
        <f t="shared" si="73"/>
        <v>-0.42983262405677614</v>
      </c>
      <c r="S428" s="17">
        <f t="shared" si="74"/>
        <v>-0.25478036844672669</v>
      </c>
      <c r="T428" s="17">
        <f t="shared" si="75"/>
        <v>-1.7175312333716157</v>
      </c>
      <c r="U428" s="16">
        <v>0</v>
      </c>
      <c r="V428" s="16">
        <v>0</v>
      </c>
      <c r="W428" s="16">
        <v>0</v>
      </c>
      <c r="X428" s="16">
        <v>0</v>
      </c>
      <c r="Y428" s="15">
        <v>0.46550000000000002</v>
      </c>
      <c r="Z428" s="15">
        <v>0.56200000000000006</v>
      </c>
      <c r="AA428" s="15">
        <v>0.64500000000000002</v>
      </c>
      <c r="AB428" s="15">
        <v>0.69550000000000001</v>
      </c>
      <c r="AC428" s="3">
        <f t="shared" si="81"/>
        <v>0.15149526465438989</v>
      </c>
      <c r="AD428" s="3">
        <f t="shared" si="82"/>
        <v>-6.2146412619564793E-2</v>
      </c>
      <c r="AE428" s="3">
        <f t="shared" si="83"/>
        <v>-0.28260951113527971</v>
      </c>
      <c r="AF428" s="3">
        <f t="shared" si="84"/>
        <v>-0.66680544274496567</v>
      </c>
    </row>
    <row r="429" spans="1:32" x14ac:dyDescent="0.2">
      <c r="A429" s="30">
        <v>427</v>
      </c>
      <c r="B429" s="9" t="s">
        <v>1138</v>
      </c>
      <c r="C429" s="12">
        <v>220084</v>
      </c>
      <c r="D429" s="13" t="s">
        <v>428</v>
      </c>
      <c r="E429" s="17">
        <v>-5.60738801883</v>
      </c>
      <c r="F429" s="17">
        <v>54.464839128999998</v>
      </c>
      <c r="G429" s="14">
        <v>321</v>
      </c>
      <c r="H429" s="17">
        <v>9</v>
      </c>
      <c r="I429" s="17">
        <v>8.9600000000000009</v>
      </c>
      <c r="J429" s="17">
        <v>10.210000000000001</v>
      </c>
      <c r="K429" s="17">
        <v>11.7</v>
      </c>
      <c r="L429" s="17">
        <v>12.79</v>
      </c>
      <c r="M429" s="17">
        <f t="shared" si="76"/>
        <v>-3.9999999999999147E-2</v>
      </c>
      <c r="N429" s="17">
        <f t="shared" si="77"/>
        <v>1.2100000000000009</v>
      </c>
      <c r="O429" s="17">
        <f t="shared" si="78"/>
        <v>2.6999999999999993</v>
      </c>
      <c r="P429" s="17">
        <f t="shared" si="79"/>
        <v>3.7899999999999991</v>
      </c>
      <c r="Q429" s="17">
        <f t="shared" si="80"/>
        <v>-1.0979008124096177</v>
      </c>
      <c r="R429" s="17">
        <f t="shared" si="73"/>
        <v>-1.26046962232257</v>
      </c>
      <c r="S429" s="17">
        <f t="shared" si="74"/>
        <v>-0.90508282328412359</v>
      </c>
      <c r="T429" s="17">
        <f t="shared" si="75"/>
        <v>-0.95839984449233384</v>
      </c>
      <c r="U429" s="16">
        <v>8</v>
      </c>
      <c r="V429" s="16">
        <v>8</v>
      </c>
      <c r="W429" s="16">
        <v>11</v>
      </c>
      <c r="X429" s="16">
        <v>13</v>
      </c>
      <c r="Y429" s="15">
        <v>0.34399999999999997</v>
      </c>
      <c r="Z429" s="15">
        <v>0.45800000000000002</v>
      </c>
      <c r="AA429" s="15">
        <v>0.54</v>
      </c>
      <c r="AB429" s="15">
        <v>0.63200000000000001</v>
      </c>
      <c r="AC429" s="3">
        <f t="shared" si="81"/>
        <v>-0.97124688430972073</v>
      </c>
      <c r="AD429" s="3">
        <f t="shared" si="82"/>
        <v>-0.99538152690322901</v>
      </c>
      <c r="AE429" s="3">
        <f t="shared" si="83"/>
        <v>-1.1471005574983735</v>
      </c>
      <c r="AF429" s="3">
        <f t="shared" si="84"/>
        <v>-1.188429622062446</v>
      </c>
    </row>
    <row r="430" spans="1:32" x14ac:dyDescent="0.2">
      <c r="A430" s="30">
        <v>428</v>
      </c>
      <c r="B430" s="9" t="s">
        <v>1139</v>
      </c>
      <c r="C430" s="12">
        <v>220086</v>
      </c>
      <c r="D430" s="13" t="s">
        <v>429</v>
      </c>
      <c r="E430" s="17">
        <v>0.56978637543900001</v>
      </c>
      <c r="F430" s="17">
        <v>51.4721771484</v>
      </c>
      <c r="G430" s="14">
        <v>97</v>
      </c>
      <c r="H430" s="17">
        <v>11.16</v>
      </c>
      <c r="I430" s="17">
        <v>10.66</v>
      </c>
      <c r="J430" s="17">
        <v>12.4</v>
      </c>
      <c r="K430" s="17">
        <v>14.61</v>
      </c>
      <c r="L430" s="17">
        <v>15.73</v>
      </c>
      <c r="M430" s="17">
        <f t="shared" si="76"/>
        <v>-0.5</v>
      </c>
      <c r="N430" s="17">
        <f t="shared" si="77"/>
        <v>1.2400000000000002</v>
      </c>
      <c r="O430" s="17">
        <f t="shared" si="78"/>
        <v>3.4499999999999993</v>
      </c>
      <c r="P430" s="17">
        <f t="shared" si="79"/>
        <v>4.57</v>
      </c>
      <c r="Q430" s="17">
        <f t="shared" si="80"/>
        <v>-1.6583508003079299</v>
      </c>
      <c r="R430" s="17">
        <f t="shared" si="73"/>
        <v>-1.2182338427497339</v>
      </c>
      <c r="S430" s="17">
        <f t="shared" si="74"/>
        <v>-3.4142035555470567E-2</v>
      </c>
      <c r="T430" s="17">
        <f t="shared" si="75"/>
        <v>-0.16890320005787579</v>
      </c>
      <c r="U430" s="16">
        <v>3</v>
      </c>
      <c r="V430" s="16">
        <v>3</v>
      </c>
      <c r="W430" s="16">
        <v>4</v>
      </c>
      <c r="X430" s="16">
        <v>5</v>
      </c>
      <c r="Y430" s="15">
        <v>0.47633333333299999</v>
      </c>
      <c r="Z430" s="15">
        <v>0.60366666666699997</v>
      </c>
      <c r="AA430" s="15">
        <v>0.69233333333299996</v>
      </c>
      <c r="AB430" s="15">
        <v>0.80466666666700004</v>
      </c>
      <c r="AC430" s="3">
        <f t="shared" si="81"/>
        <v>0.25160258931889118</v>
      </c>
      <c r="AD430" s="3">
        <f t="shared" si="82"/>
        <v>0.31174586073425248</v>
      </c>
      <c r="AE430" s="3">
        <f t="shared" si="83"/>
        <v>0.10709756373041766</v>
      </c>
      <c r="AF430" s="3">
        <f t="shared" si="84"/>
        <v>0.22995003613690565</v>
      </c>
    </row>
    <row r="431" spans="1:32" x14ac:dyDescent="0.2">
      <c r="A431" s="30">
        <v>429</v>
      </c>
      <c r="B431" s="9" t="s">
        <v>841</v>
      </c>
      <c r="C431" s="12">
        <v>220088</v>
      </c>
      <c r="D431" s="13" t="s">
        <v>430</v>
      </c>
      <c r="E431" s="17">
        <v>-64.370574812100003</v>
      </c>
      <c r="F431" s="17">
        <v>18.7340172408</v>
      </c>
      <c r="G431" s="14">
        <v>14</v>
      </c>
      <c r="H431" s="17">
        <v>24.9</v>
      </c>
      <c r="I431" s="17">
        <v>25.92</v>
      </c>
      <c r="J431" s="17">
        <v>26.68</v>
      </c>
      <c r="K431" s="17">
        <v>27.77</v>
      </c>
      <c r="L431" s="17">
        <v>29.21</v>
      </c>
      <c r="M431" s="17">
        <f t="shared" si="76"/>
        <v>1.0200000000000031</v>
      </c>
      <c r="N431" s="17">
        <f t="shared" si="77"/>
        <v>1.7800000000000011</v>
      </c>
      <c r="O431" s="17">
        <f t="shared" si="78"/>
        <v>2.870000000000001</v>
      </c>
      <c r="P431" s="17">
        <f t="shared" si="79"/>
        <v>4.3100000000000023</v>
      </c>
      <c r="Q431" s="17">
        <f t="shared" si="80"/>
        <v>0.19357089883431949</v>
      </c>
      <c r="R431" s="17">
        <f t="shared" si="73"/>
        <v>-0.45798981043866682</v>
      </c>
      <c r="S431" s="17">
        <f t="shared" si="74"/>
        <v>-0.70766957806562691</v>
      </c>
      <c r="T431" s="17">
        <f t="shared" si="75"/>
        <v>-0.43206874820269275</v>
      </c>
      <c r="U431" s="16">
        <v>2</v>
      </c>
      <c r="V431" s="16">
        <v>2</v>
      </c>
      <c r="W431" s="16">
        <v>2</v>
      </c>
      <c r="X431" s="16">
        <v>3</v>
      </c>
      <c r="Y431" s="15">
        <v>0.49399999999999999</v>
      </c>
      <c r="Z431" s="15">
        <v>0.61699999999999999</v>
      </c>
      <c r="AA431" s="15">
        <v>0.71699999999999997</v>
      </c>
      <c r="AB431" s="15">
        <v>0.81499999999999995</v>
      </c>
      <c r="AC431" s="3">
        <f t="shared" si="81"/>
        <v>0.41485453416448953</v>
      </c>
      <c r="AD431" s="3">
        <f t="shared" si="82"/>
        <v>0.43139138820352613</v>
      </c>
      <c r="AE431" s="3">
        <f t="shared" si="83"/>
        <v>0.31018434922798427</v>
      </c>
      <c r="AF431" s="3">
        <f t="shared" si="84"/>
        <v>0.31483376085249681</v>
      </c>
    </row>
    <row r="432" spans="1:32" x14ac:dyDescent="0.2">
      <c r="A432" s="30">
        <v>430</v>
      </c>
      <c r="B432" s="9" t="s">
        <v>1140</v>
      </c>
      <c r="C432" s="12">
        <v>220089</v>
      </c>
      <c r="D432" s="13" t="s">
        <v>431</v>
      </c>
      <c r="E432" s="17">
        <v>-1.99510437359</v>
      </c>
      <c r="F432" s="17">
        <v>57.337687006000003</v>
      </c>
      <c r="G432" s="14">
        <v>6</v>
      </c>
      <c r="H432" s="17">
        <v>6.85</v>
      </c>
      <c r="I432" s="17">
        <v>7.25</v>
      </c>
      <c r="J432" s="17">
        <v>8.7100000000000009</v>
      </c>
      <c r="K432" s="17">
        <v>10.43</v>
      </c>
      <c r="L432" s="17">
        <v>11.61</v>
      </c>
      <c r="M432" s="17">
        <f t="shared" si="76"/>
        <v>0.40000000000000036</v>
      </c>
      <c r="N432" s="17">
        <f t="shared" si="77"/>
        <v>1.8600000000000012</v>
      </c>
      <c r="O432" s="17">
        <f t="shared" si="78"/>
        <v>3.58</v>
      </c>
      <c r="P432" s="17">
        <f t="shared" si="79"/>
        <v>4.76</v>
      </c>
      <c r="Q432" s="17">
        <f t="shared" si="80"/>
        <v>-0.5618182152894946</v>
      </c>
      <c r="R432" s="17">
        <f t="shared" si="73"/>
        <v>-0.34536106491110147</v>
      </c>
      <c r="S432" s="17">
        <f t="shared" si="74"/>
        <v>0.11682103431749688</v>
      </c>
      <c r="T432" s="17">
        <f t="shared" si="75"/>
        <v>2.341008512487602E-2</v>
      </c>
      <c r="U432" s="16">
        <v>0</v>
      </c>
      <c r="V432" s="16">
        <v>0</v>
      </c>
      <c r="W432" s="16">
        <v>0</v>
      </c>
      <c r="X432" s="16">
        <v>0</v>
      </c>
      <c r="Y432" s="15">
        <v>0.37833333333300001</v>
      </c>
      <c r="Z432" s="15">
        <v>0.496333333333</v>
      </c>
      <c r="AA432" s="15">
        <v>0.56933333333299996</v>
      </c>
      <c r="AB432" s="15">
        <v>0.68400000000000005</v>
      </c>
      <c r="AC432" s="3">
        <f t="shared" si="81"/>
        <v>-0.65398367075092589</v>
      </c>
      <c r="AD432" s="3">
        <f t="shared" si="82"/>
        <v>-0.65140063542345961</v>
      </c>
      <c r="AE432" s="3">
        <f t="shared" si="83"/>
        <v>-0.90559194772349227</v>
      </c>
      <c r="AF432" s="3">
        <f t="shared" si="84"/>
        <v>-0.7612728138024617</v>
      </c>
    </row>
    <row r="433" spans="1:32" x14ac:dyDescent="0.2">
      <c r="A433" s="30">
        <v>431</v>
      </c>
      <c r="B433" s="9" t="s">
        <v>1141</v>
      </c>
      <c r="C433" s="12">
        <v>220093</v>
      </c>
      <c r="D433" s="13" t="s">
        <v>432</v>
      </c>
      <c r="E433" s="17">
        <v>-3.0008643420099999</v>
      </c>
      <c r="F433" s="17">
        <v>56.411847448099998</v>
      </c>
      <c r="G433" s="14">
        <v>229</v>
      </c>
      <c r="H433" s="17">
        <v>6.89</v>
      </c>
      <c r="I433" s="17">
        <v>7.39</v>
      </c>
      <c r="J433" s="17">
        <v>8.81</v>
      </c>
      <c r="K433" s="17">
        <v>10.45</v>
      </c>
      <c r="L433" s="17">
        <v>11.68</v>
      </c>
      <c r="M433" s="17">
        <f t="shared" si="76"/>
        <v>0.5</v>
      </c>
      <c r="N433" s="17">
        <f t="shared" si="77"/>
        <v>1.9200000000000008</v>
      </c>
      <c r="O433" s="17">
        <f t="shared" si="78"/>
        <v>3.5599999999999996</v>
      </c>
      <c r="P433" s="17">
        <f t="shared" si="79"/>
        <v>4.79</v>
      </c>
      <c r="Q433" s="17">
        <f t="shared" si="80"/>
        <v>-0.43998126139855787</v>
      </c>
      <c r="R433" s="17">
        <f t="shared" si="73"/>
        <v>-0.26088950576542802</v>
      </c>
      <c r="S433" s="17">
        <f t="shared" si="74"/>
        <v>9.3595946644732253E-2</v>
      </c>
      <c r="T433" s="17">
        <f t="shared" si="75"/>
        <v>5.377534068004769E-2</v>
      </c>
      <c r="U433" s="16">
        <v>3</v>
      </c>
      <c r="V433" s="16">
        <v>3</v>
      </c>
      <c r="W433" s="16">
        <v>4</v>
      </c>
      <c r="X433" s="16">
        <v>4</v>
      </c>
      <c r="Y433" s="15">
        <v>0.35799999999999998</v>
      </c>
      <c r="Z433" s="15">
        <v>0.47625000000000001</v>
      </c>
      <c r="AA433" s="15">
        <v>0.55174999999999996</v>
      </c>
      <c r="AB433" s="15">
        <v>0.66374999999999995</v>
      </c>
      <c r="AC433" s="3">
        <f t="shared" si="81"/>
        <v>-0.84187741858546095</v>
      </c>
      <c r="AD433" s="3">
        <f t="shared" si="82"/>
        <v>-0.8316167111755669</v>
      </c>
      <c r="AE433" s="3">
        <f t="shared" si="83"/>
        <v>-1.0503598927863136</v>
      </c>
      <c r="AF433" s="3">
        <f t="shared" si="84"/>
        <v>-0.92761753240370626</v>
      </c>
    </row>
    <row r="434" spans="1:32" x14ac:dyDescent="0.2">
      <c r="A434" s="30">
        <v>432</v>
      </c>
      <c r="B434" s="9" t="s">
        <v>1142</v>
      </c>
      <c r="C434" s="12">
        <v>220094</v>
      </c>
      <c r="D434" s="13" t="s">
        <v>433</v>
      </c>
      <c r="E434" s="17">
        <v>-4.6090724851599996</v>
      </c>
      <c r="F434" s="17">
        <v>55.9422271149</v>
      </c>
      <c r="G434" s="14">
        <v>63</v>
      </c>
      <c r="H434" s="17">
        <v>8.01</v>
      </c>
      <c r="I434" s="17">
        <v>8.2200000000000006</v>
      </c>
      <c r="J434" s="17">
        <v>9.64</v>
      </c>
      <c r="K434" s="17">
        <v>11.06</v>
      </c>
      <c r="L434" s="17">
        <v>12.26</v>
      </c>
      <c r="M434" s="17">
        <f t="shared" si="76"/>
        <v>0.21000000000000085</v>
      </c>
      <c r="N434" s="17">
        <f t="shared" si="77"/>
        <v>1.6300000000000008</v>
      </c>
      <c r="O434" s="17">
        <f t="shared" si="78"/>
        <v>3.0500000000000007</v>
      </c>
      <c r="P434" s="17">
        <f t="shared" si="79"/>
        <v>4.25</v>
      </c>
      <c r="Q434" s="17">
        <f t="shared" si="80"/>
        <v>-0.79330842768227472</v>
      </c>
      <c r="R434" s="17">
        <f t="shared" si="73"/>
        <v>-0.66916870830285224</v>
      </c>
      <c r="S434" s="17">
        <f t="shared" si="74"/>
        <v>-0.49864378901075057</v>
      </c>
      <c r="T434" s="17">
        <f t="shared" si="75"/>
        <v>-0.49279925931303786</v>
      </c>
      <c r="U434" s="16">
        <v>1</v>
      </c>
      <c r="V434" s="16">
        <v>1</v>
      </c>
      <c r="W434" s="16">
        <v>1</v>
      </c>
      <c r="X434" s="16">
        <v>1</v>
      </c>
      <c r="Y434" s="15">
        <v>0.28949999999999998</v>
      </c>
      <c r="Z434" s="15">
        <v>0.40150000000000002</v>
      </c>
      <c r="AA434" s="15">
        <v>0.47499999999999998</v>
      </c>
      <c r="AB434" s="15">
        <v>0.57950000000000002</v>
      </c>
      <c r="AC434" s="3">
        <f t="shared" si="81"/>
        <v>-1.4748637330220169</v>
      </c>
      <c r="AD434" s="3">
        <f t="shared" si="82"/>
        <v>-1.5023794495669502</v>
      </c>
      <c r="AE434" s="3">
        <f t="shared" si="83"/>
        <v>-1.682261681437432</v>
      </c>
      <c r="AF434" s="3">
        <f t="shared" si="84"/>
        <v>-1.6196937073249296</v>
      </c>
    </row>
    <row r="435" spans="1:32" x14ac:dyDescent="0.2">
      <c r="A435" s="30">
        <v>433</v>
      </c>
      <c r="B435" s="9" t="s">
        <v>842</v>
      </c>
      <c r="C435" s="12">
        <v>220252</v>
      </c>
      <c r="D435" s="13" t="s">
        <v>434</v>
      </c>
      <c r="E435" s="17">
        <v>-58.553986002000002</v>
      </c>
      <c r="F435" s="17">
        <v>-34.139396824599999</v>
      </c>
      <c r="G435" s="14">
        <v>106</v>
      </c>
      <c r="H435" s="17">
        <v>16.95</v>
      </c>
      <c r="I435" s="17">
        <v>19.2</v>
      </c>
      <c r="J435" s="17">
        <v>19.579999999999998</v>
      </c>
      <c r="K435" s="17">
        <v>20.7</v>
      </c>
      <c r="L435" s="17">
        <v>21.39</v>
      </c>
      <c r="M435" s="17">
        <f t="shared" si="76"/>
        <v>2.25</v>
      </c>
      <c r="N435" s="17">
        <f t="shared" si="77"/>
        <v>2.629999999999999</v>
      </c>
      <c r="O435" s="17">
        <f t="shared" si="78"/>
        <v>3.75</v>
      </c>
      <c r="P435" s="17">
        <f t="shared" si="79"/>
        <v>4.4400000000000013</v>
      </c>
      <c r="Q435" s="17">
        <f t="shared" si="80"/>
        <v>1.6921654316928434</v>
      </c>
      <c r="R435" s="17">
        <f t="shared" si="73"/>
        <v>0.73869061079171139</v>
      </c>
      <c r="S435" s="17">
        <f t="shared" si="74"/>
        <v>0.31423427953599148</v>
      </c>
      <c r="T435" s="17">
        <f t="shared" si="75"/>
        <v>-0.30048597413028427</v>
      </c>
      <c r="U435" s="16">
        <v>3</v>
      </c>
      <c r="V435" s="16">
        <v>5</v>
      </c>
      <c r="W435" s="16">
        <v>5</v>
      </c>
      <c r="X435" s="16">
        <v>6</v>
      </c>
      <c r="Y435" s="15">
        <v>0.40899999999999997</v>
      </c>
      <c r="Z435" s="15">
        <v>0.53200000000000003</v>
      </c>
      <c r="AA435" s="15">
        <v>0.65800000000000003</v>
      </c>
      <c r="AB435" s="15">
        <v>0.73699999999999999</v>
      </c>
      <c r="AC435" s="3">
        <f t="shared" si="81"/>
        <v>-0.37060293630422969</v>
      </c>
      <c r="AD435" s="3">
        <f t="shared" si="82"/>
        <v>-0.33134884943216036</v>
      </c>
      <c r="AE435" s="3">
        <f t="shared" si="83"/>
        <v>-0.175577286347468</v>
      </c>
      <c r="AF435" s="3">
        <f t="shared" si="84"/>
        <v>-0.32590145153747868</v>
      </c>
    </row>
    <row r="436" spans="1:32" x14ac:dyDescent="0.2">
      <c r="A436" s="30">
        <v>434</v>
      </c>
      <c r="B436" s="9" t="s">
        <v>843</v>
      </c>
      <c r="C436" s="12">
        <v>478006</v>
      </c>
      <c r="D436" s="13" t="s">
        <v>435</v>
      </c>
      <c r="E436" s="17">
        <v>-104.79856856400001</v>
      </c>
      <c r="F436" s="17">
        <v>19.3030917699</v>
      </c>
      <c r="G436" s="14">
        <v>3</v>
      </c>
      <c r="H436" s="17">
        <v>25.5</v>
      </c>
      <c r="I436" s="17">
        <v>26.7</v>
      </c>
      <c r="J436" s="17">
        <v>27.37</v>
      </c>
      <c r="K436" s="17">
        <v>29.06</v>
      </c>
      <c r="L436" s="17">
        <v>30.07</v>
      </c>
      <c r="M436" s="17">
        <f t="shared" si="76"/>
        <v>1.1999999999999993</v>
      </c>
      <c r="N436" s="17">
        <f t="shared" si="77"/>
        <v>1.870000000000001</v>
      </c>
      <c r="O436" s="17">
        <f t="shared" si="78"/>
        <v>3.5599999999999987</v>
      </c>
      <c r="P436" s="17">
        <f t="shared" si="79"/>
        <v>4.57</v>
      </c>
      <c r="Q436" s="17">
        <f t="shared" si="80"/>
        <v>0.4128774158380018</v>
      </c>
      <c r="R436" s="17">
        <f t="shared" si="73"/>
        <v>-0.33128247172015607</v>
      </c>
      <c r="S436" s="17">
        <f t="shared" si="74"/>
        <v>9.3595946644731226E-2</v>
      </c>
      <c r="T436" s="17">
        <f t="shared" si="75"/>
        <v>-0.16890320005787579</v>
      </c>
      <c r="U436" s="16">
        <v>0</v>
      </c>
      <c r="V436" s="16">
        <v>0</v>
      </c>
      <c r="W436" s="16">
        <v>0</v>
      </c>
      <c r="X436" s="16">
        <v>0</v>
      </c>
      <c r="Y436" s="15">
        <v>0.63900000000000001</v>
      </c>
      <c r="Z436" s="15">
        <v>0.745</v>
      </c>
      <c r="AA436" s="15">
        <v>0.86799999999999999</v>
      </c>
      <c r="AB436" s="15">
        <v>0.94399999999999995</v>
      </c>
      <c r="AC436" s="3">
        <f t="shared" si="81"/>
        <v>1.7547525720228927</v>
      </c>
      <c r="AD436" s="3">
        <f t="shared" si="82"/>
        <v>1.5799884519372664</v>
      </c>
      <c r="AE436" s="3">
        <f t="shared" si="83"/>
        <v>1.5534048063787194</v>
      </c>
      <c r="AF436" s="3">
        <f t="shared" si="84"/>
        <v>1.3745112274974569</v>
      </c>
    </row>
    <row r="437" spans="1:32" x14ac:dyDescent="0.2">
      <c r="A437" s="30">
        <v>435</v>
      </c>
      <c r="B437" s="9" t="s">
        <v>844</v>
      </c>
      <c r="C437" s="12">
        <v>478007</v>
      </c>
      <c r="D437" s="13" t="s">
        <v>436</v>
      </c>
      <c r="E437" s="17">
        <v>-104.657982555</v>
      </c>
      <c r="F437" s="17">
        <v>19.1855281323</v>
      </c>
      <c r="G437" s="14">
        <v>5</v>
      </c>
      <c r="H437" s="17">
        <v>25.59</v>
      </c>
      <c r="I437" s="17">
        <v>26.79</v>
      </c>
      <c r="J437" s="17">
        <v>27.48</v>
      </c>
      <c r="K437" s="17">
        <v>29.18</v>
      </c>
      <c r="L437" s="17">
        <v>30.17</v>
      </c>
      <c r="M437" s="17">
        <f t="shared" si="76"/>
        <v>1.1999999999999993</v>
      </c>
      <c r="N437" s="17">
        <f t="shared" si="77"/>
        <v>1.8900000000000006</v>
      </c>
      <c r="O437" s="17">
        <f t="shared" si="78"/>
        <v>3.59</v>
      </c>
      <c r="P437" s="17">
        <f t="shared" si="79"/>
        <v>4.5800000000000018</v>
      </c>
      <c r="Q437" s="17">
        <f t="shared" si="80"/>
        <v>0.4128774158380018</v>
      </c>
      <c r="R437" s="17">
        <f t="shared" si="73"/>
        <v>-0.30312528533826538</v>
      </c>
      <c r="S437" s="17">
        <f t="shared" si="74"/>
        <v>0.12843357815387868</v>
      </c>
      <c r="T437" s="17">
        <f t="shared" si="75"/>
        <v>-0.15878144820615042</v>
      </c>
      <c r="U437" s="16">
        <v>0</v>
      </c>
      <c r="V437" s="16">
        <v>0</v>
      </c>
      <c r="W437" s="16">
        <v>0</v>
      </c>
      <c r="X437" s="16">
        <v>0</v>
      </c>
      <c r="Y437" s="15">
        <v>0.63900000000000001</v>
      </c>
      <c r="Z437" s="15">
        <v>0.745</v>
      </c>
      <c r="AA437" s="15">
        <v>0.86799999999999999</v>
      </c>
      <c r="AB437" s="15">
        <v>0.94399999999999995</v>
      </c>
      <c r="AC437" s="3">
        <f t="shared" si="81"/>
        <v>1.7547525720228927</v>
      </c>
      <c r="AD437" s="3">
        <f t="shared" si="82"/>
        <v>1.5799884519372664</v>
      </c>
      <c r="AE437" s="3">
        <f t="shared" si="83"/>
        <v>1.5534048063787194</v>
      </c>
      <c r="AF437" s="3">
        <f t="shared" si="84"/>
        <v>1.3745112274974569</v>
      </c>
    </row>
    <row r="438" spans="1:32" x14ac:dyDescent="0.2">
      <c r="A438" s="30">
        <v>436</v>
      </c>
      <c r="B438" s="9" t="s">
        <v>845</v>
      </c>
      <c r="C438" s="12">
        <v>478009</v>
      </c>
      <c r="D438" s="13" t="s">
        <v>437</v>
      </c>
      <c r="E438" s="17">
        <v>-105.22212083700001</v>
      </c>
      <c r="F438" s="17">
        <v>19.663588463699998</v>
      </c>
      <c r="G438" s="14">
        <v>7</v>
      </c>
      <c r="H438" s="17">
        <v>25.84</v>
      </c>
      <c r="I438" s="17">
        <v>27.03</v>
      </c>
      <c r="J438" s="17">
        <v>27.6</v>
      </c>
      <c r="K438" s="17">
        <v>29.27</v>
      </c>
      <c r="L438" s="17">
        <v>30.27</v>
      </c>
      <c r="M438" s="17">
        <f t="shared" si="76"/>
        <v>1.1900000000000013</v>
      </c>
      <c r="N438" s="17">
        <f t="shared" si="77"/>
        <v>1.7600000000000016</v>
      </c>
      <c r="O438" s="17">
        <f t="shared" si="78"/>
        <v>3.4299999999999997</v>
      </c>
      <c r="P438" s="17">
        <f t="shared" si="79"/>
        <v>4.43</v>
      </c>
      <c r="Q438" s="17">
        <f t="shared" si="80"/>
        <v>0.4006937204489105</v>
      </c>
      <c r="R438" s="17">
        <f t="shared" si="73"/>
        <v>-0.48614699682055756</v>
      </c>
      <c r="S438" s="17">
        <f t="shared" si="74"/>
        <v>-5.7367123228234153E-2</v>
      </c>
      <c r="T438" s="17">
        <f t="shared" si="75"/>
        <v>-0.31060772598200964</v>
      </c>
      <c r="U438" s="16">
        <v>0</v>
      </c>
      <c r="V438" s="16">
        <v>0</v>
      </c>
      <c r="W438" s="16">
        <v>0</v>
      </c>
      <c r="X438" s="16">
        <v>0</v>
      </c>
      <c r="Y438" s="15">
        <v>0.61</v>
      </c>
      <c r="Z438" s="15">
        <v>0.71399999999999997</v>
      </c>
      <c r="AA438" s="15">
        <v>0.83299999999999996</v>
      </c>
      <c r="AB438" s="15">
        <v>0.90800000000000003</v>
      </c>
      <c r="AC438" s="3">
        <f t="shared" si="81"/>
        <v>1.486772964451212</v>
      </c>
      <c r="AD438" s="3">
        <f t="shared" si="82"/>
        <v>1.301812600564251</v>
      </c>
      <c r="AE438" s="3">
        <f t="shared" si="83"/>
        <v>1.2652411242576878</v>
      </c>
      <c r="AF438" s="3">
        <f t="shared" si="84"/>
        <v>1.0787872833174688</v>
      </c>
    </row>
    <row r="439" spans="1:32" x14ac:dyDescent="0.2">
      <c r="A439" s="30">
        <v>437</v>
      </c>
      <c r="B439" s="9" t="s">
        <v>1329</v>
      </c>
      <c r="C439" s="12">
        <v>478016</v>
      </c>
      <c r="D439" s="13" t="s">
        <v>438</v>
      </c>
      <c r="E439" s="17">
        <v>126.385953546</v>
      </c>
      <c r="F439" s="17">
        <v>35.077462430799997</v>
      </c>
      <c r="G439" s="14">
        <v>70</v>
      </c>
      <c r="H439" s="17">
        <v>11.68</v>
      </c>
      <c r="I439" s="17">
        <v>13.28</v>
      </c>
      <c r="J439" s="17">
        <v>14.69</v>
      </c>
      <c r="K439" s="17">
        <v>16.010000000000002</v>
      </c>
      <c r="L439" s="17">
        <v>18.02</v>
      </c>
      <c r="M439" s="17">
        <f t="shared" si="76"/>
        <v>1.5999999999999996</v>
      </c>
      <c r="N439" s="17">
        <f t="shared" si="77"/>
        <v>3.01</v>
      </c>
      <c r="O439" s="17">
        <f t="shared" si="78"/>
        <v>4.3300000000000018</v>
      </c>
      <c r="P439" s="17">
        <f t="shared" si="79"/>
        <v>6.34</v>
      </c>
      <c r="Q439" s="17">
        <f t="shared" si="80"/>
        <v>0.90022523140175104</v>
      </c>
      <c r="R439" s="17">
        <f t="shared" si="73"/>
        <v>1.2736771520476475</v>
      </c>
      <c r="S439" s="17">
        <f t="shared" si="74"/>
        <v>0.98776182204615204</v>
      </c>
      <c r="T439" s="17">
        <f t="shared" si="75"/>
        <v>1.6226468776972376</v>
      </c>
      <c r="U439" s="16">
        <v>0</v>
      </c>
      <c r="V439" s="16">
        <v>0</v>
      </c>
      <c r="W439" s="16">
        <v>1</v>
      </c>
      <c r="X439" s="16">
        <v>1</v>
      </c>
      <c r="Y439" s="15">
        <v>0.51800000000000002</v>
      </c>
      <c r="Z439" s="15">
        <v>0.64300000000000002</v>
      </c>
      <c r="AA439" s="15">
        <v>0.79049999999999998</v>
      </c>
      <c r="AB439" s="15">
        <v>0.90449999999999997</v>
      </c>
      <c r="AC439" s="3">
        <f t="shared" si="81"/>
        <v>0.63663076112036332</v>
      </c>
      <c r="AD439" s="3">
        <f t="shared" si="82"/>
        <v>0.66470016677444232</v>
      </c>
      <c r="AE439" s="3">
        <f t="shared" si="83"/>
        <v>0.91532808168214996</v>
      </c>
      <c r="AF439" s="3">
        <f t="shared" si="84"/>
        <v>1.0500363442999692</v>
      </c>
    </row>
    <row r="440" spans="1:32" x14ac:dyDescent="0.2">
      <c r="A440" s="30">
        <v>438</v>
      </c>
      <c r="B440" s="9" t="s">
        <v>1464</v>
      </c>
      <c r="C440" s="12">
        <v>478023</v>
      </c>
      <c r="D440" s="13" t="s">
        <v>439</v>
      </c>
      <c r="E440" s="17">
        <v>-113.888084208</v>
      </c>
      <c r="F440" s="17">
        <v>31.5732462904</v>
      </c>
      <c r="G440" s="14">
        <v>231</v>
      </c>
      <c r="H440" s="17">
        <v>21</v>
      </c>
      <c r="I440" s="17">
        <v>22.95</v>
      </c>
      <c r="J440" s="17">
        <v>24.42</v>
      </c>
      <c r="K440" s="17">
        <v>25.62</v>
      </c>
      <c r="L440" s="17">
        <v>27.05</v>
      </c>
      <c r="M440" s="17">
        <f t="shared" si="76"/>
        <v>1.9499999999999993</v>
      </c>
      <c r="N440" s="17">
        <f t="shared" si="77"/>
        <v>3.4200000000000017</v>
      </c>
      <c r="O440" s="17">
        <f t="shared" si="78"/>
        <v>4.620000000000001</v>
      </c>
      <c r="P440" s="17">
        <f t="shared" si="79"/>
        <v>6.0500000000000007</v>
      </c>
      <c r="Q440" s="17">
        <f t="shared" si="80"/>
        <v>1.326654570020031</v>
      </c>
      <c r="R440" s="17">
        <f t="shared" si="73"/>
        <v>1.8508994728764223</v>
      </c>
      <c r="S440" s="17">
        <f t="shared" si="74"/>
        <v>1.3245255933012303</v>
      </c>
      <c r="T440" s="17">
        <f t="shared" si="75"/>
        <v>1.3291160739972481</v>
      </c>
      <c r="U440" s="16">
        <v>4</v>
      </c>
      <c r="V440" s="16">
        <v>8</v>
      </c>
      <c r="W440" s="16">
        <v>10</v>
      </c>
      <c r="X440" s="16">
        <v>12</v>
      </c>
      <c r="Y440" s="15">
        <v>0.45400000000000001</v>
      </c>
      <c r="Z440" s="15">
        <v>0.55400000000000005</v>
      </c>
      <c r="AA440" s="15">
        <v>0.65800000000000003</v>
      </c>
      <c r="AB440" s="15">
        <v>0.74399999999999999</v>
      </c>
      <c r="AC440" s="3">
        <f t="shared" si="81"/>
        <v>4.5227489238033707E-2</v>
      </c>
      <c r="AD440" s="3">
        <f t="shared" si="82"/>
        <v>-0.13393372910292362</v>
      </c>
      <c r="AE440" s="3">
        <f t="shared" si="83"/>
        <v>-0.175577286347468</v>
      </c>
      <c r="AF440" s="3">
        <f t="shared" si="84"/>
        <v>-0.26839957350248078</v>
      </c>
    </row>
    <row r="441" spans="1:32" x14ac:dyDescent="0.2">
      <c r="A441" s="30">
        <v>439</v>
      </c>
      <c r="B441" s="9" t="s">
        <v>1330</v>
      </c>
      <c r="C441" s="12">
        <v>478151</v>
      </c>
      <c r="D441" s="13" t="s">
        <v>440</v>
      </c>
      <c r="E441" s="17">
        <v>104.752651458</v>
      </c>
      <c r="F441" s="17">
        <v>8.9408989471799991</v>
      </c>
      <c r="G441" s="14">
        <v>3120</v>
      </c>
      <c r="H441" s="17">
        <v>26.4</v>
      </c>
      <c r="I441" s="17">
        <v>27.53</v>
      </c>
      <c r="J441" s="17">
        <v>28.57</v>
      </c>
      <c r="K441" s="17">
        <v>29.86</v>
      </c>
      <c r="L441" s="17">
        <v>30.93</v>
      </c>
      <c r="M441" s="17">
        <f t="shared" si="76"/>
        <v>1.1300000000000026</v>
      </c>
      <c r="N441" s="17">
        <f t="shared" si="77"/>
        <v>2.1700000000000017</v>
      </c>
      <c r="O441" s="17">
        <f t="shared" si="78"/>
        <v>3.4600000000000009</v>
      </c>
      <c r="P441" s="17">
        <f t="shared" si="79"/>
        <v>4.5300000000000011</v>
      </c>
      <c r="Q441" s="17">
        <f t="shared" si="80"/>
        <v>0.32759154811434971</v>
      </c>
      <c r="R441" s="17">
        <f t="shared" si="73"/>
        <v>9.1075324008214734E-2</v>
      </c>
      <c r="S441" s="17">
        <f t="shared" si="74"/>
        <v>-2.2529491719086709E-2</v>
      </c>
      <c r="T441" s="17">
        <f t="shared" si="75"/>
        <v>-0.20939020746477016</v>
      </c>
      <c r="U441" s="16">
        <v>22</v>
      </c>
      <c r="V441" s="16">
        <v>33</v>
      </c>
      <c r="W441" s="16">
        <v>53</v>
      </c>
      <c r="X441" s="16">
        <v>75</v>
      </c>
      <c r="Y441" s="15">
        <v>0.44</v>
      </c>
      <c r="Z441" s="15">
        <v>0.56399999999999995</v>
      </c>
      <c r="AA441" s="15">
        <v>0.68600000000000005</v>
      </c>
      <c r="AB441" s="15">
        <v>0.78100000000000003</v>
      </c>
      <c r="AC441" s="3">
        <f t="shared" si="81"/>
        <v>-8.4141976486226011E-2</v>
      </c>
      <c r="AD441" s="3">
        <f t="shared" si="82"/>
        <v>-4.4199583498726082E-2</v>
      </c>
      <c r="AE441" s="3">
        <f t="shared" si="83"/>
        <v>5.4953659349357219E-2</v>
      </c>
      <c r="AF441" s="3">
        <f t="shared" si="84"/>
        <v>3.5538924682508008E-2</v>
      </c>
    </row>
    <row r="442" spans="1:32" x14ac:dyDescent="0.2">
      <c r="A442" s="30">
        <v>440</v>
      </c>
      <c r="B442" s="9" t="s">
        <v>1331</v>
      </c>
      <c r="C442" s="12">
        <v>478276</v>
      </c>
      <c r="D442" s="13" t="s">
        <v>441</v>
      </c>
      <c r="E442" s="17">
        <v>106.880386218</v>
      </c>
      <c r="F442" s="17">
        <v>10.5058711413</v>
      </c>
      <c r="G442" s="14">
        <v>463</v>
      </c>
      <c r="H442" s="17">
        <v>26.17</v>
      </c>
      <c r="I442" s="17">
        <v>27.31</v>
      </c>
      <c r="J442" s="17">
        <v>28.56</v>
      </c>
      <c r="K442" s="17">
        <v>30.09</v>
      </c>
      <c r="L442" s="17">
        <v>31.08</v>
      </c>
      <c r="M442" s="17">
        <f t="shared" si="76"/>
        <v>1.139999999999997</v>
      </c>
      <c r="N442" s="17">
        <f t="shared" si="77"/>
        <v>2.389999999999997</v>
      </c>
      <c r="O442" s="17">
        <f t="shared" si="78"/>
        <v>3.9199999999999982</v>
      </c>
      <c r="P442" s="17">
        <f t="shared" si="79"/>
        <v>4.9099999999999966</v>
      </c>
      <c r="Q442" s="17">
        <f t="shared" si="80"/>
        <v>0.33977524350343669</v>
      </c>
      <c r="R442" s="17">
        <f t="shared" si="73"/>
        <v>0.40080437420901266</v>
      </c>
      <c r="S442" s="17">
        <f t="shared" si="74"/>
        <v>0.51164752475448405</v>
      </c>
      <c r="T442" s="17">
        <f t="shared" si="75"/>
        <v>0.17523636290072989</v>
      </c>
      <c r="U442" s="16">
        <v>10</v>
      </c>
      <c r="V442" s="16">
        <v>15</v>
      </c>
      <c r="W442" s="16">
        <v>15</v>
      </c>
      <c r="X442" s="16">
        <v>20</v>
      </c>
      <c r="Y442" s="15">
        <v>0.42399999999999999</v>
      </c>
      <c r="Z442" s="15">
        <v>0.54600000000000004</v>
      </c>
      <c r="AA442" s="15">
        <v>0.66100000000000003</v>
      </c>
      <c r="AB442" s="15">
        <v>0.75600000000000001</v>
      </c>
      <c r="AC442" s="3">
        <f t="shared" si="81"/>
        <v>-0.23199279445680854</v>
      </c>
      <c r="AD442" s="3">
        <f t="shared" si="82"/>
        <v>-0.20572104558628243</v>
      </c>
      <c r="AE442" s="3">
        <f t="shared" si="83"/>
        <v>-0.15087754216566532</v>
      </c>
      <c r="AF442" s="3">
        <f t="shared" si="84"/>
        <v>-0.16982492544248443</v>
      </c>
    </row>
    <row r="443" spans="1:32" x14ac:dyDescent="0.2">
      <c r="A443" s="30">
        <v>441</v>
      </c>
      <c r="B443" s="9" t="s">
        <v>1332</v>
      </c>
      <c r="C443" s="12">
        <v>478277</v>
      </c>
      <c r="D443" s="13" t="s">
        <v>442</v>
      </c>
      <c r="E443" s="17">
        <v>107.014362339</v>
      </c>
      <c r="F443" s="17">
        <v>20.795520670999998</v>
      </c>
      <c r="G443" s="14">
        <v>185</v>
      </c>
      <c r="H443" s="17">
        <v>22.58</v>
      </c>
      <c r="I443" s="17">
        <v>24.41</v>
      </c>
      <c r="J443" s="17">
        <v>25.48</v>
      </c>
      <c r="K443" s="17">
        <v>26.2</v>
      </c>
      <c r="L443" s="17">
        <v>28.1</v>
      </c>
      <c r="M443" s="17">
        <f t="shared" si="76"/>
        <v>1.8300000000000018</v>
      </c>
      <c r="N443" s="17">
        <f t="shared" si="77"/>
        <v>2.9000000000000021</v>
      </c>
      <c r="O443" s="17">
        <f t="shared" si="78"/>
        <v>3.620000000000001</v>
      </c>
      <c r="P443" s="17">
        <f t="shared" si="79"/>
        <v>5.5200000000000031</v>
      </c>
      <c r="Q443" s="17">
        <f t="shared" si="80"/>
        <v>1.1804502253509093</v>
      </c>
      <c r="R443" s="17">
        <f t="shared" si="73"/>
        <v>1.1188126269472487</v>
      </c>
      <c r="S443" s="17">
        <f t="shared" si="74"/>
        <v>0.16327120966302611</v>
      </c>
      <c r="T443" s="17">
        <f t="shared" si="75"/>
        <v>0.79266322585588866</v>
      </c>
      <c r="U443" s="16">
        <v>3</v>
      </c>
      <c r="V443" s="16">
        <v>3</v>
      </c>
      <c r="W443" s="16">
        <v>3</v>
      </c>
      <c r="X443" s="16">
        <v>4</v>
      </c>
      <c r="Y443" s="15">
        <v>0.42799999999999999</v>
      </c>
      <c r="Z443" s="15">
        <v>0.56100000000000005</v>
      </c>
      <c r="AA443" s="15">
        <v>0.67100000000000004</v>
      </c>
      <c r="AB443" s="15">
        <v>0.77100000000000002</v>
      </c>
      <c r="AC443" s="3">
        <f t="shared" si="81"/>
        <v>-0.19503008996416291</v>
      </c>
      <c r="AD443" s="3">
        <f t="shared" si="82"/>
        <v>-7.1119827179984649E-2</v>
      </c>
      <c r="AE443" s="3">
        <f t="shared" si="83"/>
        <v>-6.8545061559656298E-2</v>
      </c>
      <c r="AF443" s="3">
        <f t="shared" si="84"/>
        <v>-4.6606615367488967E-2</v>
      </c>
    </row>
    <row r="444" spans="1:32" x14ac:dyDescent="0.2">
      <c r="A444" s="30">
        <v>442</v>
      </c>
      <c r="B444" s="9" t="s">
        <v>1333</v>
      </c>
      <c r="C444" s="12">
        <v>478282</v>
      </c>
      <c r="D444" s="13" t="s">
        <v>443</v>
      </c>
      <c r="E444" s="17">
        <v>108.43242327599999</v>
      </c>
      <c r="F444" s="17">
        <v>15.922781090499999</v>
      </c>
      <c r="G444" s="14">
        <v>281</v>
      </c>
      <c r="H444" s="17">
        <v>25.1</v>
      </c>
      <c r="I444" s="17">
        <v>26.52</v>
      </c>
      <c r="J444" s="17">
        <v>27.39</v>
      </c>
      <c r="K444" s="17">
        <v>28.4</v>
      </c>
      <c r="L444" s="17">
        <v>29.99</v>
      </c>
      <c r="M444" s="17">
        <f t="shared" si="76"/>
        <v>1.4199999999999982</v>
      </c>
      <c r="N444" s="17">
        <f t="shared" si="77"/>
        <v>2.2899999999999991</v>
      </c>
      <c r="O444" s="17">
        <f t="shared" si="78"/>
        <v>3.2999999999999972</v>
      </c>
      <c r="P444" s="17">
        <f t="shared" si="79"/>
        <v>4.889999999999997</v>
      </c>
      <c r="Q444" s="17">
        <f t="shared" si="80"/>
        <v>0.68091871439806229</v>
      </c>
      <c r="R444" s="17">
        <f t="shared" si="73"/>
        <v>0.26001844229955906</v>
      </c>
      <c r="S444" s="17">
        <f t="shared" si="74"/>
        <v>-0.20833019310120365</v>
      </c>
      <c r="T444" s="17">
        <f t="shared" si="75"/>
        <v>0.1549928591972827</v>
      </c>
      <c r="U444" s="16">
        <v>0</v>
      </c>
      <c r="V444" s="16">
        <v>0</v>
      </c>
      <c r="W444" s="16">
        <v>0</v>
      </c>
      <c r="X444" s="16">
        <v>0</v>
      </c>
      <c r="Y444" s="15">
        <v>0.46850000000000003</v>
      </c>
      <c r="Z444" s="15">
        <v>0.59699999999999998</v>
      </c>
      <c r="AA444" s="15">
        <v>0.71</v>
      </c>
      <c r="AB444" s="15">
        <v>0.80900000000000005</v>
      </c>
      <c r="AC444" s="3">
        <f t="shared" si="81"/>
        <v>0.17921729302387412</v>
      </c>
      <c r="AD444" s="3">
        <f t="shared" si="82"/>
        <v>0.25192309699512905</v>
      </c>
      <c r="AE444" s="3">
        <f t="shared" si="83"/>
        <v>0.25255161280377791</v>
      </c>
      <c r="AF444" s="3">
        <f t="shared" si="84"/>
        <v>0.26554643682249951</v>
      </c>
    </row>
    <row r="445" spans="1:32" x14ac:dyDescent="0.2">
      <c r="A445" s="30">
        <v>443</v>
      </c>
      <c r="B445" s="9" t="s">
        <v>1334</v>
      </c>
      <c r="C445" s="12">
        <v>478284</v>
      </c>
      <c r="D445" s="13" t="s">
        <v>444</v>
      </c>
      <c r="E445" s="17">
        <v>104.520254847</v>
      </c>
      <c r="F445" s="17">
        <v>9.9804356603599995</v>
      </c>
      <c r="G445" s="14">
        <v>11604</v>
      </c>
      <c r="H445" s="17">
        <v>26.72</v>
      </c>
      <c r="I445" s="17">
        <v>27.81</v>
      </c>
      <c r="J445" s="17">
        <v>28.9</v>
      </c>
      <c r="K445" s="17">
        <v>30.27</v>
      </c>
      <c r="L445" s="17">
        <v>31.17</v>
      </c>
      <c r="M445" s="17">
        <f t="shared" si="76"/>
        <v>1.0899999999999999</v>
      </c>
      <c r="N445" s="17">
        <f t="shared" si="77"/>
        <v>2.1799999999999997</v>
      </c>
      <c r="O445" s="17">
        <f t="shared" si="78"/>
        <v>3.5500000000000007</v>
      </c>
      <c r="P445" s="17">
        <f t="shared" si="79"/>
        <v>4.4500000000000028</v>
      </c>
      <c r="Q445" s="17">
        <f t="shared" si="80"/>
        <v>0.27885676655797154</v>
      </c>
      <c r="R445" s="17">
        <f t="shared" si="73"/>
        <v>0.10515391719915759</v>
      </c>
      <c r="S445" s="17">
        <f t="shared" si="74"/>
        <v>8.1983402808351494E-2</v>
      </c>
      <c r="T445" s="17">
        <f t="shared" si="75"/>
        <v>-0.2903642222785589</v>
      </c>
      <c r="U445" s="16">
        <v>37</v>
      </c>
      <c r="V445" s="16">
        <v>76</v>
      </c>
      <c r="W445" s="16">
        <v>125</v>
      </c>
      <c r="X445" s="16">
        <v>188</v>
      </c>
      <c r="Y445" s="15">
        <v>0.432</v>
      </c>
      <c r="Z445" s="15">
        <v>0.55500000000000005</v>
      </c>
      <c r="AA445" s="15">
        <v>0.67500000000000004</v>
      </c>
      <c r="AB445" s="15">
        <v>0.77</v>
      </c>
      <c r="AC445" s="3">
        <f t="shared" si="81"/>
        <v>-0.15806738547151727</v>
      </c>
      <c r="AD445" s="3">
        <f t="shared" si="82"/>
        <v>-0.12496031454250377</v>
      </c>
      <c r="AE445" s="3">
        <f t="shared" si="83"/>
        <v>-3.5612069317252693E-2</v>
      </c>
      <c r="AF445" s="3">
        <f t="shared" si="84"/>
        <v>-5.4821169372488661E-2</v>
      </c>
    </row>
    <row r="446" spans="1:32" x14ac:dyDescent="0.2">
      <c r="A446" s="30">
        <v>444</v>
      </c>
      <c r="B446" s="9" t="s">
        <v>1335</v>
      </c>
      <c r="C446" s="12">
        <v>478286</v>
      </c>
      <c r="D446" s="13" t="s">
        <v>445</v>
      </c>
      <c r="E446" s="17">
        <v>106.395587574</v>
      </c>
      <c r="F446" s="17">
        <v>20.1755838449</v>
      </c>
      <c r="G446" s="14">
        <v>1845</v>
      </c>
      <c r="H446" s="17">
        <v>23.03</v>
      </c>
      <c r="I446" s="17">
        <v>24.73</v>
      </c>
      <c r="J446" s="17">
        <v>25.99</v>
      </c>
      <c r="K446" s="17">
        <v>26.59</v>
      </c>
      <c r="L446" s="17">
        <v>28.39</v>
      </c>
      <c r="M446" s="17">
        <f t="shared" si="76"/>
        <v>1.6999999999999993</v>
      </c>
      <c r="N446" s="17">
        <f t="shared" si="77"/>
        <v>2.9599999999999973</v>
      </c>
      <c r="O446" s="17">
        <f t="shared" si="78"/>
        <v>3.5599999999999987</v>
      </c>
      <c r="P446" s="17">
        <f t="shared" si="79"/>
        <v>5.3599999999999994</v>
      </c>
      <c r="Q446" s="17">
        <f t="shared" si="80"/>
        <v>1.0220621852926879</v>
      </c>
      <c r="R446" s="17">
        <f t="shared" si="73"/>
        <v>1.2032841860929158</v>
      </c>
      <c r="S446" s="17">
        <f t="shared" si="74"/>
        <v>9.3595946644731226E-2</v>
      </c>
      <c r="T446" s="17">
        <f t="shared" si="75"/>
        <v>0.63071519622830408</v>
      </c>
      <c r="U446" s="16">
        <v>34</v>
      </c>
      <c r="V446" s="16">
        <v>69</v>
      </c>
      <c r="W446" s="16">
        <v>97</v>
      </c>
      <c r="X446" s="16">
        <v>130</v>
      </c>
      <c r="Y446" s="15">
        <v>0.42199999999999999</v>
      </c>
      <c r="Z446" s="15">
        <v>0.55600000000000005</v>
      </c>
      <c r="AA446" s="15">
        <v>0.66600000000000004</v>
      </c>
      <c r="AB446" s="15">
        <v>0.76400000000000001</v>
      </c>
      <c r="AC446" s="3">
        <f t="shared" si="81"/>
        <v>-0.25047414670313134</v>
      </c>
      <c r="AD446" s="3">
        <f t="shared" si="82"/>
        <v>-0.1159868999820839</v>
      </c>
      <c r="AE446" s="3">
        <f t="shared" si="83"/>
        <v>-0.1097113018626608</v>
      </c>
      <c r="AF446" s="3">
        <f t="shared" si="84"/>
        <v>-0.10410849340248685</v>
      </c>
    </row>
    <row r="447" spans="1:32" x14ac:dyDescent="0.2">
      <c r="A447" s="30">
        <v>445</v>
      </c>
      <c r="B447" s="9" t="s">
        <v>1143</v>
      </c>
      <c r="C447" s="12">
        <v>478638</v>
      </c>
      <c r="D447" s="13" t="s">
        <v>446</v>
      </c>
      <c r="E447" s="17">
        <v>7.5919607641300004</v>
      </c>
      <c r="F447" s="17">
        <v>54.115377147799997</v>
      </c>
      <c r="G447" s="14">
        <v>23614</v>
      </c>
      <c r="H447" s="17">
        <v>10.199999999999999</v>
      </c>
      <c r="I447" s="17">
        <v>10.16</v>
      </c>
      <c r="J447" s="17">
        <v>11.62</v>
      </c>
      <c r="K447" s="17">
        <v>13.56</v>
      </c>
      <c r="L447" s="17">
        <v>14.73</v>
      </c>
      <c r="M447" s="17">
        <f t="shared" si="76"/>
        <v>-3.9999999999999147E-2</v>
      </c>
      <c r="N447" s="17">
        <f t="shared" si="77"/>
        <v>1.42</v>
      </c>
      <c r="O447" s="17">
        <f t="shared" si="78"/>
        <v>3.3600000000000012</v>
      </c>
      <c r="P447" s="17">
        <f t="shared" si="79"/>
        <v>4.5300000000000011</v>
      </c>
      <c r="Q447" s="17">
        <f t="shared" si="80"/>
        <v>-1.0979008124096177</v>
      </c>
      <c r="R447" s="17">
        <f t="shared" si="73"/>
        <v>-0.96481916531271239</v>
      </c>
      <c r="S447" s="17">
        <f t="shared" si="74"/>
        <v>-0.13865493008290672</v>
      </c>
      <c r="T447" s="17">
        <f t="shared" si="75"/>
        <v>-0.20939020746477016</v>
      </c>
      <c r="U447" s="16">
        <v>759</v>
      </c>
      <c r="V447" s="16">
        <v>1581</v>
      </c>
      <c r="W447" s="16">
        <v>1629</v>
      </c>
      <c r="X447" s="16">
        <v>2353</v>
      </c>
      <c r="Y447" s="15">
        <v>0.47599999999999998</v>
      </c>
      <c r="Z447" s="15">
        <v>0.60599999999999998</v>
      </c>
      <c r="AA447" s="15">
        <v>0.69599999999999995</v>
      </c>
      <c r="AB447" s="15">
        <v>0.81200000000000006</v>
      </c>
      <c r="AC447" s="3">
        <f t="shared" si="81"/>
        <v>0.24852236394758417</v>
      </c>
      <c r="AD447" s="3">
        <f t="shared" si="82"/>
        <v>0.33268382803890773</v>
      </c>
      <c r="AE447" s="3">
        <f t="shared" si="83"/>
        <v>0.13728613995536532</v>
      </c>
      <c r="AF447" s="3">
        <f t="shared" si="84"/>
        <v>0.29019009883749863</v>
      </c>
    </row>
    <row r="448" spans="1:32" x14ac:dyDescent="0.2">
      <c r="A448" s="30">
        <v>446</v>
      </c>
      <c r="B448" s="9" t="s">
        <v>1144</v>
      </c>
      <c r="C448" s="12">
        <v>900008</v>
      </c>
      <c r="D448" s="13" t="s">
        <v>447</v>
      </c>
      <c r="E448" s="17">
        <v>14.8773381302</v>
      </c>
      <c r="F448" s="17">
        <v>38.556946427699998</v>
      </c>
      <c r="G448" s="14">
        <v>54</v>
      </c>
      <c r="H448" s="17">
        <v>17.54</v>
      </c>
      <c r="I448" s="17">
        <v>18.61</v>
      </c>
      <c r="J448" s="17">
        <v>20.11</v>
      </c>
      <c r="K448" s="17">
        <v>21.71</v>
      </c>
      <c r="L448" s="17">
        <v>23.22</v>
      </c>
      <c r="M448" s="17">
        <f t="shared" si="76"/>
        <v>1.0700000000000003</v>
      </c>
      <c r="N448" s="17">
        <f t="shared" si="77"/>
        <v>2.5700000000000003</v>
      </c>
      <c r="O448" s="17">
        <f t="shared" si="78"/>
        <v>4.1700000000000017</v>
      </c>
      <c r="P448" s="17">
        <f t="shared" si="79"/>
        <v>5.68</v>
      </c>
      <c r="Q448" s="17">
        <f t="shared" si="80"/>
        <v>0.25448937577978464</v>
      </c>
      <c r="R448" s="17">
        <f t="shared" si="73"/>
        <v>0.65421905164603922</v>
      </c>
      <c r="S448" s="17">
        <f t="shared" si="74"/>
        <v>0.80196112066403924</v>
      </c>
      <c r="T448" s="17">
        <f t="shared" si="75"/>
        <v>0.95461125548346615</v>
      </c>
      <c r="U448" s="16">
        <v>1</v>
      </c>
      <c r="V448" s="16">
        <v>1</v>
      </c>
      <c r="W448" s="16">
        <v>1</v>
      </c>
      <c r="X448" s="16">
        <v>1</v>
      </c>
      <c r="Y448" s="15">
        <v>0.45600000000000002</v>
      </c>
      <c r="Z448" s="15">
        <v>0.57799999999999996</v>
      </c>
      <c r="AA448" s="15">
        <v>0.68</v>
      </c>
      <c r="AB448" s="15">
        <v>0.78400000000000003</v>
      </c>
      <c r="AC448" s="3">
        <f t="shared" si="81"/>
        <v>6.3708841484356515E-2</v>
      </c>
      <c r="AD448" s="3">
        <f t="shared" si="82"/>
        <v>8.1428220347151858E-2</v>
      </c>
      <c r="AE448" s="3">
        <f t="shared" si="83"/>
        <v>5.5541709857518133E-3</v>
      </c>
      <c r="AF448" s="3">
        <f t="shared" si="84"/>
        <v>6.0182586697507104E-2</v>
      </c>
    </row>
    <row r="449" spans="1:32" x14ac:dyDescent="0.2">
      <c r="A449" s="30">
        <v>447</v>
      </c>
      <c r="B449" s="9" t="s">
        <v>1336</v>
      </c>
      <c r="C449" s="12">
        <v>900560</v>
      </c>
      <c r="D449" s="13" t="s">
        <v>448</v>
      </c>
      <c r="E449" s="17">
        <v>121.48299682</v>
      </c>
      <c r="F449" s="17">
        <v>-33.801492966799998</v>
      </c>
      <c r="G449" s="14">
        <v>29</v>
      </c>
      <c r="H449" s="17">
        <v>16.28</v>
      </c>
      <c r="I449" s="17">
        <v>18.95</v>
      </c>
      <c r="J449" s="17">
        <v>19.25</v>
      </c>
      <c r="K449" s="17">
        <v>20.45</v>
      </c>
      <c r="L449" s="17">
        <v>21.46</v>
      </c>
      <c r="M449" s="17">
        <f t="shared" si="76"/>
        <v>2.6699999999999982</v>
      </c>
      <c r="N449" s="17">
        <f t="shared" si="77"/>
        <v>2.9699999999999989</v>
      </c>
      <c r="O449" s="17">
        <f t="shared" si="78"/>
        <v>4.1699999999999982</v>
      </c>
      <c r="P449" s="17">
        <f t="shared" si="79"/>
        <v>5.18</v>
      </c>
      <c r="Q449" s="17">
        <f t="shared" si="80"/>
        <v>2.2038806380347773</v>
      </c>
      <c r="R449" s="17">
        <f t="shared" si="73"/>
        <v>1.2173627792838637</v>
      </c>
      <c r="S449" s="17">
        <f t="shared" si="74"/>
        <v>0.80196112066403502</v>
      </c>
      <c r="T449" s="17">
        <f t="shared" si="75"/>
        <v>0.4485236628972758</v>
      </c>
      <c r="U449" s="16">
        <v>2</v>
      </c>
      <c r="V449" s="16">
        <v>2</v>
      </c>
      <c r="W449" s="16">
        <v>2</v>
      </c>
      <c r="X449" s="16">
        <v>2</v>
      </c>
      <c r="Y449" s="15">
        <v>0.44800000000000001</v>
      </c>
      <c r="Z449" s="15">
        <v>0.55500000000000005</v>
      </c>
      <c r="AA449" s="15">
        <v>0.67400000000000004</v>
      </c>
      <c r="AB449" s="15">
        <v>0.74399999999999999</v>
      </c>
      <c r="AC449" s="3">
        <f t="shared" si="81"/>
        <v>-1.0216567500934746E-2</v>
      </c>
      <c r="AD449" s="3">
        <f t="shared" si="82"/>
        <v>-0.12496031454250377</v>
      </c>
      <c r="AE449" s="3">
        <f t="shared" si="83"/>
        <v>-4.384531737785359E-2</v>
      </c>
      <c r="AF449" s="3">
        <f t="shared" si="84"/>
        <v>-0.26839957350248078</v>
      </c>
    </row>
    <row r="450" spans="1:32" x14ac:dyDescent="0.2">
      <c r="A450" s="30">
        <v>448</v>
      </c>
      <c r="B450" s="9" t="s">
        <v>1145</v>
      </c>
      <c r="C450" s="12">
        <v>900570</v>
      </c>
      <c r="D450" s="13" t="s">
        <v>449</v>
      </c>
      <c r="E450" s="17">
        <v>33.611653565300003</v>
      </c>
      <c r="F450" s="17">
        <v>34.894370663300002</v>
      </c>
      <c r="G450" s="14">
        <v>12</v>
      </c>
      <c r="H450" s="17">
        <v>19.47</v>
      </c>
      <c r="I450" s="17">
        <v>21.58</v>
      </c>
      <c r="J450" s="17">
        <v>21.72</v>
      </c>
      <c r="K450" s="17">
        <v>22.67</v>
      </c>
      <c r="L450" s="17">
        <v>25.06</v>
      </c>
      <c r="M450" s="17">
        <f t="shared" si="76"/>
        <v>2.1099999999999994</v>
      </c>
      <c r="N450" s="17">
        <f t="shared" si="77"/>
        <v>2.25</v>
      </c>
      <c r="O450" s="17">
        <f t="shared" si="78"/>
        <v>3.2000000000000028</v>
      </c>
      <c r="P450" s="17">
        <f t="shared" si="79"/>
        <v>5.59</v>
      </c>
      <c r="Q450" s="17">
        <f t="shared" si="80"/>
        <v>1.5215936962455305</v>
      </c>
      <c r="R450" s="17">
        <f t="shared" si="73"/>
        <v>0.20370406953577763</v>
      </c>
      <c r="S450" s="17">
        <f t="shared" si="74"/>
        <v>-0.32445563146501749</v>
      </c>
      <c r="T450" s="17">
        <f t="shared" si="75"/>
        <v>0.86351548881795204</v>
      </c>
      <c r="U450" s="16">
        <v>5</v>
      </c>
      <c r="V450" s="16">
        <v>6</v>
      </c>
      <c r="W450" s="16">
        <v>7</v>
      </c>
      <c r="X450" s="16">
        <v>7</v>
      </c>
      <c r="Y450" s="15">
        <v>0.45100000000000001</v>
      </c>
      <c r="Z450" s="15">
        <v>0.56699999999999995</v>
      </c>
      <c r="AA450" s="15">
        <v>0.68200000000000005</v>
      </c>
      <c r="AB450" s="15">
        <v>0.79200000000000004</v>
      </c>
      <c r="AC450" s="3">
        <f t="shared" si="81"/>
        <v>1.7505460868549479E-2</v>
      </c>
      <c r="AD450" s="3">
        <f t="shared" si="82"/>
        <v>-1.7279339817466523E-2</v>
      </c>
      <c r="AE450" s="3">
        <f t="shared" si="83"/>
        <v>2.2020667106953617E-2</v>
      </c>
      <c r="AF450" s="3">
        <f t="shared" si="84"/>
        <v>0.12589901873750467</v>
      </c>
    </row>
    <row r="451" spans="1:32" x14ac:dyDescent="0.2">
      <c r="A451" s="30">
        <v>449</v>
      </c>
      <c r="B451" s="9" t="s">
        <v>1465</v>
      </c>
      <c r="C451" s="12">
        <v>900574</v>
      </c>
      <c r="D451" s="13" t="s">
        <v>450</v>
      </c>
      <c r="E451" s="17">
        <v>7.3008411338499997</v>
      </c>
      <c r="F451" s="17">
        <v>36.8879536221</v>
      </c>
      <c r="G451" s="14">
        <v>11</v>
      </c>
      <c r="H451" s="17">
        <v>17.21</v>
      </c>
      <c r="I451" s="17">
        <v>18.64</v>
      </c>
      <c r="J451" s="17">
        <v>20.239999999999998</v>
      </c>
      <c r="K451" s="17">
        <v>21.66</v>
      </c>
      <c r="L451" s="17">
        <v>23.48</v>
      </c>
      <c r="M451" s="17">
        <f t="shared" si="76"/>
        <v>1.4299999999999997</v>
      </c>
      <c r="N451" s="17">
        <f t="shared" si="77"/>
        <v>3.0299999999999976</v>
      </c>
      <c r="O451" s="17">
        <f t="shared" si="78"/>
        <v>4.4499999999999993</v>
      </c>
      <c r="P451" s="17">
        <f t="shared" si="79"/>
        <v>6.27</v>
      </c>
      <c r="Q451" s="17">
        <f t="shared" si="80"/>
        <v>0.69310240978715787</v>
      </c>
      <c r="R451" s="17">
        <f t="shared" ref="R451:R514" si="85">(N451-N$764)/N$767</f>
        <v>1.3018343384295359</v>
      </c>
      <c r="S451" s="17">
        <f t="shared" ref="S451:S514" si="86">(O451-O$764)/O$767</f>
        <v>1.1271123480827336</v>
      </c>
      <c r="T451" s="17">
        <f t="shared" ref="T451:T514" si="87">(P451-P$764)/P$767</f>
        <v>1.5517946147351707</v>
      </c>
      <c r="U451" s="16">
        <v>2</v>
      </c>
      <c r="V451" s="16">
        <v>2</v>
      </c>
      <c r="W451" s="16">
        <v>2</v>
      </c>
      <c r="X451" s="16">
        <v>2</v>
      </c>
      <c r="Y451" s="15">
        <v>0.443</v>
      </c>
      <c r="Z451" s="15">
        <v>0.56000000000000005</v>
      </c>
      <c r="AA451" s="15">
        <v>0.66800000000000004</v>
      </c>
      <c r="AB451" s="15">
        <v>0.76800000000000002</v>
      </c>
      <c r="AC451" s="3">
        <f t="shared" si="81"/>
        <v>-5.6419948116741787E-2</v>
      </c>
      <c r="AD451" s="3">
        <f t="shared" si="82"/>
        <v>-8.0093241740404497E-2</v>
      </c>
      <c r="AE451" s="3">
        <f t="shared" si="83"/>
        <v>-9.3244805741459005E-2</v>
      </c>
      <c r="AF451" s="3">
        <f t="shared" si="84"/>
        <v>-7.1250277382488056E-2</v>
      </c>
    </row>
    <row r="452" spans="1:32" x14ac:dyDescent="0.2">
      <c r="A452" s="30">
        <v>450</v>
      </c>
      <c r="B452" s="9" t="s">
        <v>1466</v>
      </c>
      <c r="C452" s="12">
        <v>900575</v>
      </c>
      <c r="D452" s="13" t="s">
        <v>451</v>
      </c>
      <c r="E452" s="17">
        <v>-0.101926125503</v>
      </c>
      <c r="F452" s="17">
        <v>35.649551005500001</v>
      </c>
      <c r="G452" s="14">
        <v>28</v>
      </c>
      <c r="H452" s="17">
        <v>18.940000000000001</v>
      </c>
      <c r="I452" s="17">
        <v>19.05</v>
      </c>
      <c r="J452" s="17">
        <v>20.7</v>
      </c>
      <c r="K452" s="17">
        <v>21.73</v>
      </c>
      <c r="L452" s="17">
        <v>23.61</v>
      </c>
      <c r="M452" s="17">
        <f t="shared" ref="M452:M515" si="88">I452-H452</f>
        <v>0.10999999999999943</v>
      </c>
      <c r="N452" s="17">
        <f t="shared" ref="N452:N515" si="89">J452-H452</f>
        <v>1.759999999999998</v>
      </c>
      <c r="O452" s="17">
        <f t="shared" ref="O452:O515" si="90">K452-H452</f>
        <v>2.7899999999999991</v>
      </c>
      <c r="P452" s="17">
        <f t="shared" ref="P452:P515" si="91">L452-H452</f>
        <v>4.6699999999999982</v>
      </c>
      <c r="Q452" s="17">
        <f t="shared" ref="Q452:Q515" si="92">(M452-M$764)/M$767</f>
        <v>-0.91514538157321368</v>
      </c>
      <c r="R452" s="17">
        <f t="shared" si="85"/>
        <v>-0.48614699682056256</v>
      </c>
      <c r="S452" s="17">
        <f t="shared" si="86"/>
        <v>-0.80056992875668542</v>
      </c>
      <c r="T452" s="17">
        <f t="shared" si="87"/>
        <v>-6.7685681540639892E-2</v>
      </c>
      <c r="U452" s="16">
        <v>0</v>
      </c>
      <c r="V452" s="16">
        <v>0</v>
      </c>
      <c r="W452" s="16">
        <v>0</v>
      </c>
      <c r="X452" s="16">
        <v>1</v>
      </c>
      <c r="Y452" s="15">
        <v>0.44900000000000001</v>
      </c>
      <c r="Z452" s="15">
        <v>0.56399999999999995</v>
      </c>
      <c r="AA452" s="15">
        <v>0.67500000000000004</v>
      </c>
      <c r="AB452" s="15">
        <v>0.76900000000000002</v>
      </c>
      <c r="AC452" s="3">
        <f t="shared" ref="AC452:AC515" si="93">(Y452-Y$764)/Y$767</f>
        <v>-9.7589137777333735E-4</v>
      </c>
      <c r="AD452" s="3">
        <f t="shared" ref="AD452:AD515" si="94">(Z452-Z$764)/Z$767</f>
        <v>-4.4199583498726082E-2</v>
      </c>
      <c r="AE452" s="3">
        <f t="shared" ref="AE452:AE515" si="95">(AA452-AA$764)/AA$767</f>
        <v>-3.5612069317252693E-2</v>
      </c>
      <c r="AF452" s="3">
        <f t="shared" ref="AF452:AF515" si="96">(AB452-AB$764)/AB$767</f>
        <v>-6.3035723377488362E-2</v>
      </c>
    </row>
    <row r="453" spans="1:32" x14ac:dyDescent="0.2">
      <c r="A453" s="30">
        <v>451</v>
      </c>
      <c r="B453" s="9" t="s">
        <v>846</v>
      </c>
      <c r="C453" s="12">
        <v>900582</v>
      </c>
      <c r="D453" s="13" t="s">
        <v>452</v>
      </c>
      <c r="E453" s="17">
        <v>-59.094405958499998</v>
      </c>
      <c r="F453" s="17">
        <v>-52.433669100300001</v>
      </c>
      <c r="G453" s="14">
        <v>73</v>
      </c>
      <c r="H453" s="17">
        <v>6.63</v>
      </c>
      <c r="I453" s="17">
        <v>8.2200000000000006</v>
      </c>
      <c r="J453" s="17">
        <v>9.34</v>
      </c>
      <c r="K453" s="17">
        <v>9.7100000000000009</v>
      </c>
      <c r="L453" s="17">
        <v>10.75</v>
      </c>
      <c r="M453" s="17">
        <f t="shared" si="88"/>
        <v>1.5900000000000007</v>
      </c>
      <c r="N453" s="17">
        <f t="shared" si="89"/>
        <v>2.71</v>
      </c>
      <c r="O453" s="17">
        <f t="shared" si="90"/>
        <v>3.080000000000001</v>
      </c>
      <c r="P453" s="17">
        <f t="shared" si="91"/>
        <v>4.12</v>
      </c>
      <c r="Q453" s="17">
        <f t="shared" si="92"/>
        <v>0.88804153601265867</v>
      </c>
      <c r="R453" s="17">
        <f t="shared" si="85"/>
        <v>0.85131935631927802</v>
      </c>
      <c r="S453" s="17">
        <f t="shared" si="86"/>
        <v>-0.46380615750160414</v>
      </c>
      <c r="T453" s="17">
        <f t="shared" si="87"/>
        <v>-0.62438203338544729</v>
      </c>
      <c r="U453" s="16">
        <v>0</v>
      </c>
      <c r="V453" s="16">
        <v>1</v>
      </c>
      <c r="W453" s="16">
        <v>3</v>
      </c>
      <c r="X453" s="16">
        <v>4</v>
      </c>
      <c r="Y453" s="15">
        <v>0.32200000000000001</v>
      </c>
      <c r="Z453" s="15">
        <v>0.432</v>
      </c>
      <c r="AA453" s="15">
        <v>0.54400000000000004</v>
      </c>
      <c r="AB453" s="15">
        <v>0.622</v>
      </c>
      <c r="AC453" s="3">
        <f t="shared" si="93"/>
        <v>-1.1745417590192713</v>
      </c>
      <c r="AD453" s="3">
        <f t="shared" si="94"/>
        <v>-1.2286903054741452</v>
      </c>
      <c r="AE453" s="3">
        <f t="shared" si="95"/>
        <v>-1.1141675652559697</v>
      </c>
      <c r="AF453" s="3">
        <f t="shared" si="96"/>
        <v>-1.270575162112443</v>
      </c>
    </row>
    <row r="454" spans="1:32" x14ac:dyDescent="0.2">
      <c r="A454" s="30">
        <v>452</v>
      </c>
      <c r="B454" s="9" t="s">
        <v>847</v>
      </c>
      <c r="C454" s="12">
        <v>900583</v>
      </c>
      <c r="D454" s="13" t="s">
        <v>453</v>
      </c>
      <c r="E454" s="17">
        <v>-58.406389900199997</v>
      </c>
      <c r="F454" s="17">
        <v>-51.909348771700003</v>
      </c>
      <c r="G454" s="14">
        <v>54</v>
      </c>
      <c r="H454" s="17">
        <v>5.87</v>
      </c>
      <c r="I454" s="17">
        <v>7.52</v>
      </c>
      <c r="J454" s="17">
        <v>8.7200000000000006</v>
      </c>
      <c r="K454" s="17">
        <v>9.07</v>
      </c>
      <c r="L454" s="17">
        <v>10.119999999999999</v>
      </c>
      <c r="M454" s="17">
        <f t="shared" si="88"/>
        <v>1.6499999999999995</v>
      </c>
      <c r="N454" s="17">
        <f t="shared" si="89"/>
        <v>2.8500000000000005</v>
      </c>
      <c r="O454" s="17">
        <f t="shared" si="90"/>
        <v>3.2</v>
      </c>
      <c r="P454" s="17">
        <f t="shared" si="91"/>
        <v>4.2499999999999991</v>
      </c>
      <c r="Q454" s="17">
        <f t="shared" si="92"/>
        <v>0.96114370834721952</v>
      </c>
      <c r="R454" s="17">
        <f t="shared" si="85"/>
        <v>1.048419660992518</v>
      </c>
      <c r="S454" s="17">
        <f t="shared" si="86"/>
        <v>-0.32445563146502054</v>
      </c>
      <c r="T454" s="17">
        <f t="shared" si="87"/>
        <v>-0.49279925931303881</v>
      </c>
      <c r="U454" s="16">
        <v>0</v>
      </c>
      <c r="V454" s="16">
        <v>0</v>
      </c>
      <c r="W454" s="16">
        <v>3</v>
      </c>
      <c r="X454" s="16">
        <v>3</v>
      </c>
      <c r="Y454" s="15">
        <v>0.32650000000000001</v>
      </c>
      <c r="Z454" s="15">
        <v>0.436</v>
      </c>
      <c r="AA454" s="15">
        <v>0.55000000000000004</v>
      </c>
      <c r="AB454" s="15">
        <v>0.62949999999999995</v>
      </c>
      <c r="AC454" s="3">
        <f t="shared" si="93"/>
        <v>-1.1329587164650448</v>
      </c>
      <c r="AD454" s="3">
        <f t="shared" si="94"/>
        <v>-1.1927966472324658</v>
      </c>
      <c r="AE454" s="3">
        <f t="shared" si="95"/>
        <v>-1.0647680768923644</v>
      </c>
      <c r="AF454" s="3">
        <f t="shared" si="96"/>
        <v>-1.2089660070749457</v>
      </c>
    </row>
    <row r="455" spans="1:32" x14ac:dyDescent="0.2">
      <c r="A455" s="30">
        <v>453</v>
      </c>
      <c r="B455" s="9" t="s">
        <v>1146</v>
      </c>
      <c r="C455" s="12">
        <v>900585</v>
      </c>
      <c r="D455" s="13" t="s">
        <v>454</v>
      </c>
      <c r="E455" s="17">
        <v>-6.3287314602400002</v>
      </c>
      <c r="F455" s="17">
        <v>49.944105194000002</v>
      </c>
      <c r="G455" s="14">
        <v>41</v>
      </c>
      <c r="H455" s="17">
        <v>12.62</v>
      </c>
      <c r="I455" s="17">
        <v>12.2</v>
      </c>
      <c r="J455" s="17">
        <v>13.45</v>
      </c>
      <c r="K455" s="17">
        <v>14.54</v>
      </c>
      <c r="L455" s="17">
        <v>15.9</v>
      </c>
      <c r="M455" s="17">
        <f t="shared" si="88"/>
        <v>-0.41999999999999993</v>
      </c>
      <c r="N455" s="17">
        <f t="shared" si="89"/>
        <v>0.83000000000000007</v>
      </c>
      <c r="O455" s="17">
        <f t="shared" si="90"/>
        <v>1.92</v>
      </c>
      <c r="P455" s="17">
        <f t="shared" si="91"/>
        <v>3.2800000000000011</v>
      </c>
      <c r="Q455" s="17">
        <f t="shared" si="92"/>
        <v>-1.5608812371951801</v>
      </c>
      <c r="R455" s="17">
        <f t="shared" si="85"/>
        <v>-1.7954561635785062</v>
      </c>
      <c r="S455" s="17">
        <f t="shared" si="86"/>
        <v>-1.8108612425219222</v>
      </c>
      <c r="T455" s="17">
        <f t="shared" si="87"/>
        <v>-1.474609188930246</v>
      </c>
      <c r="U455" s="16">
        <v>0</v>
      </c>
      <c r="V455" s="16">
        <v>0</v>
      </c>
      <c r="W455" s="16">
        <v>0</v>
      </c>
      <c r="X455" s="16">
        <v>1</v>
      </c>
      <c r="Y455" s="15">
        <v>0.45850000000000002</v>
      </c>
      <c r="Z455" s="15">
        <v>0.57450000000000001</v>
      </c>
      <c r="AA455" s="15">
        <v>0.66700000000000004</v>
      </c>
      <c r="AB455" s="15">
        <v>0.76400000000000001</v>
      </c>
      <c r="AC455" s="3">
        <f t="shared" si="93"/>
        <v>8.6810531792260046E-2</v>
      </c>
      <c r="AD455" s="3">
        <f t="shared" si="94"/>
        <v>5.0021269385682875E-2</v>
      </c>
      <c r="AE455" s="3">
        <f t="shared" si="95"/>
        <v>-0.1014780538020599</v>
      </c>
      <c r="AF455" s="3">
        <f t="shared" si="96"/>
        <v>-0.10410849340248685</v>
      </c>
    </row>
    <row r="456" spans="1:32" x14ac:dyDescent="0.2">
      <c r="A456" s="30">
        <v>454</v>
      </c>
      <c r="B456" s="9" t="s">
        <v>1147</v>
      </c>
      <c r="C456" s="12">
        <v>900586</v>
      </c>
      <c r="D456" s="13" t="s">
        <v>455</v>
      </c>
      <c r="E456" s="17">
        <v>-2.0390585832400001</v>
      </c>
      <c r="F456" s="17">
        <v>49.161627932099996</v>
      </c>
      <c r="G456" s="14">
        <v>78</v>
      </c>
      <c r="H456" s="17">
        <v>13.2</v>
      </c>
      <c r="I456" s="17">
        <v>12.5</v>
      </c>
      <c r="J456" s="17">
        <v>14.05</v>
      </c>
      <c r="K456" s="17">
        <v>15.49</v>
      </c>
      <c r="L456" s="17">
        <v>16.82</v>
      </c>
      <c r="M456" s="17">
        <f t="shared" si="88"/>
        <v>-0.69999999999999929</v>
      </c>
      <c r="N456" s="17">
        <f t="shared" si="89"/>
        <v>0.85000000000000142</v>
      </c>
      <c r="O456" s="17">
        <f t="shared" si="90"/>
        <v>2.2900000000000009</v>
      </c>
      <c r="P456" s="17">
        <f t="shared" si="91"/>
        <v>3.620000000000001</v>
      </c>
      <c r="Q456" s="17">
        <f t="shared" si="92"/>
        <v>-1.9020247080898036</v>
      </c>
      <c r="R456" s="17">
        <f t="shared" si="85"/>
        <v>-1.767298977196613</v>
      </c>
      <c r="S456" s="17">
        <f t="shared" si="86"/>
        <v>-1.3811971205757854</v>
      </c>
      <c r="T456" s="17">
        <f t="shared" si="87"/>
        <v>-1.1304696259716367</v>
      </c>
      <c r="U456" s="16">
        <v>0</v>
      </c>
      <c r="V456" s="16">
        <v>0</v>
      </c>
      <c r="W456" s="16">
        <v>0</v>
      </c>
      <c r="X456" s="16">
        <v>0</v>
      </c>
      <c r="Y456" s="15">
        <v>0.41333333333299999</v>
      </c>
      <c r="Z456" s="15">
        <v>0.53166666666700002</v>
      </c>
      <c r="AA456" s="15">
        <v>0.62733333333300001</v>
      </c>
      <c r="AB456" s="15">
        <v>0.72699999999999998</v>
      </c>
      <c r="AC456" s="3">
        <f t="shared" si="93"/>
        <v>-0.33056000644027705</v>
      </c>
      <c r="AD456" s="3">
        <f t="shared" si="94"/>
        <v>-0.33433998761597594</v>
      </c>
      <c r="AE456" s="3">
        <f t="shared" si="95"/>
        <v>-0.42806356020864</v>
      </c>
      <c r="AF456" s="3">
        <f t="shared" si="96"/>
        <v>-0.40804699158747565</v>
      </c>
    </row>
    <row r="457" spans="1:32" x14ac:dyDescent="0.2">
      <c r="A457" s="30">
        <v>455</v>
      </c>
      <c r="B457" s="9" t="s">
        <v>848</v>
      </c>
      <c r="C457" s="12">
        <v>900594</v>
      </c>
      <c r="D457" s="13" t="s">
        <v>456</v>
      </c>
      <c r="E457" s="17">
        <v>-88.554333584700004</v>
      </c>
      <c r="F457" s="17">
        <v>21.4905384411</v>
      </c>
      <c r="G457" s="14">
        <v>375</v>
      </c>
      <c r="H457" s="17">
        <v>25.61</v>
      </c>
      <c r="I457" s="17">
        <v>26.37</v>
      </c>
      <c r="J457" s="17">
        <v>27.23</v>
      </c>
      <c r="K457" s="17">
        <v>28.67</v>
      </c>
      <c r="L457" s="17">
        <v>29.62</v>
      </c>
      <c r="M457" s="17">
        <f t="shared" si="88"/>
        <v>0.76000000000000156</v>
      </c>
      <c r="N457" s="17">
        <f t="shared" si="89"/>
        <v>1.620000000000001</v>
      </c>
      <c r="O457" s="17">
        <f t="shared" si="90"/>
        <v>3.0600000000000023</v>
      </c>
      <c r="P457" s="17">
        <f t="shared" si="91"/>
        <v>4.0100000000000016</v>
      </c>
      <c r="Q457" s="17">
        <f t="shared" si="92"/>
        <v>-0.12320518128211919</v>
      </c>
      <c r="R457" s="17">
        <f t="shared" si="85"/>
        <v>-0.68324730149379764</v>
      </c>
      <c r="S457" s="17">
        <f t="shared" si="86"/>
        <v>-0.48703124517436669</v>
      </c>
      <c r="T457" s="17">
        <f t="shared" si="87"/>
        <v>-0.7357213037544077</v>
      </c>
      <c r="U457" s="16">
        <v>20</v>
      </c>
      <c r="V457" s="16">
        <v>21</v>
      </c>
      <c r="W457" s="16">
        <v>24</v>
      </c>
      <c r="X457" s="16">
        <v>24</v>
      </c>
      <c r="Y457" s="15">
        <v>0.68600000000000005</v>
      </c>
      <c r="Z457" s="15">
        <v>0.80600000000000005</v>
      </c>
      <c r="AA457" s="15">
        <v>0.92500000000000004</v>
      </c>
      <c r="AB457" s="15">
        <v>1.018</v>
      </c>
      <c r="AC457" s="3">
        <f t="shared" si="93"/>
        <v>2.189064349811479</v>
      </c>
      <c r="AD457" s="3">
        <f t="shared" si="94"/>
        <v>2.1273667401228775</v>
      </c>
      <c r="AE457" s="3">
        <f t="shared" si="95"/>
        <v>2.0226999458329709</v>
      </c>
      <c r="AF457" s="3">
        <f t="shared" si="96"/>
        <v>1.9823882238674344</v>
      </c>
    </row>
    <row r="458" spans="1:32" x14ac:dyDescent="0.2">
      <c r="A458" s="30">
        <v>456</v>
      </c>
      <c r="B458" s="9" t="s">
        <v>1337</v>
      </c>
      <c r="C458" s="12">
        <v>900616</v>
      </c>
      <c r="D458" s="13" t="s">
        <v>457</v>
      </c>
      <c r="E458" s="17">
        <v>98.9748994606</v>
      </c>
      <c r="F458" s="17">
        <v>7.9253934613299997</v>
      </c>
      <c r="G458" s="14">
        <v>79</v>
      </c>
      <c r="H458" s="17">
        <v>26.24</v>
      </c>
      <c r="I458" s="17">
        <v>27.33</v>
      </c>
      <c r="J458" s="17">
        <v>28.61</v>
      </c>
      <c r="K458" s="17">
        <v>30.02</v>
      </c>
      <c r="L458" s="17">
        <v>31.03</v>
      </c>
      <c r="M458" s="17">
        <f t="shared" si="88"/>
        <v>1.0899999999999999</v>
      </c>
      <c r="N458" s="17">
        <f t="shared" si="89"/>
        <v>2.370000000000001</v>
      </c>
      <c r="O458" s="17">
        <f t="shared" si="90"/>
        <v>3.7800000000000011</v>
      </c>
      <c r="P458" s="17">
        <f t="shared" si="91"/>
        <v>4.7900000000000027</v>
      </c>
      <c r="Q458" s="17">
        <f t="shared" si="92"/>
        <v>0.27885676655797154</v>
      </c>
      <c r="R458" s="17">
        <f t="shared" si="85"/>
        <v>0.37264718782712697</v>
      </c>
      <c r="S458" s="17">
        <f t="shared" si="86"/>
        <v>0.34907191104513896</v>
      </c>
      <c r="T458" s="17">
        <f t="shared" si="87"/>
        <v>5.3775340680050389E-2</v>
      </c>
      <c r="U458" s="16">
        <v>1</v>
      </c>
      <c r="V458" s="16">
        <v>2</v>
      </c>
      <c r="W458" s="16">
        <v>2</v>
      </c>
      <c r="X458" s="16">
        <v>5</v>
      </c>
      <c r="Y458" s="15">
        <v>0.44600000000000001</v>
      </c>
      <c r="Z458" s="15">
        <v>0.55700000000000005</v>
      </c>
      <c r="AA458" s="15">
        <v>0.66900000000000004</v>
      </c>
      <c r="AB458" s="15">
        <v>0.77200000000000002</v>
      </c>
      <c r="AC458" s="3">
        <f t="shared" si="93"/>
        <v>-2.8697919747257564E-2</v>
      </c>
      <c r="AD458" s="3">
        <f t="shared" si="94"/>
        <v>-0.10701348542166406</v>
      </c>
      <c r="AE458" s="3">
        <f t="shared" si="95"/>
        <v>-8.5011557680858094E-2</v>
      </c>
      <c r="AF458" s="3">
        <f t="shared" si="96"/>
        <v>-3.8392061362489266E-2</v>
      </c>
    </row>
    <row r="459" spans="1:32" x14ac:dyDescent="0.2">
      <c r="A459" s="30">
        <v>457</v>
      </c>
      <c r="B459" s="9" t="s">
        <v>1338</v>
      </c>
      <c r="C459" s="12">
        <v>900617</v>
      </c>
      <c r="D459" s="13" t="s">
        <v>458</v>
      </c>
      <c r="E459" s="17">
        <v>100.036922807</v>
      </c>
      <c r="F459" s="17">
        <v>13.385142871799999</v>
      </c>
      <c r="G459" s="14">
        <v>28</v>
      </c>
      <c r="H459" s="17">
        <v>27.37</v>
      </c>
      <c r="I459" s="17">
        <v>28.2</v>
      </c>
      <c r="J459" s="17">
        <v>30.52</v>
      </c>
      <c r="K459" s="17">
        <v>32.06</v>
      </c>
      <c r="L459" s="17">
        <v>32.729999999999997</v>
      </c>
      <c r="M459" s="17">
        <f t="shared" si="88"/>
        <v>0.82999999999999829</v>
      </c>
      <c r="N459" s="17">
        <f t="shared" si="89"/>
        <v>3.1499999999999986</v>
      </c>
      <c r="O459" s="17">
        <f t="shared" si="90"/>
        <v>4.6900000000000013</v>
      </c>
      <c r="P459" s="17">
        <f t="shared" si="91"/>
        <v>5.3599999999999959</v>
      </c>
      <c r="Q459" s="17">
        <f t="shared" si="92"/>
        <v>-3.7919313558467116E-2</v>
      </c>
      <c r="R459" s="17">
        <f t="shared" si="85"/>
        <v>1.4707774567208851</v>
      </c>
      <c r="S459" s="17">
        <f t="shared" si="86"/>
        <v>1.4058134001559048</v>
      </c>
      <c r="T459" s="17">
        <f t="shared" si="87"/>
        <v>0.63071519622830041</v>
      </c>
      <c r="U459" s="16">
        <v>0</v>
      </c>
      <c r="V459" s="16">
        <v>0</v>
      </c>
      <c r="W459" s="16">
        <v>0</v>
      </c>
      <c r="X459" s="16">
        <v>0</v>
      </c>
      <c r="Y459" s="15">
        <v>0.42799999999999999</v>
      </c>
      <c r="Z459" s="15">
        <v>0.54200000000000004</v>
      </c>
      <c r="AA459" s="15">
        <v>0.65700000000000003</v>
      </c>
      <c r="AB459" s="15">
        <v>0.76100000000000001</v>
      </c>
      <c r="AC459" s="3">
        <f t="shared" si="93"/>
        <v>-0.19503008996416291</v>
      </c>
      <c r="AD459" s="3">
        <f t="shared" si="94"/>
        <v>-0.24161470382796185</v>
      </c>
      <c r="AE459" s="3">
        <f t="shared" si="95"/>
        <v>-0.18381053440806891</v>
      </c>
      <c r="AF459" s="3">
        <f t="shared" si="96"/>
        <v>-0.12875215541748594</v>
      </c>
    </row>
    <row r="460" spans="1:32" x14ac:dyDescent="0.2">
      <c r="A460" s="30">
        <v>458</v>
      </c>
      <c r="B460" s="9" t="s">
        <v>1339</v>
      </c>
      <c r="C460" s="12">
        <v>900629</v>
      </c>
      <c r="D460" s="13" t="s">
        <v>459</v>
      </c>
      <c r="E460" s="17">
        <v>136.195477829</v>
      </c>
      <c r="F460" s="17">
        <v>45.286040145599998</v>
      </c>
      <c r="G460" s="14">
        <v>141</v>
      </c>
      <c r="H460" s="17">
        <v>3.14</v>
      </c>
      <c r="I460" s="17">
        <v>4.08</v>
      </c>
      <c r="J460" s="17">
        <v>5.76</v>
      </c>
      <c r="K460" s="17">
        <v>7.25</v>
      </c>
      <c r="L460" s="17">
        <v>9.51</v>
      </c>
      <c r="M460" s="17">
        <f t="shared" si="88"/>
        <v>0.94</v>
      </c>
      <c r="N460" s="17">
        <f t="shared" si="89"/>
        <v>2.6199999999999997</v>
      </c>
      <c r="O460" s="17">
        <f t="shared" si="90"/>
        <v>4.1099999999999994</v>
      </c>
      <c r="P460" s="17">
        <f t="shared" si="91"/>
        <v>6.3699999999999992</v>
      </c>
      <c r="Q460" s="17">
        <f t="shared" si="92"/>
        <v>9.6101335721565831E-2</v>
      </c>
      <c r="R460" s="17">
        <f t="shared" si="85"/>
        <v>0.72461201760076666</v>
      </c>
      <c r="S460" s="17">
        <f t="shared" si="86"/>
        <v>0.73228585764574428</v>
      </c>
      <c r="T460" s="17">
        <f t="shared" si="87"/>
        <v>1.6530121332524084</v>
      </c>
      <c r="U460" s="16">
        <v>2</v>
      </c>
      <c r="V460" s="16">
        <v>4</v>
      </c>
      <c r="W460" s="16">
        <v>4</v>
      </c>
      <c r="X460" s="16">
        <v>4</v>
      </c>
      <c r="Y460" s="15">
        <v>0.41799999999999998</v>
      </c>
      <c r="Z460" s="15">
        <v>0.53</v>
      </c>
      <c r="AA460" s="15">
        <v>0.66600000000000004</v>
      </c>
      <c r="AB460" s="15">
        <v>0.76400000000000001</v>
      </c>
      <c r="AC460" s="3">
        <f t="shared" si="93"/>
        <v>-0.287436851195777</v>
      </c>
      <c r="AD460" s="3">
        <f t="shared" si="94"/>
        <v>-0.34929567855300009</v>
      </c>
      <c r="AE460" s="3">
        <f t="shared" si="95"/>
        <v>-0.1097113018626608</v>
      </c>
      <c r="AF460" s="3">
        <f t="shared" si="96"/>
        <v>-0.10410849340248685</v>
      </c>
    </row>
    <row r="461" spans="1:32" x14ac:dyDescent="0.2">
      <c r="A461" s="30">
        <v>459</v>
      </c>
      <c r="B461" s="9" t="s">
        <v>1148</v>
      </c>
      <c r="C461" s="12">
        <v>900632</v>
      </c>
      <c r="D461" s="13" t="s">
        <v>460</v>
      </c>
      <c r="E461" s="17">
        <v>-2.6718942543300002</v>
      </c>
      <c r="F461" s="17">
        <v>50.6462952356</v>
      </c>
      <c r="G461" s="14">
        <v>172</v>
      </c>
      <c r="H461" s="17">
        <v>11.46</v>
      </c>
      <c r="I461" s="17">
        <v>10.9</v>
      </c>
      <c r="J461" s="17">
        <v>12.28</v>
      </c>
      <c r="K461" s="17">
        <v>14.08</v>
      </c>
      <c r="L461" s="17">
        <v>15.33</v>
      </c>
      <c r="M461" s="17">
        <f t="shared" si="88"/>
        <v>-0.5600000000000005</v>
      </c>
      <c r="N461" s="17">
        <f t="shared" si="89"/>
        <v>0.81999999999999851</v>
      </c>
      <c r="O461" s="17">
        <f t="shared" si="90"/>
        <v>2.6199999999999992</v>
      </c>
      <c r="P461" s="17">
        <f t="shared" si="91"/>
        <v>3.8699999999999992</v>
      </c>
      <c r="Q461" s="17">
        <f t="shared" si="92"/>
        <v>-1.731452972642493</v>
      </c>
      <c r="R461" s="17">
        <f t="shared" si="85"/>
        <v>-1.809534756769454</v>
      </c>
      <c r="S461" s="17">
        <f t="shared" si="86"/>
        <v>-0.9979831739751801</v>
      </c>
      <c r="T461" s="17">
        <f t="shared" si="87"/>
        <v>-0.87742582967854332</v>
      </c>
      <c r="U461" s="16">
        <v>5</v>
      </c>
      <c r="V461" s="16">
        <v>6</v>
      </c>
      <c r="W461" s="16">
        <v>6</v>
      </c>
      <c r="X461" s="16">
        <v>6</v>
      </c>
      <c r="Y461" s="15">
        <v>0.43049999999999999</v>
      </c>
      <c r="Z461" s="15">
        <v>0.54700000000000004</v>
      </c>
      <c r="AA461" s="15">
        <v>0.63800000000000001</v>
      </c>
      <c r="AB461" s="15">
        <v>0.73550000000000004</v>
      </c>
      <c r="AC461" s="3">
        <f t="shared" si="93"/>
        <v>-0.17192839965625939</v>
      </c>
      <c r="AD461" s="3">
        <f t="shared" si="94"/>
        <v>-0.1967476310258626</v>
      </c>
      <c r="AE461" s="3">
        <f t="shared" si="95"/>
        <v>-0.34024224755948601</v>
      </c>
      <c r="AF461" s="3">
        <f t="shared" si="96"/>
        <v>-0.33822328254497774</v>
      </c>
    </row>
    <row r="462" spans="1:32" x14ac:dyDescent="0.2">
      <c r="A462" s="30">
        <v>460</v>
      </c>
      <c r="B462" s="9" t="s">
        <v>1149</v>
      </c>
      <c r="C462" s="12">
        <v>900634</v>
      </c>
      <c r="D462" s="13" t="s">
        <v>461</v>
      </c>
      <c r="E462" s="17">
        <v>-3.2579719650599999</v>
      </c>
      <c r="F462" s="17">
        <v>56.035675032299999</v>
      </c>
      <c r="G462" s="14">
        <v>268</v>
      </c>
      <c r="H462" s="17">
        <v>7.26</v>
      </c>
      <c r="I462" s="17">
        <v>7.66</v>
      </c>
      <c r="J462" s="17">
        <v>9.06</v>
      </c>
      <c r="K462" s="17">
        <v>10.64</v>
      </c>
      <c r="L462" s="17">
        <v>11.88</v>
      </c>
      <c r="M462" s="17">
        <f t="shared" si="88"/>
        <v>0.40000000000000036</v>
      </c>
      <c r="N462" s="17">
        <f t="shared" si="89"/>
        <v>1.8000000000000007</v>
      </c>
      <c r="O462" s="17">
        <f t="shared" si="90"/>
        <v>3.3800000000000008</v>
      </c>
      <c r="P462" s="17">
        <f t="shared" si="91"/>
        <v>4.620000000000001</v>
      </c>
      <c r="Q462" s="17">
        <f t="shared" si="92"/>
        <v>-0.5618182152894946</v>
      </c>
      <c r="R462" s="17">
        <f t="shared" si="85"/>
        <v>-0.42983262405677614</v>
      </c>
      <c r="S462" s="17">
        <f t="shared" si="86"/>
        <v>-0.11542984241014312</v>
      </c>
      <c r="T462" s="17">
        <f t="shared" si="87"/>
        <v>-0.11829444079925605</v>
      </c>
      <c r="U462" s="16">
        <v>5</v>
      </c>
      <c r="V462" s="16">
        <v>7</v>
      </c>
      <c r="W462" s="16">
        <v>8</v>
      </c>
      <c r="X462" s="16">
        <v>10</v>
      </c>
      <c r="Y462" s="15">
        <v>0.35799999999999998</v>
      </c>
      <c r="Z462" s="15">
        <v>0.47625000000000001</v>
      </c>
      <c r="AA462" s="15">
        <v>0.55174999999999996</v>
      </c>
      <c r="AB462" s="15">
        <v>0.66374999999999995</v>
      </c>
      <c r="AC462" s="3">
        <f t="shared" si="93"/>
        <v>-0.84187741858546095</v>
      </c>
      <c r="AD462" s="3">
        <f t="shared" si="94"/>
        <v>-0.8316167111755669</v>
      </c>
      <c r="AE462" s="3">
        <f t="shared" si="95"/>
        <v>-1.0503598927863136</v>
      </c>
      <c r="AF462" s="3">
        <f t="shared" si="96"/>
        <v>-0.92761753240370626</v>
      </c>
    </row>
    <row r="463" spans="1:32" x14ac:dyDescent="0.2">
      <c r="A463" s="30">
        <v>461</v>
      </c>
      <c r="B463" s="9" t="s">
        <v>1340</v>
      </c>
      <c r="C463" s="12">
        <v>900673</v>
      </c>
      <c r="D463" s="13" t="s">
        <v>462</v>
      </c>
      <c r="E463" s="17">
        <v>121.934665518</v>
      </c>
      <c r="F463" s="17">
        <v>31.509279492099999</v>
      </c>
      <c r="G463" s="14">
        <v>497</v>
      </c>
      <c r="H463" s="17">
        <v>14.6</v>
      </c>
      <c r="I463" s="17">
        <v>16.84</v>
      </c>
      <c r="J463" s="17">
        <v>17.87</v>
      </c>
      <c r="K463" s="17">
        <v>18.850000000000001</v>
      </c>
      <c r="L463" s="17">
        <v>21.18</v>
      </c>
      <c r="M463" s="17">
        <f t="shared" si="88"/>
        <v>2.2400000000000002</v>
      </c>
      <c r="N463" s="17">
        <f t="shared" si="89"/>
        <v>3.2700000000000014</v>
      </c>
      <c r="O463" s="17">
        <f t="shared" si="90"/>
        <v>4.2500000000000018</v>
      </c>
      <c r="P463" s="17">
        <f t="shared" si="91"/>
        <v>6.58</v>
      </c>
      <c r="Q463" s="17">
        <f t="shared" si="92"/>
        <v>1.6799817363037499</v>
      </c>
      <c r="R463" s="17">
        <f t="shared" si="85"/>
        <v>1.639720575012237</v>
      </c>
      <c r="S463" s="17">
        <f t="shared" si="86"/>
        <v>0.89486147135509564</v>
      </c>
      <c r="T463" s="17">
        <f t="shared" si="87"/>
        <v>1.8655689221386091</v>
      </c>
      <c r="U463" s="16">
        <v>10</v>
      </c>
      <c r="V463" s="16">
        <v>13</v>
      </c>
      <c r="W463" s="16">
        <v>15</v>
      </c>
      <c r="X463" s="16">
        <v>16</v>
      </c>
      <c r="Y463" s="15">
        <v>0.55900000000000005</v>
      </c>
      <c r="Z463" s="15">
        <v>0.68149999999999999</v>
      </c>
      <c r="AA463" s="15">
        <v>0.82850000000000001</v>
      </c>
      <c r="AB463" s="15">
        <v>0.9425</v>
      </c>
      <c r="AC463" s="3">
        <f t="shared" si="93"/>
        <v>1.0154984821699811</v>
      </c>
      <c r="AD463" s="3">
        <f t="shared" si="94"/>
        <v>1.0101766273506061</v>
      </c>
      <c r="AE463" s="3">
        <f t="shared" si="95"/>
        <v>1.2281915079849843</v>
      </c>
      <c r="AF463" s="3">
        <f t="shared" si="96"/>
        <v>1.3621893964899578</v>
      </c>
    </row>
    <row r="464" spans="1:32" x14ac:dyDescent="0.2">
      <c r="A464" s="30">
        <v>462</v>
      </c>
      <c r="B464" s="9" t="s">
        <v>1341</v>
      </c>
      <c r="C464" s="12">
        <v>900674</v>
      </c>
      <c r="D464" s="13" t="s">
        <v>463</v>
      </c>
      <c r="E464" s="17">
        <v>120.79334825700001</v>
      </c>
      <c r="F464" s="17">
        <v>33.2682184341</v>
      </c>
      <c r="G464" s="14">
        <v>1294</v>
      </c>
      <c r="H464" s="17">
        <v>12.6</v>
      </c>
      <c r="I464" s="17">
        <v>15.38</v>
      </c>
      <c r="J464" s="17">
        <v>15.94</v>
      </c>
      <c r="K464" s="17">
        <v>17.690000000000001</v>
      </c>
      <c r="L464" s="17">
        <v>20.09</v>
      </c>
      <c r="M464" s="17">
        <f t="shared" si="88"/>
        <v>2.7800000000000011</v>
      </c>
      <c r="N464" s="17">
        <f t="shared" si="89"/>
        <v>3.34</v>
      </c>
      <c r="O464" s="17">
        <f t="shared" si="90"/>
        <v>5.0900000000000016</v>
      </c>
      <c r="P464" s="17">
        <f t="shared" si="91"/>
        <v>7.49</v>
      </c>
      <c r="Q464" s="17">
        <f t="shared" si="92"/>
        <v>2.3379012873148119</v>
      </c>
      <c r="R464" s="17">
        <f t="shared" si="85"/>
        <v>1.7382707273488545</v>
      </c>
      <c r="S464" s="17">
        <f t="shared" si="86"/>
        <v>1.8703151536111868</v>
      </c>
      <c r="T464" s="17">
        <f t="shared" si="87"/>
        <v>2.7866483406454754</v>
      </c>
      <c r="U464" s="16">
        <v>74</v>
      </c>
      <c r="V464" s="16">
        <v>92</v>
      </c>
      <c r="W464" s="16">
        <v>126</v>
      </c>
      <c r="X464" s="16">
        <v>138</v>
      </c>
      <c r="Y464" s="15">
        <v>0.42599999999999999</v>
      </c>
      <c r="Z464" s="15">
        <v>0.54800000000000004</v>
      </c>
      <c r="AA464" s="15">
        <v>0.69599999999999995</v>
      </c>
      <c r="AB464" s="15">
        <v>0.81</v>
      </c>
      <c r="AC464" s="3">
        <f t="shared" si="93"/>
        <v>-0.21351144221048574</v>
      </c>
      <c r="AD464" s="3">
        <f t="shared" si="94"/>
        <v>-0.18777421646544273</v>
      </c>
      <c r="AE464" s="3">
        <f t="shared" si="95"/>
        <v>0.13728613995536532</v>
      </c>
      <c r="AF464" s="3">
        <f t="shared" si="96"/>
        <v>0.27376099082749922</v>
      </c>
    </row>
    <row r="465" spans="1:32" x14ac:dyDescent="0.2">
      <c r="A465" s="30">
        <v>463</v>
      </c>
      <c r="B465" s="9" t="s">
        <v>1342</v>
      </c>
      <c r="C465" s="12">
        <v>900676</v>
      </c>
      <c r="D465" s="13" t="s">
        <v>464</v>
      </c>
      <c r="E465" s="17">
        <v>121.263073834</v>
      </c>
      <c r="F465" s="17">
        <v>39.091995393700003</v>
      </c>
      <c r="G465" s="14">
        <v>1795</v>
      </c>
      <c r="H465" s="17">
        <v>8.8800000000000008</v>
      </c>
      <c r="I465" s="17">
        <v>11.15</v>
      </c>
      <c r="J465" s="17">
        <v>13.17</v>
      </c>
      <c r="K465" s="17">
        <v>14.42</v>
      </c>
      <c r="L465" s="17">
        <v>16.579999999999998</v>
      </c>
      <c r="M465" s="17">
        <f t="shared" si="88"/>
        <v>2.2699999999999996</v>
      </c>
      <c r="N465" s="17">
        <f t="shared" si="89"/>
        <v>4.2899999999999991</v>
      </c>
      <c r="O465" s="17">
        <f t="shared" si="90"/>
        <v>5.5399999999999991</v>
      </c>
      <c r="P465" s="17">
        <f t="shared" si="91"/>
        <v>7.6999999999999975</v>
      </c>
      <c r="Q465" s="17">
        <f t="shared" si="92"/>
        <v>1.7165328224710303</v>
      </c>
      <c r="R465" s="17">
        <f t="shared" si="85"/>
        <v>3.0757370804886914</v>
      </c>
      <c r="S465" s="17">
        <f t="shared" si="86"/>
        <v>2.392879626248376</v>
      </c>
      <c r="T465" s="17">
        <f t="shared" si="87"/>
        <v>2.9992051295316728</v>
      </c>
      <c r="U465" s="16">
        <v>2</v>
      </c>
      <c r="V465" s="16">
        <v>6</v>
      </c>
      <c r="W465" s="16">
        <v>6</v>
      </c>
      <c r="X465" s="16">
        <v>6</v>
      </c>
      <c r="Y465" s="15">
        <v>0.41099999999999998</v>
      </c>
      <c r="Z465" s="15">
        <v>0.53800000000000003</v>
      </c>
      <c r="AA465" s="15">
        <v>0.68799999999999994</v>
      </c>
      <c r="AB465" s="15">
        <v>0.80500000000000005</v>
      </c>
      <c r="AC465" s="3">
        <f t="shared" si="93"/>
        <v>-0.35212158405790683</v>
      </c>
      <c r="AD465" s="3">
        <f t="shared" si="94"/>
        <v>-0.27750836206964125</v>
      </c>
      <c r="AE465" s="3">
        <f t="shared" si="95"/>
        <v>7.1420155470558105E-2</v>
      </c>
      <c r="AF465" s="3">
        <f t="shared" si="96"/>
        <v>0.23268822080250073</v>
      </c>
    </row>
    <row r="466" spans="1:32" x14ac:dyDescent="0.2">
      <c r="A466" s="30">
        <v>464</v>
      </c>
      <c r="B466" s="9" t="s">
        <v>1343</v>
      </c>
      <c r="C466" s="12">
        <v>900682</v>
      </c>
      <c r="D466" s="13" t="s">
        <v>465</v>
      </c>
      <c r="E466" s="17">
        <v>109.685135605</v>
      </c>
      <c r="F466" s="17">
        <v>21.5554234648</v>
      </c>
      <c r="G466" s="14">
        <v>76</v>
      </c>
      <c r="H466" s="17">
        <v>22.26</v>
      </c>
      <c r="I466" s="17">
        <v>24.46</v>
      </c>
      <c r="J466" s="17">
        <v>25.11</v>
      </c>
      <c r="K466" s="17">
        <v>26.08</v>
      </c>
      <c r="L466" s="17">
        <v>28</v>
      </c>
      <c r="M466" s="17">
        <f t="shared" si="88"/>
        <v>2.1999999999999993</v>
      </c>
      <c r="N466" s="17">
        <f t="shared" si="89"/>
        <v>2.8499999999999979</v>
      </c>
      <c r="O466" s="17">
        <f t="shared" si="90"/>
        <v>3.8199999999999967</v>
      </c>
      <c r="P466" s="17">
        <f t="shared" si="91"/>
        <v>5.7399999999999984</v>
      </c>
      <c r="Q466" s="17">
        <f t="shared" si="92"/>
        <v>1.631246954747374</v>
      </c>
      <c r="R466" s="17">
        <f t="shared" si="85"/>
        <v>1.0484196609925143</v>
      </c>
      <c r="S466" s="17">
        <f t="shared" si="86"/>
        <v>0.395522086390662</v>
      </c>
      <c r="T466" s="17">
        <f t="shared" si="87"/>
        <v>1.0153417665938076</v>
      </c>
      <c r="U466" s="16">
        <v>7</v>
      </c>
      <c r="V466" s="16">
        <v>7</v>
      </c>
      <c r="W466" s="16">
        <v>7</v>
      </c>
      <c r="X466" s="16">
        <v>7</v>
      </c>
      <c r="Y466" s="15">
        <v>0.41399999999999998</v>
      </c>
      <c r="Z466" s="15">
        <v>0.54800000000000004</v>
      </c>
      <c r="AA466" s="15">
        <v>0.66200000000000003</v>
      </c>
      <c r="AB466" s="15">
        <v>0.76400000000000001</v>
      </c>
      <c r="AC466" s="3">
        <f t="shared" si="93"/>
        <v>-0.32439955568842266</v>
      </c>
      <c r="AD466" s="3">
        <f t="shared" si="94"/>
        <v>-0.18777421646544273</v>
      </c>
      <c r="AE466" s="3">
        <f t="shared" si="95"/>
        <v>-0.14264429410506441</v>
      </c>
      <c r="AF466" s="3">
        <f t="shared" si="96"/>
        <v>-0.10410849340248685</v>
      </c>
    </row>
    <row r="467" spans="1:32" x14ac:dyDescent="0.2">
      <c r="A467" s="30">
        <v>465</v>
      </c>
      <c r="B467" s="9" t="s">
        <v>1344</v>
      </c>
      <c r="C467" s="12">
        <v>900686</v>
      </c>
      <c r="D467" s="13" t="s">
        <v>466</v>
      </c>
      <c r="E467" s="17">
        <v>109.803502995</v>
      </c>
      <c r="F467" s="17">
        <v>21.4955231854</v>
      </c>
      <c r="G467" s="14">
        <v>18</v>
      </c>
      <c r="H467" s="17">
        <v>22.32</v>
      </c>
      <c r="I467" s="17">
        <v>24.45</v>
      </c>
      <c r="J467" s="17">
        <v>25.15</v>
      </c>
      <c r="K467" s="17">
        <v>26.11</v>
      </c>
      <c r="L467" s="17">
        <v>27.97</v>
      </c>
      <c r="M467" s="17">
        <f t="shared" si="88"/>
        <v>2.129999999999999</v>
      </c>
      <c r="N467" s="17">
        <f t="shared" si="89"/>
        <v>2.8299999999999983</v>
      </c>
      <c r="O467" s="17">
        <f t="shared" si="90"/>
        <v>3.7899999999999991</v>
      </c>
      <c r="P467" s="17">
        <f t="shared" si="91"/>
        <v>5.6499999999999986</v>
      </c>
      <c r="Q467" s="17">
        <f t="shared" si="92"/>
        <v>1.5459610870237175</v>
      </c>
      <c r="R467" s="17">
        <f t="shared" si="85"/>
        <v>1.0202624746106235</v>
      </c>
      <c r="S467" s="17">
        <f t="shared" si="86"/>
        <v>0.36068445488151868</v>
      </c>
      <c r="T467" s="17">
        <f t="shared" si="87"/>
        <v>0.92424599992829359</v>
      </c>
      <c r="U467" s="16">
        <v>0</v>
      </c>
      <c r="V467" s="16">
        <v>0</v>
      </c>
      <c r="W467" s="16">
        <v>0</v>
      </c>
      <c r="X467" s="16">
        <v>0</v>
      </c>
      <c r="Y467" s="15">
        <v>0.42399999999999999</v>
      </c>
      <c r="Z467" s="15">
        <v>0.55800000000000005</v>
      </c>
      <c r="AA467" s="15">
        <v>0.67200000000000004</v>
      </c>
      <c r="AB467" s="15">
        <v>0.77600000000000002</v>
      </c>
      <c r="AC467" s="3">
        <f t="shared" si="93"/>
        <v>-0.23199279445680854</v>
      </c>
      <c r="AD467" s="3">
        <f t="shared" si="94"/>
        <v>-9.8040070861244208E-2</v>
      </c>
      <c r="AE467" s="3">
        <f t="shared" si="95"/>
        <v>-6.0311813499055393E-2</v>
      </c>
      <c r="AF467" s="3">
        <f t="shared" si="96"/>
        <v>-5.5338453424904786E-3</v>
      </c>
    </row>
    <row r="468" spans="1:32" x14ac:dyDescent="0.2">
      <c r="A468" s="30">
        <v>466</v>
      </c>
      <c r="B468" s="9" t="s">
        <v>849</v>
      </c>
      <c r="C468" s="12">
        <v>900699</v>
      </c>
      <c r="D468" s="13" t="s">
        <v>467</v>
      </c>
      <c r="E468" s="17">
        <v>-83.071081035700004</v>
      </c>
      <c r="F468" s="17">
        <v>14.299055367999999</v>
      </c>
      <c r="G468" s="14">
        <v>4330</v>
      </c>
      <c r="H468" s="17">
        <v>24.9</v>
      </c>
      <c r="I468" s="17">
        <v>25.63</v>
      </c>
      <c r="J468" s="17">
        <v>26.95</v>
      </c>
      <c r="K468" s="17">
        <v>27.99</v>
      </c>
      <c r="L468" s="17">
        <v>29.22</v>
      </c>
      <c r="M468" s="17">
        <f t="shared" si="88"/>
        <v>0.73000000000000043</v>
      </c>
      <c r="N468" s="17">
        <f t="shared" si="89"/>
        <v>2.0500000000000007</v>
      </c>
      <c r="O468" s="17">
        <f t="shared" si="90"/>
        <v>3.09</v>
      </c>
      <c r="P468" s="17">
        <f t="shared" si="91"/>
        <v>4.32</v>
      </c>
      <c r="Q468" s="17">
        <f t="shared" si="92"/>
        <v>-0.15975626744940172</v>
      </c>
      <c r="R468" s="17">
        <f t="shared" si="85"/>
        <v>-7.7867794283134603E-2</v>
      </c>
      <c r="S468" s="17">
        <f t="shared" si="86"/>
        <v>-0.45219361366522337</v>
      </c>
      <c r="T468" s="17">
        <f t="shared" si="87"/>
        <v>-0.42194699635097094</v>
      </c>
      <c r="U468" s="16">
        <v>58</v>
      </c>
      <c r="V468" s="16">
        <v>95</v>
      </c>
      <c r="W468" s="16">
        <v>150</v>
      </c>
      <c r="X468" s="16">
        <v>193</v>
      </c>
      <c r="Y468" s="15">
        <v>0.51800000000000002</v>
      </c>
      <c r="Z468" s="15">
        <v>0.65300000000000002</v>
      </c>
      <c r="AA468" s="15">
        <v>0.77600000000000002</v>
      </c>
      <c r="AB468" s="15">
        <v>0.87</v>
      </c>
      <c r="AC468" s="3">
        <f t="shared" si="93"/>
        <v>0.63663076112036332</v>
      </c>
      <c r="AD468" s="3">
        <f t="shared" si="94"/>
        <v>0.75443431237864089</v>
      </c>
      <c r="AE468" s="3">
        <f t="shared" si="95"/>
        <v>0.79594598480343737</v>
      </c>
      <c r="AF468" s="3">
        <f t="shared" si="96"/>
        <v>0.76663423112748019</v>
      </c>
    </row>
    <row r="469" spans="1:32" x14ac:dyDescent="0.2">
      <c r="A469" s="30">
        <v>467</v>
      </c>
      <c r="B469" s="9" t="s">
        <v>850</v>
      </c>
      <c r="C469" s="12">
        <v>900700</v>
      </c>
      <c r="D469" s="13" t="s">
        <v>468</v>
      </c>
      <c r="E469" s="17">
        <v>-87.202561971999998</v>
      </c>
      <c r="F469" s="17">
        <v>12.9137750678</v>
      </c>
      <c r="G469" s="14">
        <v>509</v>
      </c>
      <c r="H469" s="17">
        <v>27.51</v>
      </c>
      <c r="I469" s="17">
        <v>28.67</v>
      </c>
      <c r="J469" s="17">
        <v>29.91</v>
      </c>
      <c r="K469" s="17">
        <v>31.65</v>
      </c>
      <c r="L469" s="17">
        <v>32.22</v>
      </c>
      <c r="M469" s="17">
        <f t="shared" si="88"/>
        <v>1.1600000000000001</v>
      </c>
      <c r="N469" s="17">
        <f t="shared" si="89"/>
        <v>2.3999999999999986</v>
      </c>
      <c r="O469" s="17">
        <f t="shared" si="90"/>
        <v>4.139999999999997</v>
      </c>
      <c r="P469" s="17">
        <f t="shared" si="91"/>
        <v>4.7099999999999973</v>
      </c>
      <c r="Q469" s="17">
        <f t="shared" si="92"/>
        <v>0.36414263428162796</v>
      </c>
      <c r="R469" s="17">
        <f t="shared" si="85"/>
        <v>0.41488296739996056</v>
      </c>
      <c r="S469" s="17">
        <f t="shared" si="86"/>
        <v>0.76712348915488759</v>
      </c>
      <c r="T469" s="17">
        <f t="shared" si="87"/>
        <v>-2.7198674133745531E-2</v>
      </c>
      <c r="U469" s="16">
        <v>2</v>
      </c>
      <c r="V469" s="16">
        <v>2</v>
      </c>
      <c r="W469" s="16">
        <v>2</v>
      </c>
      <c r="X469" s="16">
        <v>4</v>
      </c>
      <c r="Y469" s="15">
        <v>0.46500000000000002</v>
      </c>
      <c r="Z469" s="15">
        <v>0.57099999999999995</v>
      </c>
      <c r="AA469" s="15">
        <v>0.70299999999999996</v>
      </c>
      <c r="AB469" s="15">
        <v>0.77600000000000002</v>
      </c>
      <c r="AC469" s="3">
        <f t="shared" si="93"/>
        <v>0.14687492659280921</v>
      </c>
      <c r="AD469" s="3">
        <f t="shared" si="94"/>
        <v>1.8614318424212892E-2</v>
      </c>
      <c r="AE469" s="3">
        <f t="shared" si="95"/>
        <v>0.19491887637957162</v>
      </c>
      <c r="AF469" s="3">
        <f t="shared" si="96"/>
        <v>-5.5338453424904786E-3</v>
      </c>
    </row>
    <row r="470" spans="1:32" x14ac:dyDescent="0.2">
      <c r="A470" s="30">
        <v>468</v>
      </c>
      <c r="B470" s="9" t="s">
        <v>1467</v>
      </c>
      <c r="C470" s="12">
        <v>900702</v>
      </c>
      <c r="D470" s="13" t="s">
        <v>469</v>
      </c>
      <c r="E470" s="17">
        <v>-83.882995125600004</v>
      </c>
      <c r="F470" s="17">
        <v>10.8733492483</v>
      </c>
      <c r="G470" s="14">
        <v>127</v>
      </c>
      <c r="H470" s="17">
        <v>23.94</v>
      </c>
      <c r="I470" s="17">
        <v>24.59</v>
      </c>
      <c r="J470" s="17">
        <v>26.16</v>
      </c>
      <c r="K470" s="17">
        <v>27.18</v>
      </c>
      <c r="L470" s="17">
        <v>28.65</v>
      </c>
      <c r="M470" s="17">
        <f t="shared" si="88"/>
        <v>0.64999999999999858</v>
      </c>
      <c r="N470" s="17">
        <f t="shared" si="89"/>
        <v>2.2199999999999989</v>
      </c>
      <c r="O470" s="17">
        <f t="shared" si="90"/>
        <v>3.2399999999999984</v>
      </c>
      <c r="P470" s="17">
        <f t="shared" si="91"/>
        <v>4.7099999999999973</v>
      </c>
      <c r="Q470" s="17">
        <f t="shared" si="92"/>
        <v>-0.25722583056215376</v>
      </c>
      <c r="R470" s="17">
        <f t="shared" si="85"/>
        <v>0.16146828996293905</v>
      </c>
      <c r="S470" s="17">
        <f t="shared" si="86"/>
        <v>-0.2780054561194944</v>
      </c>
      <c r="T470" s="17">
        <f t="shared" si="87"/>
        <v>-2.7198674133745531E-2</v>
      </c>
      <c r="U470" s="16">
        <v>2</v>
      </c>
      <c r="V470" s="16">
        <v>3</v>
      </c>
      <c r="W470" s="16">
        <v>3</v>
      </c>
      <c r="X470" s="16">
        <v>3</v>
      </c>
      <c r="Y470" s="15">
        <v>0.52</v>
      </c>
      <c r="Z470" s="15">
        <v>0.65</v>
      </c>
      <c r="AA470" s="15">
        <v>0.77400000000000002</v>
      </c>
      <c r="AB470" s="15">
        <v>0.86599999999999999</v>
      </c>
      <c r="AC470" s="3">
        <f t="shared" si="93"/>
        <v>0.65511211336668618</v>
      </c>
      <c r="AD470" s="3">
        <f t="shared" si="94"/>
        <v>0.72751406869738133</v>
      </c>
      <c r="AE470" s="3">
        <f t="shared" si="95"/>
        <v>0.7794794886822356</v>
      </c>
      <c r="AF470" s="3">
        <f t="shared" si="96"/>
        <v>0.73377601510748136</v>
      </c>
    </row>
    <row r="471" spans="1:32" x14ac:dyDescent="0.2">
      <c r="A471" s="30">
        <v>469</v>
      </c>
      <c r="B471" s="9" t="s">
        <v>1468</v>
      </c>
      <c r="C471" s="12">
        <v>900703</v>
      </c>
      <c r="D471" s="13" t="s">
        <v>470</v>
      </c>
      <c r="E471" s="17">
        <v>-83.820408620899997</v>
      </c>
      <c r="F471" s="17">
        <v>12.010458574199999</v>
      </c>
      <c r="G471" s="14">
        <v>294</v>
      </c>
      <c r="H471" s="17">
        <v>23.45</v>
      </c>
      <c r="I471" s="17">
        <v>24.35</v>
      </c>
      <c r="J471" s="17">
        <v>25.72</v>
      </c>
      <c r="K471" s="17">
        <v>26.92</v>
      </c>
      <c r="L471" s="17">
        <v>28.32</v>
      </c>
      <c r="M471" s="17">
        <f t="shared" si="88"/>
        <v>0.90000000000000213</v>
      </c>
      <c r="N471" s="17">
        <f t="shared" si="89"/>
        <v>2.2699999999999996</v>
      </c>
      <c r="O471" s="17">
        <f t="shared" si="90"/>
        <v>3.4700000000000024</v>
      </c>
      <c r="P471" s="17">
        <f t="shared" si="91"/>
        <v>4.870000000000001</v>
      </c>
      <c r="Q471" s="17">
        <f t="shared" si="92"/>
        <v>4.7366554165193614E-2</v>
      </c>
      <c r="R471" s="17">
        <f t="shared" si="85"/>
        <v>0.23186125591766835</v>
      </c>
      <c r="S471" s="17">
        <f t="shared" si="86"/>
        <v>-1.0916947882702852E-2</v>
      </c>
      <c r="T471" s="17">
        <f t="shared" si="87"/>
        <v>0.13474935549383912</v>
      </c>
      <c r="U471" s="16">
        <v>7</v>
      </c>
      <c r="V471" s="16">
        <v>10</v>
      </c>
      <c r="W471" s="16">
        <v>13</v>
      </c>
      <c r="X471" s="16">
        <v>13</v>
      </c>
      <c r="Y471" s="15">
        <v>0.50800000000000001</v>
      </c>
      <c r="Z471" s="15">
        <v>0.64</v>
      </c>
      <c r="AA471" s="15">
        <v>0.76400000000000001</v>
      </c>
      <c r="AB471" s="15">
        <v>0.85799999999999998</v>
      </c>
      <c r="AC471" s="3">
        <f t="shared" si="93"/>
        <v>0.54422399988874925</v>
      </c>
      <c r="AD471" s="3">
        <f t="shared" si="94"/>
        <v>0.63777992309318277</v>
      </c>
      <c r="AE471" s="3">
        <f t="shared" si="95"/>
        <v>0.69714700807622665</v>
      </c>
      <c r="AF471" s="3">
        <f t="shared" si="96"/>
        <v>0.66805958306748381</v>
      </c>
    </row>
    <row r="472" spans="1:32" x14ac:dyDescent="0.2">
      <c r="A472" s="30">
        <v>470</v>
      </c>
      <c r="B472" s="9" t="s">
        <v>1150</v>
      </c>
      <c r="C472" s="12">
        <v>900711</v>
      </c>
      <c r="D472" s="13" t="s">
        <v>471</v>
      </c>
      <c r="E472" s="17">
        <v>-6.8578760028400003</v>
      </c>
      <c r="F472" s="17">
        <v>56.510013955700003</v>
      </c>
      <c r="G472" s="14">
        <v>47</v>
      </c>
      <c r="H472" s="17">
        <v>9.9</v>
      </c>
      <c r="I472" s="17">
        <v>9.8800000000000008</v>
      </c>
      <c r="J472" s="17">
        <v>11.28</v>
      </c>
      <c r="K472" s="17">
        <v>12.3</v>
      </c>
      <c r="L472" s="17">
        <v>13.6</v>
      </c>
      <c r="M472" s="17">
        <f t="shared" si="88"/>
        <v>-1.9999999999999574E-2</v>
      </c>
      <c r="N472" s="17">
        <f t="shared" si="89"/>
        <v>1.379999999999999</v>
      </c>
      <c r="O472" s="17">
        <f t="shared" si="90"/>
        <v>2.4000000000000004</v>
      </c>
      <c r="P472" s="17">
        <f t="shared" si="91"/>
        <v>3.6999999999999993</v>
      </c>
      <c r="Q472" s="17">
        <f t="shared" si="92"/>
        <v>-1.0735334216314307</v>
      </c>
      <c r="R472" s="17">
        <f t="shared" si="85"/>
        <v>-1.0211335380764963</v>
      </c>
      <c r="S472" s="17">
        <f t="shared" si="86"/>
        <v>-1.2534591383755835</v>
      </c>
      <c r="T472" s="17">
        <f t="shared" si="87"/>
        <v>-1.049495611157848</v>
      </c>
      <c r="U472" s="16">
        <v>0</v>
      </c>
      <c r="V472" s="16">
        <v>0</v>
      </c>
      <c r="W472" s="16">
        <v>0</v>
      </c>
      <c r="X472" s="16">
        <v>0</v>
      </c>
      <c r="Y472" s="15">
        <v>0.29399999999999998</v>
      </c>
      <c r="Z472" s="15">
        <v>0.40100000000000002</v>
      </c>
      <c r="AA472" s="15">
        <v>0.46800000000000003</v>
      </c>
      <c r="AB472" s="15">
        <v>0.56799999999999995</v>
      </c>
      <c r="AC472" s="3">
        <f t="shared" si="93"/>
        <v>-1.4332806904677906</v>
      </c>
      <c r="AD472" s="3">
        <f t="shared" si="94"/>
        <v>-1.5068661568471602</v>
      </c>
      <c r="AE472" s="3">
        <f t="shared" si="95"/>
        <v>-1.7398944178616378</v>
      </c>
      <c r="AF472" s="3">
        <f t="shared" si="96"/>
        <v>-1.7141610783824266</v>
      </c>
    </row>
    <row r="473" spans="1:32" x14ac:dyDescent="0.2">
      <c r="A473" s="30">
        <v>471</v>
      </c>
      <c r="B473" s="9" t="s">
        <v>1345</v>
      </c>
      <c r="C473" s="12">
        <v>900726</v>
      </c>
      <c r="D473" s="13" t="s">
        <v>472</v>
      </c>
      <c r="E473" s="17">
        <v>145.25612523300001</v>
      </c>
      <c r="F473" s="17">
        <v>-38.363483809199998</v>
      </c>
      <c r="G473" s="14">
        <v>1251</v>
      </c>
      <c r="H473" s="17">
        <v>13.64</v>
      </c>
      <c r="I473" s="17">
        <v>15.89</v>
      </c>
      <c r="J473" s="17">
        <v>17.37</v>
      </c>
      <c r="K473" s="17">
        <v>17.8</v>
      </c>
      <c r="L473" s="17">
        <v>18.63</v>
      </c>
      <c r="M473" s="17">
        <f t="shared" si="88"/>
        <v>2.25</v>
      </c>
      <c r="N473" s="17">
        <f t="shared" si="89"/>
        <v>3.7300000000000004</v>
      </c>
      <c r="O473" s="17">
        <f t="shared" si="90"/>
        <v>4.16</v>
      </c>
      <c r="P473" s="17">
        <f t="shared" si="91"/>
        <v>4.9899999999999984</v>
      </c>
      <c r="Q473" s="17">
        <f t="shared" si="92"/>
        <v>1.6921654316928434</v>
      </c>
      <c r="R473" s="17">
        <f t="shared" si="85"/>
        <v>2.2873358617957362</v>
      </c>
      <c r="S473" s="17">
        <f t="shared" si="86"/>
        <v>0.79034857682765536</v>
      </c>
      <c r="T473" s="17">
        <f t="shared" si="87"/>
        <v>0.25621037771452221</v>
      </c>
      <c r="U473" s="16">
        <v>20</v>
      </c>
      <c r="V473" s="16">
        <v>27</v>
      </c>
      <c r="W473" s="16">
        <v>34</v>
      </c>
      <c r="X473" s="16">
        <v>37</v>
      </c>
      <c r="Y473" s="15">
        <v>0.38300000000000001</v>
      </c>
      <c r="Z473" s="15">
        <v>0.48749999999999999</v>
      </c>
      <c r="AA473" s="15">
        <v>0.59199999999999997</v>
      </c>
      <c r="AB473" s="15">
        <v>0.67</v>
      </c>
      <c r="AC473" s="3">
        <f t="shared" si="93"/>
        <v>-0.61086051550642573</v>
      </c>
      <c r="AD473" s="3">
        <f t="shared" si="94"/>
        <v>-0.73066579737084381</v>
      </c>
      <c r="AE473" s="3">
        <f t="shared" si="95"/>
        <v>-0.71897165834712751</v>
      </c>
      <c r="AF473" s="3">
        <f t="shared" si="96"/>
        <v>-0.8762765698724575</v>
      </c>
    </row>
    <row r="474" spans="1:32" x14ac:dyDescent="0.2">
      <c r="A474" s="30">
        <v>472</v>
      </c>
      <c r="B474" s="9" t="s">
        <v>1151</v>
      </c>
      <c r="C474" s="12">
        <v>900745</v>
      </c>
      <c r="D474" s="13" t="s">
        <v>473</v>
      </c>
      <c r="E474" s="17">
        <v>5.0872793276300001</v>
      </c>
      <c r="F474" s="17">
        <v>52.3811292177</v>
      </c>
      <c r="G474" s="14">
        <v>169</v>
      </c>
      <c r="H474" s="17">
        <v>10.71</v>
      </c>
      <c r="I474" s="17">
        <v>10.6</v>
      </c>
      <c r="J474" s="17">
        <v>11.85</v>
      </c>
      <c r="K474" s="17">
        <v>14.11</v>
      </c>
      <c r="L474" s="17">
        <v>15.31</v>
      </c>
      <c r="M474" s="17">
        <f t="shared" si="88"/>
        <v>-0.11000000000000121</v>
      </c>
      <c r="N474" s="17">
        <f t="shared" si="89"/>
        <v>1.1399999999999988</v>
      </c>
      <c r="O474" s="17">
        <f t="shared" si="90"/>
        <v>3.3999999999999986</v>
      </c>
      <c r="P474" s="17">
        <f t="shared" si="91"/>
        <v>4.5999999999999996</v>
      </c>
      <c r="Q474" s="17">
        <f t="shared" si="92"/>
        <v>-1.1831866801332762</v>
      </c>
      <c r="R474" s="17">
        <f t="shared" si="85"/>
        <v>-1.3590197746591925</v>
      </c>
      <c r="S474" s="17">
        <f t="shared" si="86"/>
        <v>-9.22047547373816E-2</v>
      </c>
      <c r="T474" s="17">
        <f t="shared" si="87"/>
        <v>-0.13853794450270501</v>
      </c>
      <c r="U474" s="16">
        <v>2</v>
      </c>
      <c r="V474" s="16">
        <v>2</v>
      </c>
      <c r="W474" s="16">
        <v>2</v>
      </c>
      <c r="X474" s="16">
        <v>3</v>
      </c>
      <c r="Y474" s="15">
        <v>0.47299999999999998</v>
      </c>
      <c r="Z474" s="15">
        <v>0.59699999999999998</v>
      </c>
      <c r="AA474" s="15">
        <v>0.68899999999999995</v>
      </c>
      <c r="AB474" s="15">
        <v>0.80500000000000005</v>
      </c>
      <c r="AC474" s="3">
        <f t="shared" si="93"/>
        <v>0.22080033557809994</v>
      </c>
      <c r="AD474" s="3">
        <f t="shared" si="94"/>
        <v>0.25192309699512905</v>
      </c>
      <c r="AE474" s="3">
        <f t="shared" si="95"/>
        <v>7.9653403531159003E-2</v>
      </c>
      <c r="AF474" s="3">
        <f t="shared" si="96"/>
        <v>0.23268822080250073</v>
      </c>
    </row>
    <row r="475" spans="1:32" x14ac:dyDescent="0.2">
      <c r="A475" s="30">
        <v>473</v>
      </c>
      <c r="B475" s="9" t="s">
        <v>1152</v>
      </c>
      <c r="C475" s="12">
        <v>900746</v>
      </c>
      <c r="D475" s="13" t="s">
        <v>474</v>
      </c>
      <c r="E475" s="17">
        <v>5.3512196211400003</v>
      </c>
      <c r="F475" s="17">
        <v>52.817704638199999</v>
      </c>
      <c r="G475" s="14">
        <v>2185</v>
      </c>
      <c r="H475" s="17">
        <v>10.83</v>
      </c>
      <c r="I475" s="17">
        <v>10.72</v>
      </c>
      <c r="J475" s="17">
        <v>12.04</v>
      </c>
      <c r="K475" s="17">
        <v>14.09</v>
      </c>
      <c r="L475" s="17">
        <v>15.32</v>
      </c>
      <c r="M475" s="17">
        <f t="shared" si="88"/>
        <v>-0.10999999999999943</v>
      </c>
      <c r="N475" s="17">
        <f t="shared" si="89"/>
        <v>1.2099999999999991</v>
      </c>
      <c r="O475" s="17">
        <f t="shared" si="90"/>
        <v>3.26</v>
      </c>
      <c r="P475" s="17">
        <f t="shared" si="91"/>
        <v>4.49</v>
      </c>
      <c r="Q475" s="17">
        <f t="shared" si="92"/>
        <v>-1.1831866801332742</v>
      </c>
      <c r="R475" s="17">
        <f t="shared" si="85"/>
        <v>-1.2604696223225724</v>
      </c>
      <c r="S475" s="17">
        <f t="shared" si="86"/>
        <v>-0.25478036844672874</v>
      </c>
      <c r="T475" s="17">
        <f t="shared" si="87"/>
        <v>-0.24987721487166631</v>
      </c>
      <c r="U475" s="16">
        <v>21</v>
      </c>
      <c r="V475" s="16">
        <v>26</v>
      </c>
      <c r="W475" s="16">
        <v>30</v>
      </c>
      <c r="X475" s="16">
        <v>30</v>
      </c>
      <c r="Y475" s="15">
        <v>0.44824999999999998</v>
      </c>
      <c r="Z475" s="15">
        <v>0.57074999999999998</v>
      </c>
      <c r="AA475" s="15">
        <v>0.66349999999999998</v>
      </c>
      <c r="AB475" s="15">
        <v>0.77849999999999997</v>
      </c>
      <c r="AC475" s="3">
        <f t="shared" si="93"/>
        <v>-7.9063984701446509E-3</v>
      </c>
      <c r="AD475" s="3">
        <f t="shared" si="94"/>
        <v>1.6370964784108176E-2</v>
      </c>
      <c r="AE475" s="3">
        <f t="shared" si="95"/>
        <v>-0.13029442201416352</v>
      </c>
      <c r="AF475" s="3">
        <f t="shared" si="96"/>
        <v>1.500253967000831E-2</v>
      </c>
    </row>
    <row r="476" spans="1:32" x14ac:dyDescent="0.2">
      <c r="A476" s="30">
        <v>474</v>
      </c>
      <c r="B476" s="9" t="s">
        <v>1153</v>
      </c>
      <c r="C476" s="12">
        <v>900747</v>
      </c>
      <c r="D476" s="13" t="s">
        <v>475</v>
      </c>
      <c r="E476" s="17">
        <v>6.2035557593200004</v>
      </c>
      <c r="F476" s="17">
        <v>53.361780592700001</v>
      </c>
      <c r="G476" s="14">
        <v>64</v>
      </c>
      <c r="H476" s="17">
        <v>10.130000000000001</v>
      </c>
      <c r="I476" s="17">
        <v>10.039999999999999</v>
      </c>
      <c r="J476" s="17">
        <v>11.32</v>
      </c>
      <c r="K476" s="17">
        <v>13.39</v>
      </c>
      <c r="L476" s="17">
        <v>14.72</v>
      </c>
      <c r="M476" s="17">
        <f t="shared" si="88"/>
        <v>-9.0000000000001634E-2</v>
      </c>
      <c r="N476" s="17">
        <f t="shared" si="89"/>
        <v>1.1899999999999995</v>
      </c>
      <c r="O476" s="17">
        <f t="shared" si="90"/>
        <v>3.26</v>
      </c>
      <c r="P476" s="17">
        <f t="shared" si="91"/>
        <v>4.59</v>
      </c>
      <c r="Q476" s="17">
        <f t="shared" si="92"/>
        <v>-1.1588192893550895</v>
      </c>
      <c r="R476" s="17">
        <f t="shared" si="85"/>
        <v>-1.2886268087044632</v>
      </c>
      <c r="S476" s="17">
        <f t="shared" si="86"/>
        <v>-0.25478036844672874</v>
      </c>
      <c r="T476" s="17">
        <f t="shared" si="87"/>
        <v>-0.14865969635442861</v>
      </c>
      <c r="U476" s="16">
        <v>10</v>
      </c>
      <c r="V476" s="16">
        <v>10</v>
      </c>
      <c r="W476" s="16">
        <v>12</v>
      </c>
      <c r="X476" s="16">
        <v>14</v>
      </c>
      <c r="Y476" s="15">
        <v>0.46800000000000003</v>
      </c>
      <c r="Z476" s="15">
        <v>0.59199999999999997</v>
      </c>
      <c r="AA476" s="15">
        <v>0.68400000000000005</v>
      </c>
      <c r="AB476" s="15">
        <v>0.8</v>
      </c>
      <c r="AC476" s="3">
        <f t="shared" si="93"/>
        <v>0.17459695496229341</v>
      </c>
      <c r="AD476" s="3">
        <f t="shared" si="94"/>
        <v>0.20705602419302982</v>
      </c>
      <c r="AE476" s="3">
        <f t="shared" si="95"/>
        <v>3.8487163228155416E-2</v>
      </c>
      <c r="AF476" s="3">
        <f t="shared" si="96"/>
        <v>0.19161545077750225</v>
      </c>
    </row>
    <row r="477" spans="1:32" x14ac:dyDescent="0.2">
      <c r="A477" s="30">
        <v>475</v>
      </c>
      <c r="B477" s="9" t="s">
        <v>1154</v>
      </c>
      <c r="C477" s="12">
        <v>900752</v>
      </c>
      <c r="D477" s="13" t="s">
        <v>476</v>
      </c>
      <c r="E477" s="17">
        <v>5.2549762896100001</v>
      </c>
      <c r="F477" s="17">
        <v>53.271255415500001</v>
      </c>
      <c r="G477" s="14">
        <v>3085</v>
      </c>
      <c r="H477" s="17">
        <v>10.98</v>
      </c>
      <c r="I477" s="17">
        <v>10.74</v>
      </c>
      <c r="J477" s="17">
        <v>12.15</v>
      </c>
      <c r="K477" s="17">
        <v>14.09</v>
      </c>
      <c r="L477" s="17">
        <v>15.28</v>
      </c>
      <c r="M477" s="17">
        <f t="shared" si="88"/>
        <v>-0.24000000000000021</v>
      </c>
      <c r="N477" s="17">
        <f t="shared" si="89"/>
        <v>1.17</v>
      </c>
      <c r="O477" s="17">
        <f t="shared" si="90"/>
        <v>3.1099999999999994</v>
      </c>
      <c r="P477" s="17">
        <f t="shared" si="91"/>
        <v>4.2999999999999989</v>
      </c>
      <c r="Q477" s="17">
        <f t="shared" si="92"/>
        <v>-1.3415747201914936</v>
      </c>
      <c r="R477" s="17">
        <f t="shared" si="85"/>
        <v>-1.3167839950863538</v>
      </c>
      <c r="S477" s="17">
        <f t="shared" si="86"/>
        <v>-0.42896852599245977</v>
      </c>
      <c r="T477" s="17">
        <f t="shared" si="87"/>
        <v>-0.44219050005441995</v>
      </c>
      <c r="U477" s="16">
        <v>16</v>
      </c>
      <c r="V477" s="16">
        <v>33</v>
      </c>
      <c r="W477" s="16">
        <v>34</v>
      </c>
      <c r="X477" s="16">
        <v>48</v>
      </c>
      <c r="Y477" s="15">
        <v>0.44824999999999998</v>
      </c>
      <c r="Z477" s="15">
        <v>0.57074999999999998</v>
      </c>
      <c r="AA477" s="15">
        <v>0.66349999999999998</v>
      </c>
      <c r="AB477" s="15">
        <v>0.77849999999999997</v>
      </c>
      <c r="AC477" s="3">
        <f t="shared" si="93"/>
        <v>-7.9063984701446509E-3</v>
      </c>
      <c r="AD477" s="3">
        <f t="shared" si="94"/>
        <v>1.6370964784108176E-2</v>
      </c>
      <c r="AE477" s="3">
        <f t="shared" si="95"/>
        <v>-0.13029442201416352</v>
      </c>
      <c r="AF477" s="3">
        <f t="shared" si="96"/>
        <v>1.500253967000831E-2</v>
      </c>
    </row>
    <row r="478" spans="1:32" x14ac:dyDescent="0.2">
      <c r="A478" s="30">
        <v>476</v>
      </c>
      <c r="B478" s="9" t="s">
        <v>1155</v>
      </c>
      <c r="C478" s="12">
        <v>900753</v>
      </c>
      <c r="D478" s="13" t="s">
        <v>477</v>
      </c>
      <c r="E478" s="17">
        <v>4.2157526106500001</v>
      </c>
      <c r="F478" s="17">
        <v>51.499297194599997</v>
      </c>
      <c r="G478" s="14">
        <v>29</v>
      </c>
      <c r="H478" s="17">
        <v>11.46</v>
      </c>
      <c r="I478" s="17">
        <v>11.06</v>
      </c>
      <c r="J478" s="17">
        <v>12.43</v>
      </c>
      <c r="K478" s="17">
        <v>14.75</v>
      </c>
      <c r="L478" s="17">
        <v>15.98</v>
      </c>
      <c r="M478" s="17">
        <f t="shared" si="88"/>
        <v>-0.40000000000000036</v>
      </c>
      <c r="N478" s="17">
        <f t="shared" si="89"/>
        <v>0.96999999999999886</v>
      </c>
      <c r="O478" s="17">
        <f t="shared" si="90"/>
        <v>3.2899999999999991</v>
      </c>
      <c r="P478" s="17">
        <f t="shared" si="91"/>
        <v>4.5199999999999996</v>
      </c>
      <c r="Q478" s="17">
        <f t="shared" si="92"/>
        <v>-1.5365138464169932</v>
      </c>
      <c r="R478" s="17">
        <f t="shared" si="85"/>
        <v>-1.5983558589052687</v>
      </c>
      <c r="S478" s="17">
        <f t="shared" si="86"/>
        <v>-0.2199427369375834</v>
      </c>
      <c r="T478" s="17">
        <f t="shared" si="87"/>
        <v>-0.21951195931649556</v>
      </c>
      <c r="U478" s="16">
        <v>12</v>
      </c>
      <c r="V478" s="16">
        <v>15</v>
      </c>
      <c r="W478" s="16">
        <v>16</v>
      </c>
      <c r="X478" s="16">
        <v>18</v>
      </c>
      <c r="Y478" s="15">
        <v>0.47099999999999997</v>
      </c>
      <c r="Z478" s="15">
        <v>0.59550000000000003</v>
      </c>
      <c r="AA478" s="15">
        <v>0.68799999999999994</v>
      </c>
      <c r="AB478" s="15">
        <v>0.80400000000000005</v>
      </c>
      <c r="AC478" s="3">
        <f t="shared" si="93"/>
        <v>0.20231898333177714</v>
      </c>
      <c r="AD478" s="3">
        <f t="shared" si="94"/>
        <v>0.2384629751544998</v>
      </c>
      <c r="AE478" s="3">
        <f t="shared" si="95"/>
        <v>7.1420155470558105E-2</v>
      </c>
      <c r="AF478" s="3">
        <f t="shared" si="96"/>
        <v>0.22447366679750105</v>
      </c>
    </row>
    <row r="479" spans="1:32" x14ac:dyDescent="0.2">
      <c r="A479" s="30">
        <v>477</v>
      </c>
      <c r="B479" s="9" t="s">
        <v>851</v>
      </c>
      <c r="C479" s="12">
        <v>900763</v>
      </c>
      <c r="D479" s="13" t="s">
        <v>478</v>
      </c>
      <c r="E479" s="17">
        <v>-79.013081517800003</v>
      </c>
      <c r="F479" s="17">
        <v>22.506098438999999</v>
      </c>
      <c r="G479" s="14">
        <v>3061</v>
      </c>
      <c r="H479" s="17">
        <v>24.09</v>
      </c>
      <c r="I479" s="17">
        <v>24.82</v>
      </c>
      <c r="J479" s="17">
        <v>25.88</v>
      </c>
      <c r="K479" s="17">
        <v>27.48</v>
      </c>
      <c r="L479" s="17">
        <v>28.08</v>
      </c>
      <c r="M479" s="17">
        <f t="shared" si="88"/>
        <v>0.73000000000000043</v>
      </c>
      <c r="N479" s="17">
        <f t="shared" si="89"/>
        <v>1.7899999999999991</v>
      </c>
      <c r="O479" s="17">
        <f t="shared" si="90"/>
        <v>3.3900000000000006</v>
      </c>
      <c r="P479" s="17">
        <f t="shared" si="91"/>
        <v>3.9899999999999984</v>
      </c>
      <c r="Q479" s="17">
        <f t="shared" si="92"/>
        <v>-0.15975626744940172</v>
      </c>
      <c r="R479" s="17">
        <f t="shared" si="85"/>
        <v>-0.44391121724772398</v>
      </c>
      <c r="S479" s="17">
        <f t="shared" si="86"/>
        <v>-0.10381729857376132</v>
      </c>
      <c r="T479" s="17">
        <f t="shared" si="87"/>
        <v>-0.75596480745785843</v>
      </c>
      <c r="U479" s="16">
        <v>50</v>
      </c>
      <c r="V479" s="16">
        <v>62</v>
      </c>
      <c r="W479" s="16">
        <v>67</v>
      </c>
      <c r="X479" s="16">
        <v>87</v>
      </c>
      <c r="Y479" s="15">
        <v>0.50800000000000001</v>
      </c>
      <c r="Z479" s="15">
        <v>0.628</v>
      </c>
      <c r="AA479" s="15">
        <v>0.72699999999999998</v>
      </c>
      <c r="AB479" s="15">
        <v>0.80600000000000005</v>
      </c>
      <c r="AC479" s="3">
        <f t="shared" si="93"/>
        <v>0.54422399988874925</v>
      </c>
      <c r="AD479" s="3">
        <f t="shared" si="94"/>
        <v>0.53009894836814453</v>
      </c>
      <c r="AE479" s="3">
        <f t="shared" si="95"/>
        <v>0.39251682983399327</v>
      </c>
      <c r="AF479" s="3">
        <f t="shared" si="96"/>
        <v>0.24090277480750044</v>
      </c>
    </row>
    <row r="480" spans="1:32" x14ac:dyDescent="0.2">
      <c r="A480" s="30">
        <v>478</v>
      </c>
      <c r="B480" s="9" t="s">
        <v>1469</v>
      </c>
      <c r="C480" s="12">
        <v>900764</v>
      </c>
      <c r="D480" s="13" t="s">
        <v>479</v>
      </c>
      <c r="E480" s="17">
        <v>-82.804950286299999</v>
      </c>
      <c r="F480" s="17">
        <v>21.5645179425</v>
      </c>
      <c r="G480" s="14">
        <v>602</v>
      </c>
      <c r="H480" s="17">
        <v>25.14</v>
      </c>
      <c r="I480" s="17">
        <v>25.95</v>
      </c>
      <c r="J480" s="17">
        <v>27.09</v>
      </c>
      <c r="K480" s="17">
        <v>28.43</v>
      </c>
      <c r="L480" s="17">
        <v>29.18</v>
      </c>
      <c r="M480" s="17">
        <f t="shared" si="88"/>
        <v>0.80999999999999872</v>
      </c>
      <c r="N480" s="17">
        <f t="shared" si="89"/>
        <v>1.9499999999999993</v>
      </c>
      <c r="O480" s="17">
        <f t="shared" si="90"/>
        <v>3.2899999999999991</v>
      </c>
      <c r="P480" s="17">
        <f t="shared" si="91"/>
        <v>4.0399999999999991</v>
      </c>
      <c r="Q480" s="17">
        <f t="shared" si="92"/>
        <v>-6.2286704336654036E-2</v>
      </c>
      <c r="R480" s="17">
        <f t="shared" si="85"/>
        <v>-0.21865372619259321</v>
      </c>
      <c r="S480" s="17">
        <f t="shared" si="86"/>
        <v>-0.2199427369375834</v>
      </c>
      <c r="T480" s="17">
        <f t="shared" si="87"/>
        <v>-0.70535604819923869</v>
      </c>
      <c r="U480" s="16">
        <v>20</v>
      </c>
      <c r="V480" s="16">
        <v>22</v>
      </c>
      <c r="W480" s="16">
        <v>28</v>
      </c>
      <c r="X480" s="16">
        <v>29</v>
      </c>
      <c r="Y480" s="15">
        <v>0.61399999999999999</v>
      </c>
      <c r="Z480" s="15">
        <v>0.74199999999999999</v>
      </c>
      <c r="AA480" s="15">
        <v>0.84599999999999997</v>
      </c>
      <c r="AB480" s="15">
        <v>0.93200000000000005</v>
      </c>
      <c r="AC480" s="3">
        <f t="shared" si="93"/>
        <v>1.5237356689438575</v>
      </c>
      <c r="AD480" s="3">
        <f t="shared" si="94"/>
        <v>1.5530682082560068</v>
      </c>
      <c r="AE480" s="3">
        <f t="shared" si="95"/>
        <v>1.3722733490454995</v>
      </c>
      <c r="AF480" s="3">
        <f t="shared" si="96"/>
        <v>1.2759365794374613</v>
      </c>
    </row>
    <row r="481" spans="1:32" x14ac:dyDescent="0.2">
      <c r="A481" s="30">
        <v>479</v>
      </c>
      <c r="B481" s="9" t="s">
        <v>1470</v>
      </c>
      <c r="C481" s="12">
        <v>900765</v>
      </c>
      <c r="D481" s="13" t="s">
        <v>480</v>
      </c>
      <c r="E481" s="17">
        <v>-78.469658642900001</v>
      </c>
      <c r="F481" s="17">
        <v>22.3424669192</v>
      </c>
      <c r="G481" s="14">
        <v>2247</v>
      </c>
      <c r="H481" s="17">
        <v>24.53</v>
      </c>
      <c r="I481" s="17">
        <v>25.33</v>
      </c>
      <c r="J481" s="17">
        <v>26.3</v>
      </c>
      <c r="K481" s="17">
        <v>28.03</v>
      </c>
      <c r="L481" s="17">
        <v>28.6</v>
      </c>
      <c r="M481" s="17">
        <f t="shared" si="88"/>
        <v>0.79999999999999716</v>
      </c>
      <c r="N481" s="17">
        <f t="shared" si="89"/>
        <v>1.7699999999999996</v>
      </c>
      <c r="O481" s="17">
        <f t="shared" si="90"/>
        <v>3.5</v>
      </c>
      <c r="P481" s="17">
        <f t="shared" si="91"/>
        <v>4.07</v>
      </c>
      <c r="Q481" s="17">
        <f t="shared" si="92"/>
        <v>-7.4470399725749661E-2</v>
      </c>
      <c r="R481" s="17">
        <f t="shared" si="85"/>
        <v>-0.47206840362961472</v>
      </c>
      <c r="S481" s="17">
        <f t="shared" si="86"/>
        <v>2.3920683626440467E-2</v>
      </c>
      <c r="T481" s="17">
        <f t="shared" si="87"/>
        <v>-0.67499079264406614</v>
      </c>
      <c r="U481" s="16">
        <v>48</v>
      </c>
      <c r="V481" s="16">
        <v>75</v>
      </c>
      <c r="W481" s="16">
        <v>80</v>
      </c>
      <c r="X481" s="16">
        <v>94</v>
      </c>
      <c r="Y481" s="15">
        <v>0.45400000000000001</v>
      </c>
      <c r="Z481" s="15">
        <v>0.57199999999999995</v>
      </c>
      <c r="AA481" s="15">
        <v>0.66900000000000004</v>
      </c>
      <c r="AB481" s="15">
        <v>0.749</v>
      </c>
      <c r="AC481" s="3">
        <f t="shared" si="93"/>
        <v>4.5227489238033707E-2</v>
      </c>
      <c r="AD481" s="3">
        <f t="shared" si="94"/>
        <v>2.7587732984632744E-2</v>
      </c>
      <c r="AE481" s="3">
        <f t="shared" si="95"/>
        <v>-8.5011557680858094E-2</v>
      </c>
      <c r="AF481" s="3">
        <f t="shared" si="96"/>
        <v>-0.2273268034774823</v>
      </c>
    </row>
    <row r="482" spans="1:32" x14ac:dyDescent="0.2">
      <c r="A482" s="30">
        <v>480</v>
      </c>
      <c r="B482" s="9" t="s">
        <v>852</v>
      </c>
      <c r="C482" s="12">
        <v>900766</v>
      </c>
      <c r="D482" s="13" t="s">
        <v>481</v>
      </c>
      <c r="E482" s="17">
        <v>-77.127160334899997</v>
      </c>
      <c r="F482" s="17">
        <v>20.586967897200001</v>
      </c>
      <c r="G482" s="14">
        <v>345</v>
      </c>
      <c r="H482" s="17">
        <v>26.04</v>
      </c>
      <c r="I482" s="17">
        <v>26.95</v>
      </c>
      <c r="J482" s="17">
        <v>27.9</v>
      </c>
      <c r="K482" s="17">
        <v>29.82</v>
      </c>
      <c r="L482" s="17">
        <v>30.68</v>
      </c>
      <c r="M482" s="17">
        <f t="shared" si="88"/>
        <v>0.91000000000000014</v>
      </c>
      <c r="N482" s="17">
        <f t="shared" si="89"/>
        <v>1.8599999999999994</v>
      </c>
      <c r="O482" s="17">
        <f t="shared" si="90"/>
        <v>3.7800000000000011</v>
      </c>
      <c r="P482" s="17">
        <f t="shared" si="91"/>
        <v>4.6400000000000006</v>
      </c>
      <c r="Q482" s="17">
        <f t="shared" si="92"/>
        <v>5.9550249554284909E-2</v>
      </c>
      <c r="R482" s="17">
        <f t="shared" si="85"/>
        <v>-0.34536106491110397</v>
      </c>
      <c r="S482" s="17">
        <f t="shared" si="86"/>
        <v>0.34907191104513896</v>
      </c>
      <c r="T482" s="17">
        <f t="shared" si="87"/>
        <v>-9.8050937095808866E-2</v>
      </c>
      <c r="U482" s="16">
        <v>8</v>
      </c>
      <c r="V482" s="16">
        <v>14</v>
      </c>
      <c r="W482" s="16">
        <v>17</v>
      </c>
      <c r="X482" s="16">
        <v>20</v>
      </c>
      <c r="Y482" s="15">
        <v>0.442</v>
      </c>
      <c r="Z482" s="15">
        <v>0.56399999999999995</v>
      </c>
      <c r="AA482" s="15">
        <v>0.66</v>
      </c>
      <c r="AB482" s="15">
        <v>0.746</v>
      </c>
      <c r="AC482" s="3">
        <f t="shared" si="93"/>
        <v>-6.5660624239903195E-2</v>
      </c>
      <c r="AD482" s="3">
        <f t="shared" si="94"/>
        <v>-4.4199583498726082E-2</v>
      </c>
      <c r="AE482" s="3">
        <f t="shared" si="95"/>
        <v>-0.1591107902262662</v>
      </c>
      <c r="AF482" s="3">
        <f t="shared" si="96"/>
        <v>-0.25197046549248142</v>
      </c>
    </row>
    <row r="483" spans="1:32" x14ac:dyDescent="0.2">
      <c r="A483" s="30">
        <v>481</v>
      </c>
      <c r="B483" s="9" t="s">
        <v>1156</v>
      </c>
      <c r="C483" s="12">
        <v>900793</v>
      </c>
      <c r="D483" s="13" t="s">
        <v>482</v>
      </c>
      <c r="E483" s="17">
        <v>-1.4706453391200001</v>
      </c>
      <c r="F483" s="17">
        <v>46.2259183209</v>
      </c>
      <c r="G483" s="14">
        <v>59</v>
      </c>
      <c r="H483" s="17">
        <v>14.58</v>
      </c>
      <c r="I483" s="17">
        <v>14.25</v>
      </c>
      <c r="J483" s="17">
        <v>15.64</v>
      </c>
      <c r="K483" s="17">
        <v>16.850000000000001</v>
      </c>
      <c r="L483" s="17">
        <v>18.25</v>
      </c>
      <c r="M483" s="17">
        <f t="shared" si="88"/>
        <v>-0.33000000000000007</v>
      </c>
      <c r="N483" s="17">
        <f t="shared" si="89"/>
        <v>1.0600000000000005</v>
      </c>
      <c r="O483" s="17">
        <f t="shared" si="90"/>
        <v>2.2700000000000014</v>
      </c>
      <c r="P483" s="17">
        <f t="shared" si="91"/>
        <v>3.67</v>
      </c>
      <c r="Q483" s="17">
        <f t="shared" si="92"/>
        <v>-1.4512279786933369</v>
      </c>
      <c r="R483" s="17">
        <f t="shared" si="85"/>
        <v>-1.4716485201867553</v>
      </c>
      <c r="S483" s="17">
        <f t="shared" si="86"/>
        <v>-1.4044222082485489</v>
      </c>
      <c r="T483" s="17">
        <f t="shared" si="87"/>
        <v>-1.0798608667130187</v>
      </c>
      <c r="U483" s="16">
        <v>4</v>
      </c>
      <c r="V483" s="16">
        <v>8</v>
      </c>
      <c r="W483" s="16">
        <v>12</v>
      </c>
      <c r="X483" s="16">
        <v>12</v>
      </c>
      <c r="Y483" s="15">
        <v>0.41733333333299999</v>
      </c>
      <c r="Z483" s="15">
        <v>0.52666666666700002</v>
      </c>
      <c r="AA483" s="15">
        <v>0.63</v>
      </c>
      <c r="AB483" s="15">
        <v>0.72366666666699997</v>
      </c>
      <c r="AC483" s="3">
        <f t="shared" si="93"/>
        <v>-0.29359730194763145</v>
      </c>
      <c r="AD483" s="3">
        <f t="shared" si="94"/>
        <v>-0.37920706041807517</v>
      </c>
      <c r="AE483" s="3">
        <f t="shared" si="95"/>
        <v>-0.40610823204429325</v>
      </c>
      <c r="AF483" s="3">
        <f t="shared" si="96"/>
        <v>-0.43542883826806983</v>
      </c>
    </row>
    <row r="484" spans="1:32" x14ac:dyDescent="0.2">
      <c r="A484" s="30">
        <v>482</v>
      </c>
      <c r="B484" s="9" t="s">
        <v>1346</v>
      </c>
      <c r="C484" s="12">
        <v>900796</v>
      </c>
      <c r="D484" s="13" t="s">
        <v>483</v>
      </c>
      <c r="E484" s="17">
        <v>136.83828404499999</v>
      </c>
      <c r="F484" s="17">
        <v>35.0740376826</v>
      </c>
      <c r="G484" s="14">
        <v>9</v>
      </c>
      <c r="H484" s="17">
        <v>13.34</v>
      </c>
      <c r="I484" s="17">
        <v>14.41</v>
      </c>
      <c r="J484" s="17">
        <v>15.91</v>
      </c>
      <c r="K484" s="17">
        <v>16.86</v>
      </c>
      <c r="L484" s="17">
        <v>18.66</v>
      </c>
      <c r="M484" s="17">
        <f t="shared" si="88"/>
        <v>1.0700000000000003</v>
      </c>
      <c r="N484" s="17">
        <f t="shared" si="89"/>
        <v>2.5700000000000003</v>
      </c>
      <c r="O484" s="17">
        <f t="shared" si="90"/>
        <v>3.5199999999999996</v>
      </c>
      <c r="P484" s="17">
        <f t="shared" si="91"/>
        <v>5.32</v>
      </c>
      <c r="Q484" s="17">
        <f t="shared" si="92"/>
        <v>0.25448937577978464</v>
      </c>
      <c r="R484" s="17">
        <f t="shared" si="85"/>
        <v>0.65421905164603922</v>
      </c>
      <c r="S484" s="17">
        <f t="shared" si="86"/>
        <v>4.7145771299204053E-2</v>
      </c>
      <c r="T484" s="17">
        <f t="shared" si="87"/>
        <v>0.5902281888214097</v>
      </c>
      <c r="U484" s="16">
        <v>0</v>
      </c>
      <c r="V484" s="16">
        <v>0</v>
      </c>
      <c r="W484" s="16">
        <v>0</v>
      </c>
      <c r="X484" s="16">
        <v>0</v>
      </c>
      <c r="Y484" s="15">
        <v>0.32224999999999998</v>
      </c>
      <c r="Z484" s="15">
        <v>0.44650000000000001</v>
      </c>
      <c r="AA484" s="15">
        <v>0.59350000000000003</v>
      </c>
      <c r="AB484" s="15">
        <v>0.70125000000000004</v>
      </c>
      <c r="AC484" s="3">
        <f t="shared" si="93"/>
        <v>-1.172231589988481</v>
      </c>
      <c r="AD484" s="3">
        <f t="shared" si="94"/>
        <v>-1.0985757943480574</v>
      </c>
      <c r="AE484" s="3">
        <f t="shared" si="95"/>
        <v>-0.70662178625622563</v>
      </c>
      <c r="AF484" s="3">
        <f t="shared" si="96"/>
        <v>-0.61957175721621716</v>
      </c>
    </row>
    <row r="485" spans="1:32" x14ac:dyDescent="0.2">
      <c r="A485" s="30">
        <v>483</v>
      </c>
      <c r="B485" s="9" t="s">
        <v>1157</v>
      </c>
      <c r="C485" s="12">
        <v>900799</v>
      </c>
      <c r="D485" s="13" t="s">
        <v>484</v>
      </c>
      <c r="E485" s="17">
        <v>4.22873520003</v>
      </c>
      <c r="F485" s="17">
        <v>51.769400179800002</v>
      </c>
      <c r="G485" s="14">
        <v>188</v>
      </c>
      <c r="H485" s="17">
        <v>11.63</v>
      </c>
      <c r="I485" s="17">
        <v>11.19</v>
      </c>
      <c r="J485" s="17">
        <v>12.63</v>
      </c>
      <c r="K485" s="17">
        <v>14.79</v>
      </c>
      <c r="L485" s="17">
        <v>16.04</v>
      </c>
      <c r="M485" s="17">
        <f t="shared" si="88"/>
        <v>-0.44000000000000128</v>
      </c>
      <c r="N485" s="17">
        <f t="shared" si="89"/>
        <v>1</v>
      </c>
      <c r="O485" s="17">
        <f t="shared" si="90"/>
        <v>3.1599999999999984</v>
      </c>
      <c r="P485" s="17">
        <f t="shared" si="91"/>
        <v>4.4099999999999984</v>
      </c>
      <c r="Q485" s="17">
        <f t="shared" si="92"/>
        <v>-1.5852486279733693</v>
      </c>
      <c r="R485" s="17">
        <f t="shared" si="85"/>
        <v>-1.5561200793324299</v>
      </c>
      <c r="S485" s="17">
        <f t="shared" si="86"/>
        <v>-0.37090580681055085</v>
      </c>
      <c r="T485" s="17">
        <f t="shared" si="87"/>
        <v>-0.33085122968545866</v>
      </c>
      <c r="U485" s="16">
        <v>47</v>
      </c>
      <c r="V485" s="16">
        <v>54</v>
      </c>
      <c r="W485" s="16">
        <v>59</v>
      </c>
      <c r="X485" s="16">
        <v>61</v>
      </c>
      <c r="Y485" s="15">
        <v>0.49075000000000002</v>
      </c>
      <c r="Z485" s="15">
        <v>0.61375000000000002</v>
      </c>
      <c r="AA485" s="15">
        <v>0.70550000000000002</v>
      </c>
      <c r="AB485" s="15">
        <v>0.82150000000000001</v>
      </c>
      <c r="AC485" s="3">
        <f t="shared" si="93"/>
        <v>0.38482233676421523</v>
      </c>
      <c r="AD485" s="3">
        <f t="shared" si="94"/>
        <v>0.40222779088216187</v>
      </c>
      <c r="AE485" s="3">
        <f t="shared" si="95"/>
        <v>0.21550199653107432</v>
      </c>
      <c r="AF485" s="3">
        <f t="shared" si="96"/>
        <v>0.3682283618849953</v>
      </c>
    </row>
    <row r="486" spans="1:32" x14ac:dyDescent="0.2">
      <c r="A486" s="30">
        <v>484</v>
      </c>
      <c r="B486" s="9" t="s">
        <v>1158</v>
      </c>
      <c r="C486" s="12">
        <v>900828</v>
      </c>
      <c r="D486" s="13" t="s">
        <v>485</v>
      </c>
      <c r="E486" s="17">
        <v>15.6390369959</v>
      </c>
      <c r="F486" s="17">
        <v>56.104048650700001</v>
      </c>
      <c r="G486" s="14">
        <v>251</v>
      </c>
      <c r="H486" s="17">
        <v>8.85</v>
      </c>
      <c r="I486" s="17">
        <v>8.8800000000000008</v>
      </c>
      <c r="J486" s="17">
        <v>10.83</v>
      </c>
      <c r="K486" s="17">
        <v>13.08</v>
      </c>
      <c r="L486" s="17">
        <v>13.72</v>
      </c>
      <c r="M486" s="17">
        <f t="shared" si="88"/>
        <v>3.0000000000001137E-2</v>
      </c>
      <c r="N486" s="17">
        <f t="shared" si="89"/>
        <v>1.9800000000000004</v>
      </c>
      <c r="O486" s="17">
        <f t="shared" si="90"/>
        <v>4.2300000000000004</v>
      </c>
      <c r="P486" s="17">
        <f t="shared" si="91"/>
        <v>4.870000000000001</v>
      </c>
      <c r="Q486" s="17">
        <f t="shared" si="92"/>
        <v>-1.0126149446859614</v>
      </c>
      <c r="R486" s="17">
        <f t="shared" si="85"/>
        <v>-0.17641794661975463</v>
      </c>
      <c r="S486" s="17">
        <f t="shared" si="86"/>
        <v>0.87163638368232998</v>
      </c>
      <c r="T486" s="17">
        <f t="shared" si="87"/>
        <v>0.13474935549383912</v>
      </c>
      <c r="U486" s="16">
        <v>8</v>
      </c>
      <c r="V486" s="16">
        <v>11</v>
      </c>
      <c r="W486" s="16">
        <v>13</v>
      </c>
      <c r="X486" s="16">
        <v>14</v>
      </c>
      <c r="Y486" s="15">
        <v>0.33400000000000002</v>
      </c>
      <c r="Z486" s="15">
        <v>0.47499999999999998</v>
      </c>
      <c r="AA486" s="15">
        <v>0.56499999999999995</v>
      </c>
      <c r="AB486" s="15">
        <v>0.68300000000000005</v>
      </c>
      <c r="AC486" s="3">
        <f t="shared" si="93"/>
        <v>-1.0636536455413343</v>
      </c>
      <c r="AD486" s="3">
        <f t="shared" si="94"/>
        <v>-0.84283347937609199</v>
      </c>
      <c r="AE486" s="3">
        <f t="shared" si="95"/>
        <v>-0.94126935598335182</v>
      </c>
      <c r="AF486" s="3">
        <f t="shared" si="96"/>
        <v>-0.76948736780746141</v>
      </c>
    </row>
    <row r="487" spans="1:32" x14ac:dyDescent="0.2">
      <c r="A487" s="30">
        <v>485</v>
      </c>
      <c r="B487" s="9" t="s">
        <v>1471</v>
      </c>
      <c r="C487" s="12">
        <v>900832</v>
      </c>
      <c r="D487" s="13" t="s">
        <v>486</v>
      </c>
      <c r="E487" s="17">
        <v>12.968220967200001</v>
      </c>
      <c r="F487" s="17">
        <v>56.664632944899999</v>
      </c>
      <c r="G487" s="14">
        <v>1</v>
      </c>
      <c r="H487" s="17">
        <v>8.1</v>
      </c>
      <c r="I487" s="17">
        <v>8.3699999999999992</v>
      </c>
      <c r="J487" s="17">
        <v>10.16</v>
      </c>
      <c r="K487" s="17">
        <v>12.19</v>
      </c>
      <c r="L487" s="17">
        <v>13.3</v>
      </c>
      <c r="M487" s="17">
        <f t="shared" si="88"/>
        <v>0.26999999999999957</v>
      </c>
      <c r="N487" s="17">
        <f t="shared" si="89"/>
        <v>2.0600000000000005</v>
      </c>
      <c r="O487" s="17">
        <f t="shared" si="90"/>
        <v>4.09</v>
      </c>
      <c r="P487" s="17">
        <f t="shared" si="91"/>
        <v>5.2000000000000011</v>
      </c>
      <c r="Q487" s="17">
        <f t="shared" si="92"/>
        <v>-0.72020625534771399</v>
      </c>
      <c r="R487" s="17">
        <f t="shared" si="85"/>
        <v>-6.3789201092189232E-2</v>
      </c>
      <c r="S487" s="17">
        <f t="shared" si="86"/>
        <v>0.70906076997298073</v>
      </c>
      <c r="T487" s="17">
        <f t="shared" si="87"/>
        <v>0.46876716660072482</v>
      </c>
      <c r="U487" s="16">
        <v>0</v>
      </c>
      <c r="V487" s="16">
        <v>0</v>
      </c>
      <c r="W487" s="16">
        <v>0</v>
      </c>
      <c r="X487" s="16">
        <v>0</v>
      </c>
      <c r="Y487" s="15">
        <v>0.314</v>
      </c>
      <c r="Z487" s="15">
        <v>0.44500000000000001</v>
      </c>
      <c r="AA487" s="15">
        <v>0.53</v>
      </c>
      <c r="AB487" s="15">
        <v>0.64800000000000002</v>
      </c>
      <c r="AC487" s="3">
        <f t="shared" si="93"/>
        <v>-1.2484671680045625</v>
      </c>
      <c r="AD487" s="3">
        <f t="shared" si="94"/>
        <v>-1.112035916188687</v>
      </c>
      <c r="AE487" s="3">
        <f t="shared" si="95"/>
        <v>-1.2294330381043825</v>
      </c>
      <c r="AF487" s="3">
        <f t="shared" si="96"/>
        <v>-1.0569967579824509</v>
      </c>
    </row>
    <row r="488" spans="1:32" x14ac:dyDescent="0.2">
      <c r="A488" s="30">
        <v>486</v>
      </c>
      <c r="B488" s="9" t="s">
        <v>1472</v>
      </c>
      <c r="C488" s="12">
        <v>900835</v>
      </c>
      <c r="D488" s="13" t="s">
        <v>487</v>
      </c>
      <c r="E488" s="17">
        <v>12.898291546299999</v>
      </c>
      <c r="F488" s="17">
        <v>55.823477687900002</v>
      </c>
      <c r="G488" s="14">
        <v>50</v>
      </c>
      <c r="H488" s="17">
        <v>8.2899999999999991</v>
      </c>
      <c r="I488" s="17">
        <v>8.48</v>
      </c>
      <c r="J488" s="17">
        <v>10.34</v>
      </c>
      <c r="K488" s="17">
        <v>12.41</v>
      </c>
      <c r="L488" s="17">
        <v>13.7</v>
      </c>
      <c r="M488" s="17">
        <f t="shared" si="88"/>
        <v>0.19000000000000128</v>
      </c>
      <c r="N488" s="17">
        <f t="shared" si="89"/>
        <v>2.0500000000000007</v>
      </c>
      <c r="O488" s="17">
        <f t="shared" si="90"/>
        <v>4.120000000000001</v>
      </c>
      <c r="P488" s="17">
        <f t="shared" si="91"/>
        <v>5.41</v>
      </c>
      <c r="Q488" s="17">
        <f t="shared" si="92"/>
        <v>-0.81767581846046167</v>
      </c>
      <c r="R488" s="17">
        <f t="shared" si="85"/>
        <v>-7.7867794283134603E-2</v>
      </c>
      <c r="S488" s="17">
        <f t="shared" si="86"/>
        <v>0.74389840148212816</v>
      </c>
      <c r="T488" s="17">
        <f t="shared" si="87"/>
        <v>0.68132395548692382</v>
      </c>
      <c r="U488" s="16">
        <v>3</v>
      </c>
      <c r="V488" s="16">
        <v>3</v>
      </c>
      <c r="W488" s="16">
        <v>3</v>
      </c>
      <c r="X488" s="16">
        <v>3</v>
      </c>
      <c r="Y488" s="15">
        <v>0.37119999999999997</v>
      </c>
      <c r="Z488" s="15">
        <v>0.51659999999999995</v>
      </c>
      <c r="AA488" s="15">
        <v>0.59299999999999997</v>
      </c>
      <c r="AB488" s="15">
        <v>0.71020000000000005</v>
      </c>
      <c r="AC488" s="3">
        <f t="shared" si="93"/>
        <v>-0.71990049375973064</v>
      </c>
      <c r="AD488" s="3">
        <f t="shared" si="94"/>
        <v>-0.46953943366262674</v>
      </c>
      <c r="AE488" s="3">
        <f t="shared" si="95"/>
        <v>-0.71073841028652662</v>
      </c>
      <c r="AF488" s="3">
        <f t="shared" si="96"/>
        <v>-0.54605149887146986</v>
      </c>
    </row>
    <row r="489" spans="1:32" x14ac:dyDescent="0.2">
      <c r="A489" s="30">
        <v>487</v>
      </c>
      <c r="B489" s="9" t="s">
        <v>1473</v>
      </c>
      <c r="C489" s="12">
        <v>900838</v>
      </c>
      <c r="D489" s="13" t="s">
        <v>488</v>
      </c>
      <c r="E489" s="17">
        <v>11.739933350199999</v>
      </c>
      <c r="F489" s="17">
        <v>57.7863510719</v>
      </c>
      <c r="G489" s="14">
        <v>150</v>
      </c>
      <c r="H489" s="17">
        <v>8.36</v>
      </c>
      <c r="I489" s="17">
        <v>8.6300000000000008</v>
      </c>
      <c r="J489" s="17">
        <v>10.35</v>
      </c>
      <c r="K489" s="17">
        <v>12.59</v>
      </c>
      <c r="L489" s="17">
        <v>13.44</v>
      </c>
      <c r="M489" s="17">
        <f t="shared" si="88"/>
        <v>0.27000000000000135</v>
      </c>
      <c r="N489" s="17">
        <f t="shared" si="89"/>
        <v>1.9900000000000002</v>
      </c>
      <c r="O489" s="17">
        <f t="shared" si="90"/>
        <v>4.2300000000000004</v>
      </c>
      <c r="P489" s="17">
        <f t="shared" si="91"/>
        <v>5.08</v>
      </c>
      <c r="Q489" s="17">
        <f t="shared" si="92"/>
        <v>-0.72020625534771177</v>
      </c>
      <c r="R489" s="17">
        <f t="shared" si="85"/>
        <v>-0.16233935342880926</v>
      </c>
      <c r="S489" s="17">
        <f t="shared" si="86"/>
        <v>0.87163638368232998</v>
      </c>
      <c r="T489" s="17">
        <f t="shared" si="87"/>
        <v>0.3473061443800381</v>
      </c>
      <c r="U489" s="16">
        <v>1</v>
      </c>
      <c r="V489" s="16">
        <v>3</v>
      </c>
      <c r="W489" s="16">
        <v>3</v>
      </c>
      <c r="X489" s="16">
        <v>4</v>
      </c>
      <c r="Y489" s="15">
        <v>0.18675</v>
      </c>
      <c r="Z489" s="15">
        <v>0.31</v>
      </c>
      <c r="AA489" s="15">
        <v>0.40100000000000002</v>
      </c>
      <c r="AB489" s="15">
        <v>0.51549999999999996</v>
      </c>
      <c r="AC489" s="3">
        <f t="shared" si="93"/>
        <v>-2.4243432046768509</v>
      </c>
      <c r="AD489" s="3">
        <f t="shared" si="94"/>
        <v>-2.3234468818453662</v>
      </c>
      <c r="AE489" s="3">
        <f t="shared" si="95"/>
        <v>-2.2915220379218977</v>
      </c>
      <c r="AF489" s="3">
        <f t="shared" si="96"/>
        <v>-2.1454251636449104</v>
      </c>
    </row>
    <row r="490" spans="1:32" x14ac:dyDescent="0.2">
      <c r="A490" s="30">
        <v>488</v>
      </c>
      <c r="B490" s="9" t="s">
        <v>1474</v>
      </c>
      <c r="C490" s="12">
        <v>900840</v>
      </c>
      <c r="D490" s="13" t="s">
        <v>489</v>
      </c>
      <c r="E490" s="17">
        <v>12.7319206389</v>
      </c>
      <c r="F490" s="17">
        <v>56.2319565528</v>
      </c>
      <c r="G490" s="14">
        <v>38</v>
      </c>
      <c r="H490" s="17">
        <v>8.44</v>
      </c>
      <c r="I490" s="17">
        <v>8.68</v>
      </c>
      <c r="J490" s="17">
        <v>10.51</v>
      </c>
      <c r="K490" s="17">
        <v>12.49</v>
      </c>
      <c r="L490" s="17">
        <v>13.71</v>
      </c>
      <c r="M490" s="17">
        <f t="shared" si="88"/>
        <v>0.24000000000000021</v>
      </c>
      <c r="N490" s="17">
        <f t="shared" si="89"/>
        <v>2.0700000000000003</v>
      </c>
      <c r="O490" s="17">
        <f t="shared" si="90"/>
        <v>4.0500000000000007</v>
      </c>
      <c r="P490" s="17">
        <f t="shared" si="91"/>
        <v>5.2700000000000014</v>
      </c>
      <c r="Q490" s="17">
        <f t="shared" si="92"/>
        <v>-0.7567573415149943</v>
      </c>
      <c r="R490" s="17">
        <f t="shared" si="85"/>
        <v>-4.9710607901243875E-2</v>
      </c>
      <c r="S490" s="17">
        <f t="shared" si="86"/>
        <v>0.66261059462745353</v>
      </c>
      <c r="T490" s="17">
        <f t="shared" si="87"/>
        <v>0.53961942956279174</v>
      </c>
      <c r="U490" s="16">
        <v>1</v>
      </c>
      <c r="V490" s="16">
        <v>1</v>
      </c>
      <c r="W490" s="16">
        <v>1</v>
      </c>
      <c r="X490" s="16">
        <v>4</v>
      </c>
      <c r="Y490" s="15">
        <v>0.37119999999999997</v>
      </c>
      <c r="Z490" s="15">
        <v>0.51659999999999995</v>
      </c>
      <c r="AA490" s="15">
        <v>0.59299999999999997</v>
      </c>
      <c r="AB490" s="15">
        <v>0.71020000000000005</v>
      </c>
      <c r="AC490" s="3">
        <f t="shared" si="93"/>
        <v>-0.71990049375973064</v>
      </c>
      <c r="AD490" s="3">
        <f t="shared" si="94"/>
        <v>-0.46953943366262674</v>
      </c>
      <c r="AE490" s="3">
        <f t="shared" si="95"/>
        <v>-0.71073841028652662</v>
      </c>
      <c r="AF490" s="3">
        <f t="shared" si="96"/>
        <v>-0.54605149887146986</v>
      </c>
    </row>
    <row r="491" spans="1:32" x14ac:dyDescent="0.2">
      <c r="A491" s="30">
        <v>489</v>
      </c>
      <c r="B491" s="9" t="s">
        <v>1475</v>
      </c>
      <c r="C491" s="12">
        <v>900841</v>
      </c>
      <c r="D491" s="13" t="s">
        <v>490</v>
      </c>
      <c r="E491" s="17">
        <v>16.449448179099999</v>
      </c>
      <c r="F491" s="17">
        <v>58.620122196700002</v>
      </c>
      <c r="G491" s="14">
        <v>82</v>
      </c>
      <c r="H491" s="17">
        <v>7.16</v>
      </c>
      <c r="I491" s="17">
        <v>7.24</v>
      </c>
      <c r="J491" s="17">
        <v>9.57</v>
      </c>
      <c r="K491" s="17">
        <v>11.67</v>
      </c>
      <c r="L491" s="17">
        <v>12.73</v>
      </c>
      <c r="M491" s="17">
        <f t="shared" si="88"/>
        <v>8.0000000000000071E-2</v>
      </c>
      <c r="N491" s="17">
        <f t="shared" si="89"/>
        <v>2.41</v>
      </c>
      <c r="O491" s="17">
        <f t="shared" si="90"/>
        <v>4.51</v>
      </c>
      <c r="P491" s="17">
        <f t="shared" si="91"/>
        <v>5.57</v>
      </c>
      <c r="Q491" s="17">
        <f t="shared" si="92"/>
        <v>-0.9516964677404941</v>
      </c>
      <c r="R491" s="17">
        <f t="shared" si="85"/>
        <v>0.4289615605909084</v>
      </c>
      <c r="S491" s="17">
        <f t="shared" si="86"/>
        <v>1.1967876111010263</v>
      </c>
      <c r="T491" s="17">
        <f t="shared" si="87"/>
        <v>0.84327198511450485</v>
      </c>
      <c r="U491" s="16">
        <v>1</v>
      </c>
      <c r="V491" s="16">
        <v>2</v>
      </c>
      <c r="W491" s="16">
        <v>5</v>
      </c>
      <c r="X491" s="16">
        <v>6</v>
      </c>
      <c r="Y491" s="15">
        <v>7.0000000000000001E-3</v>
      </c>
      <c r="Z491" s="15">
        <v>0.14199999999999999</v>
      </c>
      <c r="AA491" s="15">
        <v>0.22700000000000001</v>
      </c>
      <c r="AB491" s="15">
        <v>0.34499999999999997</v>
      </c>
      <c r="AC491" s="3">
        <f t="shared" si="93"/>
        <v>-4.0853547378151118</v>
      </c>
      <c r="AD491" s="3">
        <f t="shared" si="94"/>
        <v>-3.8309805279959002</v>
      </c>
      <c r="AE491" s="3">
        <f t="shared" si="95"/>
        <v>-3.7241072004664537</v>
      </c>
      <c r="AF491" s="3">
        <f t="shared" si="96"/>
        <v>-3.5460066214973573</v>
      </c>
    </row>
    <row r="492" spans="1:32" x14ac:dyDescent="0.2">
      <c r="A492" s="30">
        <v>490</v>
      </c>
      <c r="B492" s="9" t="s">
        <v>1347</v>
      </c>
      <c r="C492" s="12">
        <v>900847</v>
      </c>
      <c r="D492" s="13" t="s">
        <v>491</v>
      </c>
      <c r="E492" s="17">
        <v>99.388080308400006</v>
      </c>
      <c r="F492" s="17">
        <v>7.2998075687500004</v>
      </c>
      <c r="G492" s="14">
        <v>241</v>
      </c>
      <c r="H492" s="17">
        <v>26.45</v>
      </c>
      <c r="I492" s="17">
        <v>27.64</v>
      </c>
      <c r="J492" s="17">
        <v>28.74</v>
      </c>
      <c r="K492" s="17">
        <v>30.11</v>
      </c>
      <c r="L492" s="17">
        <v>31.17</v>
      </c>
      <c r="M492" s="17">
        <f t="shared" si="88"/>
        <v>1.1900000000000013</v>
      </c>
      <c r="N492" s="17">
        <f t="shared" si="89"/>
        <v>2.2899999999999991</v>
      </c>
      <c r="O492" s="17">
        <f t="shared" si="90"/>
        <v>3.66</v>
      </c>
      <c r="P492" s="17">
        <f t="shared" si="91"/>
        <v>4.7200000000000024</v>
      </c>
      <c r="Q492" s="17">
        <f t="shared" si="92"/>
        <v>0.4006937204489105</v>
      </c>
      <c r="R492" s="17">
        <f t="shared" si="85"/>
        <v>0.26001844229955906</v>
      </c>
      <c r="S492" s="17">
        <f t="shared" si="86"/>
        <v>0.20972138500855328</v>
      </c>
      <c r="T492" s="17">
        <f t="shared" si="87"/>
        <v>-1.7076922282016543E-2</v>
      </c>
      <c r="U492" s="16">
        <v>4</v>
      </c>
      <c r="V492" s="16">
        <v>6</v>
      </c>
      <c r="W492" s="16">
        <v>6</v>
      </c>
      <c r="X492" s="16">
        <v>10</v>
      </c>
      <c r="Y492" s="15">
        <v>0.44900000000000001</v>
      </c>
      <c r="Z492" s="15">
        <v>0.55800000000000005</v>
      </c>
      <c r="AA492" s="15">
        <v>0.66800000000000004</v>
      </c>
      <c r="AB492" s="15">
        <v>0.77200000000000002</v>
      </c>
      <c r="AC492" s="3">
        <f t="shared" si="93"/>
        <v>-9.7589137777333735E-4</v>
      </c>
      <c r="AD492" s="3">
        <f t="shared" si="94"/>
        <v>-9.8040070861244208E-2</v>
      </c>
      <c r="AE492" s="3">
        <f t="shared" si="95"/>
        <v>-9.3244805741459005E-2</v>
      </c>
      <c r="AF492" s="3">
        <f t="shared" si="96"/>
        <v>-3.8392061362489266E-2</v>
      </c>
    </row>
    <row r="493" spans="1:32" x14ac:dyDescent="0.2">
      <c r="A493" s="30">
        <v>491</v>
      </c>
      <c r="B493" s="9" t="s">
        <v>1476</v>
      </c>
      <c r="C493" s="12">
        <v>900848</v>
      </c>
      <c r="D493" s="13" t="s">
        <v>492</v>
      </c>
      <c r="E493" s="17">
        <v>98.4682177233</v>
      </c>
      <c r="F493" s="17">
        <v>9.7096769639500007</v>
      </c>
      <c r="G493" s="14">
        <v>772</v>
      </c>
      <c r="H493" s="17">
        <v>26.01</v>
      </c>
      <c r="I493" s="17">
        <v>27.2</v>
      </c>
      <c r="J493" s="17">
        <v>28.4</v>
      </c>
      <c r="K493" s="17">
        <v>29.67</v>
      </c>
      <c r="L493" s="17">
        <v>30.63</v>
      </c>
      <c r="M493" s="17">
        <f t="shared" si="88"/>
        <v>1.1899999999999977</v>
      </c>
      <c r="N493" s="17">
        <f t="shared" si="89"/>
        <v>2.389999999999997</v>
      </c>
      <c r="O493" s="17">
        <f t="shared" si="90"/>
        <v>3.66</v>
      </c>
      <c r="P493" s="17">
        <f t="shared" si="91"/>
        <v>4.6199999999999974</v>
      </c>
      <c r="Q493" s="17">
        <f t="shared" si="92"/>
        <v>0.40069372044890617</v>
      </c>
      <c r="R493" s="17">
        <f t="shared" si="85"/>
        <v>0.40080437420901266</v>
      </c>
      <c r="S493" s="17">
        <f t="shared" si="86"/>
        <v>0.20972138500855328</v>
      </c>
      <c r="T493" s="17">
        <f t="shared" si="87"/>
        <v>-0.11829444079925965</v>
      </c>
      <c r="U493" s="16">
        <v>10</v>
      </c>
      <c r="V493" s="16">
        <v>13</v>
      </c>
      <c r="W493" s="16">
        <v>14</v>
      </c>
      <c r="X493" s="16">
        <v>19</v>
      </c>
      <c r="Y493" s="15">
        <v>0.45</v>
      </c>
      <c r="Z493" s="15">
        <v>0.55800000000000005</v>
      </c>
      <c r="AA493" s="15">
        <v>0.67100000000000004</v>
      </c>
      <c r="AB493" s="15">
        <v>0.77800000000000002</v>
      </c>
      <c r="AC493" s="3">
        <f t="shared" si="93"/>
        <v>8.2647847453880714E-3</v>
      </c>
      <c r="AD493" s="3">
        <f t="shared" si="94"/>
        <v>-9.8040070861244208E-2</v>
      </c>
      <c r="AE493" s="3">
        <f t="shared" si="95"/>
        <v>-6.8545061559656298E-2</v>
      </c>
      <c r="AF493" s="3">
        <f t="shared" si="96"/>
        <v>1.0895262667508917E-2</v>
      </c>
    </row>
    <row r="494" spans="1:32" x14ac:dyDescent="0.2">
      <c r="A494" s="30">
        <v>492</v>
      </c>
      <c r="B494" s="9" t="s">
        <v>1348</v>
      </c>
      <c r="C494" s="12">
        <v>900850</v>
      </c>
      <c r="D494" s="13" t="s">
        <v>493</v>
      </c>
      <c r="E494" s="17">
        <v>98.523059606199993</v>
      </c>
      <c r="F494" s="17">
        <v>8.1941636614500002</v>
      </c>
      <c r="G494" s="14">
        <v>256</v>
      </c>
      <c r="H494" s="17">
        <v>26.34</v>
      </c>
      <c r="I494" s="17">
        <v>27.43</v>
      </c>
      <c r="J494" s="17">
        <v>28.64</v>
      </c>
      <c r="K494" s="17">
        <v>30.09</v>
      </c>
      <c r="L494" s="17">
        <v>31.04</v>
      </c>
      <c r="M494" s="17">
        <f t="shared" si="88"/>
        <v>1.0899999999999999</v>
      </c>
      <c r="N494" s="17">
        <f t="shared" si="89"/>
        <v>2.3000000000000007</v>
      </c>
      <c r="O494" s="17">
        <f t="shared" si="90"/>
        <v>3.75</v>
      </c>
      <c r="P494" s="17">
        <f t="shared" si="91"/>
        <v>4.6999999999999993</v>
      </c>
      <c r="Q494" s="17">
        <f t="shared" si="92"/>
        <v>0.27885676655797154</v>
      </c>
      <c r="R494" s="17">
        <f t="shared" si="85"/>
        <v>0.2740970354905069</v>
      </c>
      <c r="S494" s="17">
        <f t="shared" si="86"/>
        <v>0.31423427953599148</v>
      </c>
      <c r="T494" s="17">
        <f t="shared" si="87"/>
        <v>-3.7320425985467323E-2</v>
      </c>
      <c r="U494" s="16">
        <v>3</v>
      </c>
      <c r="V494" s="16">
        <v>3</v>
      </c>
      <c r="W494" s="16">
        <v>3</v>
      </c>
      <c r="X494" s="16">
        <v>4</v>
      </c>
      <c r="Y494" s="15">
        <v>0.44600000000000001</v>
      </c>
      <c r="Z494" s="15">
        <v>0.55700000000000005</v>
      </c>
      <c r="AA494" s="15">
        <v>0.66900000000000004</v>
      </c>
      <c r="AB494" s="15">
        <v>0.77200000000000002</v>
      </c>
      <c r="AC494" s="3">
        <f t="shared" si="93"/>
        <v>-2.8697919747257564E-2</v>
      </c>
      <c r="AD494" s="3">
        <f t="shared" si="94"/>
        <v>-0.10701348542166406</v>
      </c>
      <c r="AE494" s="3">
        <f t="shared" si="95"/>
        <v>-8.5011557680858094E-2</v>
      </c>
      <c r="AF494" s="3">
        <f t="shared" si="96"/>
        <v>-3.8392061362489266E-2</v>
      </c>
    </row>
    <row r="495" spans="1:32" x14ac:dyDescent="0.2">
      <c r="A495" s="30">
        <v>493</v>
      </c>
      <c r="B495" s="9" t="s">
        <v>1349</v>
      </c>
      <c r="C495" s="12">
        <v>900889</v>
      </c>
      <c r="D495" s="13" t="s">
        <v>494</v>
      </c>
      <c r="E495" s="17">
        <v>107.175670009</v>
      </c>
      <c r="F495" s="17">
        <v>20.843786588899999</v>
      </c>
      <c r="G495" s="14">
        <v>623</v>
      </c>
      <c r="H495" s="17">
        <v>22.31</v>
      </c>
      <c r="I495" s="17">
        <v>24.2</v>
      </c>
      <c r="J495" s="17">
        <v>25.2</v>
      </c>
      <c r="K495" s="17">
        <v>25.9</v>
      </c>
      <c r="L495" s="17">
        <v>27.94</v>
      </c>
      <c r="M495" s="17">
        <f t="shared" si="88"/>
        <v>1.8900000000000006</v>
      </c>
      <c r="N495" s="17">
        <f t="shared" si="89"/>
        <v>2.8900000000000006</v>
      </c>
      <c r="O495" s="17">
        <f t="shared" si="90"/>
        <v>3.59</v>
      </c>
      <c r="P495" s="17">
        <f t="shared" si="91"/>
        <v>5.6300000000000026</v>
      </c>
      <c r="Q495" s="17">
        <f t="shared" si="92"/>
        <v>1.2535523976854701</v>
      </c>
      <c r="R495" s="17">
        <f t="shared" si="85"/>
        <v>1.1047340337563007</v>
      </c>
      <c r="S495" s="17">
        <f t="shared" si="86"/>
        <v>0.12843357815387868</v>
      </c>
      <c r="T495" s="17">
        <f t="shared" si="87"/>
        <v>0.90400249622484996</v>
      </c>
      <c r="U495" s="16">
        <v>5</v>
      </c>
      <c r="V495" s="16">
        <v>7</v>
      </c>
      <c r="W495" s="16">
        <v>8</v>
      </c>
      <c r="X495" s="16">
        <v>17</v>
      </c>
      <c r="Y495" s="15">
        <v>0.42799999999999999</v>
      </c>
      <c r="Z495" s="15">
        <v>0.56100000000000005</v>
      </c>
      <c r="AA495" s="15">
        <v>0.67100000000000004</v>
      </c>
      <c r="AB495" s="15">
        <v>0.77100000000000002</v>
      </c>
      <c r="AC495" s="3">
        <f t="shared" si="93"/>
        <v>-0.19503008996416291</v>
      </c>
      <c r="AD495" s="3">
        <f t="shared" si="94"/>
        <v>-7.1119827179984649E-2</v>
      </c>
      <c r="AE495" s="3">
        <f t="shared" si="95"/>
        <v>-6.8545061559656298E-2</v>
      </c>
      <c r="AF495" s="3">
        <f t="shared" si="96"/>
        <v>-4.6606615367488967E-2</v>
      </c>
    </row>
    <row r="496" spans="1:32" x14ac:dyDescent="0.2">
      <c r="A496" s="30">
        <v>494</v>
      </c>
      <c r="B496" s="9" t="s">
        <v>1159</v>
      </c>
      <c r="C496" s="12">
        <v>900891</v>
      </c>
      <c r="D496" s="13" t="s">
        <v>495</v>
      </c>
      <c r="E496" s="17">
        <v>4.5078560097900002</v>
      </c>
      <c r="F496" s="17">
        <v>51.702373625699998</v>
      </c>
      <c r="G496" s="14">
        <v>88</v>
      </c>
      <c r="H496" s="17">
        <v>11.42</v>
      </c>
      <c r="I496" s="17">
        <v>11</v>
      </c>
      <c r="J496" s="17">
        <v>12.42</v>
      </c>
      <c r="K496" s="17">
        <v>14.65</v>
      </c>
      <c r="L496" s="17">
        <v>15.94</v>
      </c>
      <c r="M496" s="17">
        <f t="shared" si="88"/>
        <v>-0.41999999999999993</v>
      </c>
      <c r="N496" s="17">
        <f t="shared" si="89"/>
        <v>1</v>
      </c>
      <c r="O496" s="17">
        <f t="shared" si="90"/>
        <v>3.2300000000000004</v>
      </c>
      <c r="P496" s="17">
        <f t="shared" si="91"/>
        <v>4.5199999999999996</v>
      </c>
      <c r="Q496" s="17">
        <f t="shared" si="92"/>
        <v>-1.5608812371951801</v>
      </c>
      <c r="R496" s="17">
        <f t="shared" si="85"/>
        <v>-1.5561200793324299</v>
      </c>
      <c r="S496" s="17">
        <f t="shared" si="86"/>
        <v>-0.28961799995587417</v>
      </c>
      <c r="T496" s="17">
        <f t="shared" si="87"/>
        <v>-0.21951195931649556</v>
      </c>
      <c r="U496" s="16">
        <v>18</v>
      </c>
      <c r="V496" s="16">
        <v>28</v>
      </c>
      <c r="W496" s="16">
        <v>29</v>
      </c>
      <c r="X496" s="16">
        <v>31</v>
      </c>
      <c r="Y496" s="15">
        <v>0.47299999999999998</v>
      </c>
      <c r="Z496" s="15">
        <v>0.59699999999999998</v>
      </c>
      <c r="AA496" s="15">
        <v>0.68899999999999995</v>
      </c>
      <c r="AB496" s="15">
        <v>0.80500000000000005</v>
      </c>
      <c r="AC496" s="3">
        <f t="shared" si="93"/>
        <v>0.22080033557809994</v>
      </c>
      <c r="AD496" s="3">
        <f t="shared" si="94"/>
        <v>0.25192309699512905</v>
      </c>
      <c r="AE496" s="3">
        <f t="shared" si="95"/>
        <v>7.9653403531159003E-2</v>
      </c>
      <c r="AF496" s="3">
        <f t="shared" si="96"/>
        <v>0.23268822080250073</v>
      </c>
    </row>
    <row r="497" spans="1:32" x14ac:dyDescent="0.2">
      <c r="A497" s="30">
        <v>495</v>
      </c>
      <c r="B497" s="9" t="s">
        <v>1160</v>
      </c>
      <c r="C497" s="12">
        <v>900894</v>
      </c>
      <c r="D497" s="13" t="s">
        <v>496</v>
      </c>
      <c r="E497" s="17">
        <v>5.5127194409599998</v>
      </c>
      <c r="F497" s="17">
        <v>52.938764422600002</v>
      </c>
      <c r="G497" s="14">
        <v>60</v>
      </c>
      <c r="H497" s="17">
        <v>10.75</v>
      </c>
      <c r="I497" s="17">
        <v>10.64</v>
      </c>
      <c r="J497" s="17">
        <v>11.96</v>
      </c>
      <c r="K497" s="17">
        <v>14</v>
      </c>
      <c r="L497" s="17">
        <v>15.25</v>
      </c>
      <c r="M497" s="17">
        <f t="shared" si="88"/>
        <v>-0.10999999999999943</v>
      </c>
      <c r="N497" s="17">
        <f t="shared" si="89"/>
        <v>1.2100000000000009</v>
      </c>
      <c r="O497" s="17">
        <f t="shared" si="90"/>
        <v>3.25</v>
      </c>
      <c r="P497" s="17">
        <f t="shared" si="91"/>
        <v>4.5</v>
      </c>
      <c r="Q497" s="17">
        <f t="shared" si="92"/>
        <v>-1.1831866801332742</v>
      </c>
      <c r="R497" s="17">
        <f t="shared" si="85"/>
        <v>-1.26046962232257</v>
      </c>
      <c r="S497" s="17">
        <f t="shared" si="86"/>
        <v>-0.26639291228311057</v>
      </c>
      <c r="T497" s="17">
        <f t="shared" si="87"/>
        <v>-0.23975546301994274</v>
      </c>
      <c r="U497" s="16">
        <v>1</v>
      </c>
      <c r="V497" s="16">
        <v>2</v>
      </c>
      <c r="W497" s="16">
        <v>2</v>
      </c>
      <c r="X497" s="16">
        <v>2</v>
      </c>
      <c r="Y497" s="15">
        <v>0.46800000000000003</v>
      </c>
      <c r="Z497" s="15">
        <v>0.59199999999999997</v>
      </c>
      <c r="AA497" s="15">
        <v>0.68400000000000005</v>
      </c>
      <c r="AB497" s="15">
        <v>0.8</v>
      </c>
      <c r="AC497" s="3">
        <f t="shared" si="93"/>
        <v>0.17459695496229341</v>
      </c>
      <c r="AD497" s="3">
        <f t="shared" si="94"/>
        <v>0.20705602419302982</v>
      </c>
      <c r="AE497" s="3">
        <f t="shared" si="95"/>
        <v>3.8487163228155416E-2</v>
      </c>
      <c r="AF497" s="3">
        <f t="shared" si="96"/>
        <v>0.19161545077750225</v>
      </c>
    </row>
    <row r="498" spans="1:32" x14ac:dyDescent="0.2">
      <c r="A498" s="30">
        <v>496</v>
      </c>
      <c r="B498" s="9" t="s">
        <v>1161</v>
      </c>
      <c r="C498" s="12">
        <v>900898</v>
      </c>
      <c r="D498" s="13" t="s">
        <v>497</v>
      </c>
      <c r="E498" s="17">
        <v>3.6801016849899999</v>
      </c>
      <c r="F498" s="17">
        <v>51.752240014999998</v>
      </c>
      <c r="G498" s="14">
        <v>1762</v>
      </c>
      <c r="H498" s="17">
        <v>11.89</v>
      </c>
      <c r="I498" s="17">
        <v>11.43</v>
      </c>
      <c r="J498" s="17">
        <v>12.92</v>
      </c>
      <c r="K498" s="17">
        <v>14.99</v>
      </c>
      <c r="L498" s="17">
        <v>16.16</v>
      </c>
      <c r="M498" s="17">
        <f t="shared" si="88"/>
        <v>-0.46000000000000085</v>
      </c>
      <c r="N498" s="17">
        <f t="shared" si="89"/>
        <v>1.0299999999999994</v>
      </c>
      <c r="O498" s="17">
        <f t="shared" si="90"/>
        <v>3.0999999999999996</v>
      </c>
      <c r="P498" s="17">
        <f t="shared" si="91"/>
        <v>4.2699999999999996</v>
      </c>
      <c r="Q498" s="17">
        <f t="shared" si="92"/>
        <v>-1.6096160187515562</v>
      </c>
      <c r="R498" s="17">
        <f t="shared" si="85"/>
        <v>-1.5138842997595938</v>
      </c>
      <c r="S498" s="17">
        <f t="shared" si="86"/>
        <v>-0.4405810698288416</v>
      </c>
      <c r="T498" s="17">
        <f t="shared" si="87"/>
        <v>-0.47255575560959073</v>
      </c>
      <c r="U498" s="16">
        <v>13</v>
      </c>
      <c r="V498" s="16">
        <v>20</v>
      </c>
      <c r="W498" s="16">
        <v>20</v>
      </c>
      <c r="X498" s="16">
        <v>23</v>
      </c>
      <c r="Y498" s="15">
        <v>0.49075000000000002</v>
      </c>
      <c r="Z498" s="15">
        <v>0.61375000000000002</v>
      </c>
      <c r="AA498" s="15">
        <v>0.70550000000000002</v>
      </c>
      <c r="AB498" s="15">
        <v>0.82150000000000001</v>
      </c>
      <c r="AC498" s="3">
        <f t="shared" si="93"/>
        <v>0.38482233676421523</v>
      </c>
      <c r="AD498" s="3">
        <f t="shared" si="94"/>
        <v>0.40222779088216187</v>
      </c>
      <c r="AE498" s="3">
        <f t="shared" si="95"/>
        <v>0.21550199653107432</v>
      </c>
      <c r="AF498" s="3">
        <f t="shared" si="96"/>
        <v>0.3682283618849953</v>
      </c>
    </row>
    <row r="499" spans="1:32" x14ac:dyDescent="0.2">
      <c r="A499" s="30">
        <v>497</v>
      </c>
      <c r="B499" s="9" t="s">
        <v>1162</v>
      </c>
      <c r="C499" s="12">
        <v>900899</v>
      </c>
      <c r="D499" s="13" t="s">
        <v>498</v>
      </c>
      <c r="E499" s="17">
        <v>4.0645555097699999</v>
      </c>
      <c r="F499" s="17">
        <v>51.893223738899998</v>
      </c>
      <c r="G499" s="14">
        <v>12</v>
      </c>
      <c r="H499" s="17">
        <v>11.71</v>
      </c>
      <c r="I499" s="17">
        <v>11.29</v>
      </c>
      <c r="J499" s="17">
        <v>12.75</v>
      </c>
      <c r="K499" s="17">
        <v>14.85</v>
      </c>
      <c r="L499" s="17">
        <v>16.05</v>
      </c>
      <c r="M499" s="17">
        <f t="shared" si="88"/>
        <v>-0.42000000000000171</v>
      </c>
      <c r="N499" s="17">
        <f t="shared" si="89"/>
        <v>1.0399999999999991</v>
      </c>
      <c r="O499" s="17">
        <f t="shared" si="90"/>
        <v>3.1399999999999988</v>
      </c>
      <c r="P499" s="17">
        <f t="shared" si="91"/>
        <v>4.34</v>
      </c>
      <c r="Q499" s="17">
        <f t="shared" si="92"/>
        <v>-1.5608812371951823</v>
      </c>
      <c r="R499" s="17">
        <f t="shared" si="85"/>
        <v>-1.4998057065686485</v>
      </c>
      <c r="S499" s="17">
        <f t="shared" si="86"/>
        <v>-0.3941308944833144</v>
      </c>
      <c r="T499" s="17">
        <f t="shared" si="87"/>
        <v>-0.40170349264752375</v>
      </c>
      <c r="U499" s="16">
        <v>0</v>
      </c>
      <c r="V499" s="16">
        <v>0</v>
      </c>
      <c r="W499" s="16">
        <v>0</v>
      </c>
      <c r="X499" s="16">
        <v>1</v>
      </c>
      <c r="Y499" s="15">
        <v>0.49075000000000002</v>
      </c>
      <c r="Z499" s="15">
        <v>0.61375000000000002</v>
      </c>
      <c r="AA499" s="15">
        <v>0.70550000000000002</v>
      </c>
      <c r="AB499" s="15">
        <v>0.82150000000000001</v>
      </c>
      <c r="AC499" s="3">
        <f t="shared" si="93"/>
        <v>0.38482233676421523</v>
      </c>
      <c r="AD499" s="3">
        <f t="shared" si="94"/>
        <v>0.40222779088216187</v>
      </c>
      <c r="AE499" s="3">
        <f t="shared" si="95"/>
        <v>0.21550199653107432</v>
      </c>
      <c r="AF499" s="3">
        <f t="shared" si="96"/>
        <v>0.3682283618849953</v>
      </c>
    </row>
    <row r="500" spans="1:32" x14ac:dyDescent="0.2">
      <c r="A500" s="30">
        <v>498</v>
      </c>
      <c r="B500" s="9" t="s">
        <v>1163</v>
      </c>
      <c r="C500" s="12">
        <v>901218</v>
      </c>
      <c r="D500" s="13" t="s">
        <v>499</v>
      </c>
      <c r="E500" s="17">
        <v>3.9924865245599999</v>
      </c>
      <c r="F500" s="17">
        <v>51.742913015600003</v>
      </c>
      <c r="G500" s="14">
        <v>227</v>
      </c>
      <c r="H500" s="17">
        <v>11.74</v>
      </c>
      <c r="I500" s="17">
        <v>11.29</v>
      </c>
      <c r="J500" s="17">
        <v>12.75</v>
      </c>
      <c r="K500" s="17">
        <v>14.88</v>
      </c>
      <c r="L500" s="17">
        <v>16.100000000000001</v>
      </c>
      <c r="M500" s="17">
        <f t="shared" si="88"/>
        <v>-0.45000000000000107</v>
      </c>
      <c r="N500" s="17">
        <f t="shared" si="89"/>
        <v>1.0099999999999998</v>
      </c>
      <c r="O500" s="17">
        <f t="shared" si="90"/>
        <v>3.1400000000000006</v>
      </c>
      <c r="P500" s="17">
        <f t="shared" si="91"/>
        <v>4.3600000000000012</v>
      </c>
      <c r="Q500" s="17">
        <f t="shared" si="92"/>
        <v>-1.5974323233624628</v>
      </c>
      <c r="R500" s="17">
        <f t="shared" si="85"/>
        <v>-1.5420414861414846</v>
      </c>
      <c r="S500" s="17">
        <f t="shared" si="86"/>
        <v>-0.39413089448331234</v>
      </c>
      <c r="T500" s="17">
        <f t="shared" si="87"/>
        <v>-0.38145998894407479</v>
      </c>
      <c r="U500" s="16">
        <v>11</v>
      </c>
      <c r="V500" s="16">
        <v>11</v>
      </c>
      <c r="W500" s="16">
        <v>11</v>
      </c>
      <c r="X500" s="16">
        <v>12</v>
      </c>
      <c r="Y500" s="15">
        <v>0.49075000000000002</v>
      </c>
      <c r="Z500" s="15">
        <v>0.61375000000000002</v>
      </c>
      <c r="AA500" s="15">
        <v>0.70550000000000002</v>
      </c>
      <c r="AB500" s="15">
        <v>0.82150000000000001</v>
      </c>
      <c r="AC500" s="3">
        <f t="shared" si="93"/>
        <v>0.38482233676421523</v>
      </c>
      <c r="AD500" s="3">
        <f t="shared" si="94"/>
        <v>0.40222779088216187</v>
      </c>
      <c r="AE500" s="3">
        <f t="shared" si="95"/>
        <v>0.21550199653107432</v>
      </c>
      <c r="AF500" s="3">
        <f t="shared" si="96"/>
        <v>0.3682283618849953</v>
      </c>
    </row>
    <row r="501" spans="1:32" x14ac:dyDescent="0.2">
      <c r="A501" s="30">
        <v>499</v>
      </c>
      <c r="B501" s="9" t="s">
        <v>1477</v>
      </c>
      <c r="C501" s="12">
        <v>901221</v>
      </c>
      <c r="D501" s="13" t="s">
        <v>500</v>
      </c>
      <c r="E501" s="17">
        <v>-77.440382142900006</v>
      </c>
      <c r="F501" s="17">
        <v>21.7113987209</v>
      </c>
      <c r="G501" s="14">
        <v>235</v>
      </c>
      <c r="H501" s="17">
        <v>24.6</v>
      </c>
      <c r="I501" s="17">
        <v>25.31</v>
      </c>
      <c r="J501" s="17">
        <v>26.16</v>
      </c>
      <c r="K501" s="17">
        <v>28.28</v>
      </c>
      <c r="L501" s="17">
        <v>28.75</v>
      </c>
      <c r="M501" s="17">
        <f t="shared" si="88"/>
        <v>0.7099999999999973</v>
      </c>
      <c r="N501" s="17">
        <f t="shared" si="89"/>
        <v>1.5599999999999987</v>
      </c>
      <c r="O501" s="17">
        <f t="shared" si="90"/>
        <v>3.6799999999999997</v>
      </c>
      <c r="P501" s="17">
        <f t="shared" si="91"/>
        <v>4.1499999999999986</v>
      </c>
      <c r="Q501" s="17">
        <f t="shared" si="92"/>
        <v>-0.184123658227593</v>
      </c>
      <c r="R501" s="17">
        <f t="shared" si="85"/>
        <v>-0.76771886063947481</v>
      </c>
      <c r="S501" s="17">
        <f t="shared" si="86"/>
        <v>0.23294647268131688</v>
      </c>
      <c r="T501" s="17">
        <f t="shared" si="87"/>
        <v>-0.5940167778302774</v>
      </c>
      <c r="U501" s="16">
        <v>23</v>
      </c>
      <c r="V501" s="16">
        <v>31</v>
      </c>
      <c r="W501" s="16">
        <v>32</v>
      </c>
      <c r="X501" s="16">
        <v>38</v>
      </c>
      <c r="Y501" s="15">
        <v>0.45600000000000002</v>
      </c>
      <c r="Z501" s="15">
        <v>0.57399999999999995</v>
      </c>
      <c r="AA501" s="15">
        <v>0.67</v>
      </c>
      <c r="AB501" s="15">
        <v>0.75</v>
      </c>
      <c r="AC501" s="3">
        <f t="shared" si="93"/>
        <v>6.3708841484356515E-2</v>
      </c>
      <c r="AD501" s="3">
        <f t="shared" si="94"/>
        <v>4.5534562105472451E-2</v>
      </c>
      <c r="AE501" s="3">
        <f t="shared" si="95"/>
        <v>-7.6778309620257196E-2</v>
      </c>
      <c r="AF501" s="3">
        <f t="shared" si="96"/>
        <v>-0.21911224947248262</v>
      </c>
    </row>
    <row r="502" spans="1:32" x14ac:dyDescent="0.2">
      <c r="A502" s="30">
        <v>500</v>
      </c>
      <c r="B502" s="9" t="s">
        <v>1164</v>
      </c>
      <c r="C502" s="12">
        <v>901231</v>
      </c>
      <c r="D502" s="13" t="s">
        <v>501</v>
      </c>
      <c r="E502" s="17">
        <v>8.0074965105100002</v>
      </c>
      <c r="F502" s="17">
        <v>36.7848162254</v>
      </c>
      <c r="G502" s="14">
        <v>90</v>
      </c>
      <c r="H502" s="17">
        <v>16.48</v>
      </c>
      <c r="I502" s="17">
        <v>18.309999999999999</v>
      </c>
      <c r="J502" s="17">
        <v>19.940000000000001</v>
      </c>
      <c r="K502" s="17">
        <v>21.81</v>
      </c>
      <c r="L502" s="17">
        <v>23.61</v>
      </c>
      <c r="M502" s="17">
        <f t="shared" si="88"/>
        <v>1.8299999999999983</v>
      </c>
      <c r="N502" s="17">
        <f t="shared" si="89"/>
        <v>3.4600000000000009</v>
      </c>
      <c r="O502" s="17">
        <f t="shared" si="90"/>
        <v>5.3299999999999983</v>
      </c>
      <c r="P502" s="17">
        <f t="shared" si="91"/>
        <v>7.129999999999999</v>
      </c>
      <c r="Q502" s="17">
        <f t="shared" si="92"/>
        <v>1.180450225350905</v>
      </c>
      <c r="R502" s="17">
        <f t="shared" si="85"/>
        <v>1.9072138456402039</v>
      </c>
      <c r="S502" s="17">
        <f t="shared" si="86"/>
        <v>2.1490162056843518</v>
      </c>
      <c r="T502" s="17">
        <f t="shared" si="87"/>
        <v>2.4222652739834172</v>
      </c>
      <c r="U502" s="16">
        <v>84</v>
      </c>
      <c r="V502" s="16">
        <v>84</v>
      </c>
      <c r="W502" s="16">
        <v>86</v>
      </c>
      <c r="X502" s="16">
        <v>86</v>
      </c>
      <c r="Y502" s="15">
        <v>0.441</v>
      </c>
      <c r="Z502" s="15">
        <v>0.56000000000000005</v>
      </c>
      <c r="AA502" s="15">
        <v>0.67</v>
      </c>
      <c r="AB502" s="15">
        <v>0.76800000000000002</v>
      </c>
      <c r="AC502" s="3">
        <f t="shared" si="93"/>
        <v>-7.490130036306461E-2</v>
      </c>
      <c r="AD502" s="3">
        <f t="shared" si="94"/>
        <v>-8.0093241740404497E-2</v>
      </c>
      <c r="AE502" s="3">
        <f t="shared" si="95"/>
        <v>-7.6778309620257196E-2</v>
      </c>
      <c r="AF502" s="3">
        <f t="shared" si="96"/>
        <v>-7.1250277382488056E-2</v>
      </c>
    </row>
    <row r="503" spans="1:32" x14ac:dyDescent="0.2">
      <c r="A503" s="30">
        <v>501</v>
      </c>
      <c r="B503" s="9" t="s">
        <v>1478</v>
      </c>
      <c r="C503" s="12">
        <v>901232</v>
      </c>
      <c r="D503" s="13" t="s">
        <v>502</v>
      </c>
      <c r="E503" s="17">
        <v>6.1155622862900003</v>
      </c>
      <c r="F503" s="17">
        <v>36.859254979500001</v>
      </c>
      <c r="G503" s="14">
        <v>5</v>
      </c>
      <c r="H503" s="17">
        <v>15.91</v>
      </c>
      <c r="I503" s="17">
        <v>17.46</v>
      </c>
      <c r="J503" s="17">
        <v>19.100000000000001</v>
      </c>
      <c r="K503" s="17">
        <v>20.5</v>
      </c>
      <c r="L503" s="17">
        <v>22.51</v>
      </c>
      <c r="M503" s="17">
        <f t="shared" si="88"/>
        <v>1.5500000000000007</v>
      </c>
      <c r="N503" s="17">
        <f t="shared" si="89"/>
        <v>3.1900000000000013</v>
      </c>
      <c r="O503" s="17">
        <f t="shared" si="90"/>
        <v>4.59</v>
      </c>
      <c r="P503" s="17">
        <f t="shared" si="91"/>
        <v>6.6000000000000014</v>
      </c>
      <c r="Q503" s="17">
        <f t="shared" si="92"/>
        <v>0.83930675445628378</v>
      </c>
      <c r="R503" s="17">
        <f t="shared" si="85"/>
        <v>1.5270918294846716</v>
      </c>
      <c r="S503" s="17">
        <f t="shared" si="86"/>
        <v>1.2896879617920827</v>
      </c>
      <c r="T503" s="17">
        <f t="shared" si="87"/>
        <v>1.8858124258420581</v>
      </c>
      <c r="U503" s="16">
        <v>0</v>
      </c>
      <c r="V503" s="16">
        <v>0</v>
      </c>
      <c r="W503" s="16">
        <v>0</v>
      </c>
      <c r="X503" s="16">
        <v>1</v>
      </c>
      <c r="Y503" s="15">
        <v>0.45</v>
      </c>
      <c r="Z503" s="15">
        <v>0.56299999999999994</v>
      </c>
      <c r="AA503" s="15">
        <v>0.67200000000000004</v>
      </c>
      <c r="AB503" s="15">
        <v>0.77200000000000002</v>
      </c>
      <c r="AC503" s="3">
        <f t="shared" si="93"/>
        <v>8.2647847453880714E-3</v>
      </c>
      <c r="AD503" s="3">
        <f t="shared" si="94"/>
        <v>-5.3172998059145937E-2</v>
      </c>
      <c r="AE503" s="3">
        <f t="shared" si="95"/>
        <v>-6.0311813499055393E-2</v>
      </c>
      <c r="AF503" s="3">
        <f t="shared" si="96"/>
        <v>-3.8392061362489266E-2</v>
      </c>
    </row>
    <row r="504" spans="1:32" x14ac:dyDescent="0.2">
      <c r="A504" s="30">
        <v>502</v>
      </c>
      <c r="B504" s="9" t="s">
        <v>1479</v>
      </c>
      <c r="C504" s="12">
        <v>901253</v>
      </c>
      <c r="D504" s="13" t="s">
        <v>503</v>
      </c>
      <c r="E504" s="17">
        <v>-84.326186956000001</v>
      </c>
      <c r="F504" s="17">
        <v>11.4419480383</v>
      </c>
      <c r="G504" s="14">
        <v>2575</v>
      </c>
      <c r="H504" s="17">
        <v>25.23</v>
      </c>
      <c r="I504" s="17">
        <v>25.83</v>
      </c>
      <c r="J504" s="17">
        <v>27.22</v>
      </c>
      <c r="K504" s="17">
        <v>28.43</v>
      </c>
      <c r="L504" s="17">
        <v>29.73</v>
      </c>
      <c r="M504" s="17">
        <f t="shared" si="88"/>
        <v>0.59999999999999787</v>
      </c>
      <c r="N504" s="17">
        <f t="shared" si="89"/>
        <v>1.9899999999999984</v>
      </c>
      <c r="O504" s="17">
        <f t="shared" si="90"/>
        <v>3.1999999999999993</v>
      </c>
      <c r="P504" s="17">
        <f t="shared" si="91"/>
        <v>4.5</v>
      </c>
      <c r="Q504" s="17">
        <f t="shared" si="92"/>
        <v>-0.31814430750762324</v>
      </c>
      <c r="R504" s="17">
        <f t="shared" si="85"/>
        <v>-0.16233935342881176</v>
      </c>
      <c r="S504" s="17">
        <f t="shared" si="86"/>
        <v>-0.3244556314650216</v>
      </c>
      <c r="T504" s="17">
        <f t="shared" si="87"/>
        <v>-0.23975546301994274</v>
      </c>
      <c r="U504" s="16">
        <v>12</v>
      </c>
      <c r="V504" s="16">
        <v>17</v>
      </c>
      <c r="W504" s="16">
        <v>21</v>
      </c>
      <c r="X504" s="16">
        <v>21</v>
      </c>
      <c r="Y504" s="15">
        <v>0.52</v>
      </c>
      <c r="Z504" s="15">
        <v>0.65</v>
      </c>
      <c r="AA504" s="15">
        <v>0.77400000000000002</v>
      </c>
      <c r="AB504" s="15">
        <v>0.86599999999999999</v>
      </c>
      <c r="AC504" s="3">
        <f t="shared" si="93"/>
        <v>0.65511211336668618</v>
      </c>
      <c r="AD504" s="3">
        <f t="shared" si="94"/>
        <v>0.72751406869738133</v>
      </c>
      <c r="AE504" s="3">
        <f t="shared" si="95"/>
        <v>0.7794794886822356</v>
      </c>
      <c r="AF504" s="3">
        <f t="shared" si="96"/>
        <v>0.73377601510748136</v>
      </c>
    </row>
    <row r="505" spans="1:32" x14ac:dyDescent="0.2">
      <c r="A505" s="30">
        <v>503</v>
      </c>
      <c r="B505" s="9" t="s">
        <v>1165</v>
      </c>
      <c r="C505" s="12">
        <v>901294</v>
      </c>
      <c r="D505" s="13" t="s">
        <v>504</v>
      </c>
      <c r="E505" s="17">
        <v>9.7948539923499993</v>
      </c>
      <c r="F505" s="17">
        <v>1.1087616116800001</v>
      </c>
      <c r="G505" s="14">
        <v>172</v>
      </c>
      <c r="H505" s="17">
        <v>24.53</v>
      </c>
      <c r="I505" s="17">
        <v>25.85</v>
      </c>
      <c r="J505" s="17">
        <v>26.92</v>
      </c>
      <c r="K505" s="17">
        <v>28.3</v>
      </c>
      <c r="L505" s="17">
        <v>29.45</v>
      </c>
      <c r="M505" s="17">
        <f t="shared" si="88"/>
        <v>1.3200000000000003</v>
      </c>
      <c r="N505" s="17">
        <f t="shared" si="89"/>
        <v>2.3900000000000006</v>
      </c>
      <c r="O505" s="17">
        <f t="shared" si="90"/>
        <v>3.7699999999999996</v>
      </c>
      <c r="P505" s="17">
        <f t="shared" si="91"/>
        <v>4.9199999999999982</v>
      </c>
      <c r="Q505" s="17">
        <f t="shared" si="92"/>
        <v>0.55908176050712766</v>
      </c>
      <c r="R505" s="17">
        <f t="shared" si="85"/>
        <v>0.40080437420901766</v>
      </c>
      <c r="S505" s="17">
        <f t="shared" si="86"/>
        <v>0.33745936720875508</v>
      </c>
      <c r="T505" s="17">
        <f t="shared" si="87"/>
        <v>0.18535811475245526</v>
      </c>
      <c r="U505" s="16">
        <v>0</v>
      </c>
      <c r="V505" s="16">
        <v>0</v>
      </c>
      <c r="W505" s="16">
        <v>0</v>
      </c>
      <c r="X505" s="16">
        <v>0</v>
      </c>
      <c r="Y505" s="15">
        <v>0.46</v>
      </c>
      <c r="Z505" s="15">
        <v>0.59299999999999997</v>
      </c>
      <c r="AA505" s="15">
        <v>0.73799999999999999</v>
      </c>
      <c r="AB505" s="15">
        <v>0.83699999999999997</v>
      </c>
      <c r="AC505" s="3">
        <f t="shared" si="93"/>
        <v>0.10067154597700216</v>
      </c>
      <c r="AD505" s="3">
        <f t="shared" si="94"/>
        <v>0.21602943875344965</v>
      </c>
      <c r="AE505" s="3">
        <f t="shared" si="95"/>
        <v>0.48308255850060317</v>
      </c>
      <c r="AF505" s="3">
        <f t="shared" si="96"/>
        <v>0.49555394896249017</v>
      </c>
    </row>
    <row r="506" spans="1:32" x14ac:dyDescent="0.2">
      <c r="A506" s="30">
        <v>504</v>
      </c>
      <c r="B506" s="9" t="s">
        <v>1480</v>
      </c>
      <c r="C506" s="12">
        <v>901295</v>
      </c>
      <c r="D506" s="13" t="s">
        <v>505</v>
      </c>
      <c r="E506" s="17">
        <v>9.8556426685100007</v>
      </c>
      <c r="F506" s="17">
        <v>2.17657058646</v>
      </c>
      <c r="G506" s="14">
        <v>4</v>
      </c>
      <c r="H506" s="17">
        <v>25.42</v>
      </c>
      <c r="I506" s="17">
        <v>26.8</v>
      </c>
      <c r="J506" s="17">
        <v>27.78</v>
      </c>
      <c r="K506" s="17">
        <v>29.08</v>
      </c>
      <c r="L506" s="17">
        <v>30.19</v>
      </c>
      <c r="M506" s="17">
        <f t="shared" si="88"/>
        <v>1.379999999999999</v>
      </c>
      <c r="N506" s="17">
        <f t="shared" si="89"/>
        <v>2.3599999999999994</v>
      </c>
      <c r="O506" s="17">
        <f t="shared" si="90"/>
        <v>3.6599999999999966</v>
      </c>
      <c r="P506" s="17">
        <f t="shared" si="91"/>
        <v>4.7699999999999996</v>
      </c>
      <c r="Q506" s="17">
        <f t="shared" si="92"/>
        <v>0.63218393284168839</v>
      </c>
      <c r="R506" s="17">
        <f t="shared" si="85"/>
        <v>0.35856859463617907</v>
      </c>
      <c r="S506" s="17">
        <f t="shared" si="86"/>
        <v>0.20972138500854917</v>
      </c>
      <c r="T506" s="17">
        <f t="shared" si="87"/>
        <v>3.3531836976599609E-2</v>
      </c>
      <c r="U506" s="16">
        <v>0</v>
      </c>
      <c r="V506" s="16">
        <v>0</v>
      </c>
      <c r="W506" s="16">
        <v>0</v>
      </c>
      <c r="X506" s="16">
        <v>0</v>
      </c>
      <c r="Y506" s="15">
        <v>0.46</v>
      </c>
      <c r="Z506" s="15">
        <v>0.59299999999999997</v>
      </c>
      <c r="AA506" s="15">
        <v>0.73699999999999999</v>
      </c>
      <c r="AB506" s="15">
        <v>0.83599999999999997</v>
      </c>
      <c r="AC506" s="3">
        <f t="shared" si="93"/>
        <v>0.10067154597700216</v>
      </c>
      <c r="AD506" s="3">
        <f t="shared" si="94"/>
        <v>0.21602943875344965</v>
      </c>
      <c r="AE506" s="3">
        <f t="shared" si="95"/>
        <v>0.47484931044000228</v>
      </c>
      <c r="AF506" s="3">
        <f t="shared" si="96"/>
        <v>0.48733939495749046</v>
      </c>
    </row>
    <row r="507" spans="1:32" x14ac:dyDescent="0.2">
      <c r="A507" s="30">
        <v>505</v>
      </c>
      <c r="B507" s="9" t="s">
        <v>1166</v>
      </c>
      <c r="C507" s="12">
        <v>902265</v>
      </c>
      <c r="D507" s="13" t="s">
        <v>506</v>
      </c>
      <c r="E507" s="17">
        <v>32.973559514400002</v>
      </c>
      <c r="F507" s="17">
        <v>34.620904451000001</v>
      </c>
      <c r="G507" s="14">
        <v>14</v>
      </c>
      <c r="H507" s="17">
        <v>18.47</v>
      </c>
      <c r="I507" s="17">
        <v>20.56</v>
      </c>
      <c r="J507" s="17">
        <v>20.71</v>
      </c>
      <c r="K507" s="17">
        <v>21.7</v>
      </c>
      <c r="L507" s="17">
        <v>24.16</v>
      </c>
      <c r="M507" s="17">
        <f t="shared" si="88"/>
        <v>2.09</v>
      </c>
      <c r="N507" s="17">
        <f t="shared" si="89"/>
        <v>2.240000000000002</v>
      </c>
      <c r="O507" s="17">
        <f t="shared" si="90"/>
        <v>3.2300000000000004</v>
      </c>
      <c r="P507" s="17">
        <f t="shared" si="91"/>
        <v>5.6900000000000013</v>
      </c>
      <c r="Q507" s="17">
        <f t="shared" si="92"/>
        <v>1.4972263054673436</v>
      </c>
      <c r="R507" s="17">
        <f t="shared" si="85"/>
        <v>0.18962547634483476</v>
      </c>
      <c r="S507" s="17">
        <f t="shared" si="86"/>
        <v>-0.28961799995587417</v>
      </c>
      <c r="T507" s="17">
        <f t="shared" si="87"/>
        <v>0.96473300733519152</v>
      </c>
      <c r="U507" s="16">
        <v>0</v>
      </c>
      <c r="V507" s="16">
        <v>0</v>
      </c>
      <c r="W507" s="16">
        <v>0</v>
      </c>
      <c r="X507" s="16">
        <v>1</v>
      </c>
      <c r="Y507" s="15">
        <v>0.45900000000000002</v>
      </c>
      <c r="Z507" s="15">
        <v>0.57599999999999996</v>
      </c>
      <c r="AA507" s="15">
        <v>0.68799999999999994</v>
      </c>
      <c r="AB507" s="15">
        <v>0.79800000000000004</v>
      </c>
      <c r="AC507" s="3">
        <f t="shared" si="93"/>
        <v>9.1430869853840746E-2</v>
      </c>
      <c r="AD507" s="3">
        <f t="shared" si="94"/>
        <v>6.3481391226312162E-2</v>
      </c>
      <c r="AE507" s="3">
        <f t="shared" si="95"/>
        <v>7.1420155470558105E-2</v>
      </c>
      <c r="AF507" s="3">
        <f t="shared" si="96"/>
        <v>0.17518634276750286</v>
      </c>
    </row>
    <row r="508" spans="1:32" x14ac:dyDescent="0.2">
      <c r="A508" s="30">
        <v>506</v>
      </c>
      <c r="B508" s="9" t="s">
        <v>853</v>
      </c>
      <c r="C508" s="12">
        <v>902272</v>
      </c>
      <c r="D508" s="13" t="s">
        <v>507</v>
      </c>
      <c r="E508" s="17">
        <v>-87.791844067900001</v>
      </c>
      <c r="F508" s="17">
        <v>18.349089947700001</v>
      </c>
      <c r="G508" s="14">
        <v>235</v>
      </c>
      <c r="H508" s="17">
        <v>25.35</v>
      </c>
      <c r="I508" s="17">
        <v>26.11</v>
      </c>
      <c r="J508" s="17">
        <v>27.24</v>
      </c>
      <c r="K508" s="17">
        <v>28.53</v>
      </c>
      <c r="L508" s="17">
        <v>29.41</v>
      </c>
      <c r="M508" s="17">
        <f t="shared" si="88"/>
        <v>0.75999999999999801</v>
      </c>
      <c r="N508" s="17">
        <f t="shared" si="89"/>
        <v>1.889999999999997</v>
      </c>
      <c r="O508" s="17">
        <f t="shared" si="90"/>
        <v>3.1799999999999997</v>
      </c>
      <c r="P508" s="17">
        <f t="shared" si="91"/>
        <v>4.0599999999999987</v>
      </c>
      <c r="Q508" s="17">
        <f t="shared" si="92"/>
        <v>-0.12320518128212352</v>
      </c>
      <c r="R508" s="17">
        <f t="shared" si="85"/>
        <v>-0.30312528533827038</v>
      </c>
      <c r="S508" s="17">
        <f t="shared" si="86"/>
        <v>-0.3476807191377852</v>
      </c>
      <c r="T508" s="17">
        <f t="shared" si="87"/>
        <v>-0.68511254449579151</v>
      </c>
      <c r="U508" s="16">
        <v>9</v>
      </c>
      <c r="V508" s="16">
        <v>11</v>
      </c>
      <c r="W508" s="16">
        <v>13</v>
      </c>
      <c r="X508" s="16">
        <v>14</v>
      </c>
      <c r="Y508" s="15">
        <v>0.72799999999999998</v>
      </c>
      <c r="Z508" s="15">
        <v>0.85699999999999998</v>
      </c>
      <c r="AA508" s="15">
        <v>0.97599999999999998</v>
      </c>
      <c r="AB508" s="15">
        <v>1.0680000000000001</v>
      </c>
      <c r="AC508" s="3">
        <f t="shared" si="93"/>
        <v>2.5771727469842571</v>
      </c>
      <c r="AD508" s="3">
        <f t="shared" si="94"/>
        <v>2.5850108827042888</v>
      </c>
      <c r="AE508" s="3">
        <f t="shared" si="95"/>
        <v>2.4425955969236157</v>
      </c>
      <c r="AF508" s="3">
        <f t="shared" si="96"/>
        <v>2.3931159241174194</v>
      </c>
    </row>
    <row r="509" spans="1:32" x14ac:dyDescent="0.2">
      <c r="A509" s="30">
        <v>507</v>
      </c>
      <c r="B509" s="9" t="s">
        <v>854</v>
      </c>
      <c r="C509" s="12">
        <v>902273</v>
      </c>
      <c r="D509" s="13" t="s">
        <v>508</v>
      </c>
      <c r="E509" s="17">
        <v>-96.213950284000006</v>
      </c>
      <c r="F509" s="17">
        <v>15.7744752445</v>
      </c>
      <c r="G509" s="14">
        <v>100</v>
      </c>
      <c r="H509" s="17">
        <v>25</v>
      </c>
      <c r="I509" s="17">
        <v>26.08</v>
      </c>
      <c r="J509" s="17">
        <v>27.41</v>
      </c>
      <c r="K509" s="17">
        <v>28.87</v>
      </c>
      <c r="L509" s="17">
        <v>29.65</v>
      </c>
      <c r="M509" s="17">
        <f t="shared" si="88"/>
        <v>1.0799999999999983</v>
      </c>
      <c r="N509" s="17">
        <f t="shared" si="89"/>
        <v>2.41</v>
      </c>
      <c r="O509" s="17">
        <f t="shared" si="90"/>
        <v>3.870000000000001</v>
      </c>
      <c r="P509" s="17">
        <f t="shared" si="91"/>
        <v>4.6499999999999986</v>
      </c>
      <c r="Q509" s="17">
        <f t="shared" si="92"/>
        <v>0.2666730711688759</v>
      </c>
      <c r="R509" s="17">
        <f t="shared" si="85"/>
        <v>0.4289615605909084</v>
      </c>
      <c r="S509" s="17">
        <f t="shared" si="86"/>
        <v>0.45358480557257713</v>
      </c>
      <c r="T509" s="17">
        <f t="shared" si="87"/>
        <v>-8.7929185244087077E-2</v>
      </c>
      <c r="U509" s="16">
        <v>0</v>
      </c>
      <c r="V509" s="16">
        <v>0</v>
      </c>
      <c r="W509" s="16">
        <v>1</v>
      </c>
      <c r="X509" s="16">
        <v>1</v>
      </c>
      <c r="Y509" s="15">
        <v>0.628</v>
      </c>
      <c r="Z509" s="15">
        <v>0.73599999999999999</v>
      </c>
      <c r="AA509" s="15">
        <v>0.86499999999999999</v>
      </c>
      <c r="AB509" s="15">
        <v>0.94</v>
      </c>
      <c r="AC509" s="3">
        <f t="shared" si="93"/>
        <v>1.6531051346681171</v>
      </c>
      <c r="AD509" s="3">
        <f t="shared" si="94"/>
        <v>1.4992277208934877</v>
      </c>
      <c r="AE509" s="3">
        <f t="shared" si="95"/>
        <v>1.5287050621969167</v>
      </c>
      <c r="AF509" s="3">
        <f t="shared" si="96"/>
        <v>1.3416530114774581</v>
      </c>
    </row>
    <row r="510" spans="1:32" x14ac:dyDescent="0.2">
      <c r="A510" s="30">
        <v>508</v>
      </c>
      <c r="B510" s="9" t="s">
        <v>855</v>
      </c>
      <c r="C510" s="12">
        <v>902279</v>
      </c>
      <c r="D510" s="13" t="s">
        <v>509</v>
      </c>
      <c r="E510" s="17">
        <v>-98.641341766500005</v>
      </c>
      <c r="F510" s="17">
        <v>16.411462936100001</v>
      </c>
      <c r="G510" s="14">
        <v>22</v>
      </c>
      <c r="H510" s="17">
        <v>25.88</v>
      </c>
      <c r="I510" s="17">
        <v>27.13</v>
      </c>
      <c r="J510" s="17">
        <v>28.24</v>
      </c>
      <c r="K510" s="17">
        <v>29.74</v>
      </c>
      <c r="L510" s="17">
        <v>30.5</v>
      </c>
      <c r="M510" s="17">
        <f t="shared" si="88"/>
        <v>1.25</v>
      </c>
      <c r="N510" s="17">
        <f t="shared" si="89"/>
        <v>2.3599999999999994</v>
      </c>
      <c r="O510" s="17">
        <f t="shared" si="90"/>
        <v>3.8599999999999994</v>
      </c>
      <c r="P510" s="17">
        <f t="shared" si="91"/>
        <v>4.620000000000001</v>
      </c>
      <c r="Q510" s="17">
        <f t="shared" si="92"/>
        <v>0.47379589278347128</v>
      </c>
      <c r="R510" s="17">
        <f t="shared" si="85"/>
        <v>0.35856859463617907</v>
      </c>
      <c r="S510" s="17">
        <f t="shared" si="86"/>
        <v>0.44197226173619331</v>
      </c>
      <c r="T510" s="17">
        <f t="shared" si="87"/>
        <v>-0.11829444079925605</v>
      </c>
      <c r="U510" s="16">
        <v>2</v>
      </c>
      <c r="V510" s="16">
        <v>2</v>
      </c>
      <c r="W510" s="16">
        <v>2</v>
      </c>
      <c r="X510" s="16">
        <v>2</v>
      </c>
      <c r="Y510" s="15">
        <v>0.73699999999999999</v>
      </c>
      <c r="Z510" s="15">
        <v>0.84699999999999998</v>
      </c>
      <c r="AA510" s="15">
        <v>0.97399999999999998</v>
      </c>
      <c r="AB510" s="15">
        <v>1.05</v>
      </c>
      <c r="AC510" s="3">
        <f t="shared" si="93"/>
        <v>2.6603388320927097</v>
      </c>
      <c r="AD510" s="3">
        <f t="shared" si="94"/>
        <v>2.4952767371000903</v>
      </c>
      <c r="AE510" s="3">
        <f t="shared" si="95"/>
        <v>2.426129100802414</v>
      </c>
      <c r="AF510" s="3">
        <f t="shared" si="96"/>
        <v>2.2452539520274248</v>
      </c>
    </row>
    <row r="511" spans="1:32" x14ac:dyDescent="0.2">
      <c r="A511" s="30">
        <v>509</v>
      </c>
      <c r="B511" s="9" t="s">
        <v>856</v>
      </c>
      <c r="C511" s="12">
        <v>902280</v>
      </c>
      <c r="D511" s="13" t="s">
        <v>510</v>
      </c>
      <c r="E511" s="17">
        <v>-90.180177350999998</v>
      </c>
      <c r="F511" s="17">
        <v>21.056284826599999</v>
      </c>
      <c r="G511" s="14">
        <v>192</v>
      </c>
      <c r="H511" s="17">
        <v>25.8</v>
      </c>
      <c r="I511" s="17">
        <v>26.44</v>
      </c>
      <c r="J511" s="17">
        <v>27.4</v>
      </c>
      <c r="K511" s="17">
        <v>28.75</v>
      </c>
      <c r="L511" s="17">
        <v>29.55</v>
      </c>
      <c r="M511" s="17">
        <f t="shared" si="88"/>
        <v>0.64000000000000057</v>
      </c>
      <c r="N511" s="17">
        <f t="shared" si="89"/>
        <v>1.5999999999999979</v>
      </c>
      <c r="O511" s="17">
        <f t="shared" si="90"/>
        <v>2.9499999999999993</v>
      </c>
      <c r="P511" s="17">
        <f t="shared" si="91"/>
        <v>3.75</v>
      </c>
      <c r="Q511" s="17">
        <f t="shared" si="92"/>
        <v>-0.26940952595124507</v>
      </c>
      <c r="R511" s="17">
        <f t="shared" si="85"/>
        <v>-0.71140448787569333</v>
      </c>
      <c r="S511" s="17">
        <f t="shared" si="86"/>
        <v>-0.61476922737457262</v>
      </c>
      <c r="T511" s="17">
        <f t="shared" si="87"/>
        <v>-0.99888685189922821</v>
      </c>
      <c r="U511" s="16">
        <v>12</v>
      </c>
      <c r="V511" s="16">
        <v>18</v>
      </c>
      <c r="W511" s="16">
        <v>23</v>
      </c>
      <c r="X511" s="16">
        <v>24</v>
      </c>
      <c r="Y511" s="15">
        <v>0.69450000000000001</v>
      </c>
      <c r="Z511" s="15">
        <v>0.81299999999999994</v>
      </c>
      <c r="AA511" s="15">
        <v>0.93400000000000005</v>
      </c>
      <c r="AB511" s="15">
        <v>1.0269999999999999</v>
      </c>
      <c r="AC511" s="3">
        <f t="shared" si="93"/>
        <v>2.2676100968583506</v>
      </c>
      <c r="AD511" s="3">
        <f t="shared" si="94"/>
        <v>2.1901806420458154</v>
      </c>
      <c r="AE511" s="3">
        <f t="shared" si="95"/>
        <v>2.096799178378379</v>
      </c>
      <c r="AF511" s="3">
        <f t="shared" si="96"/>
        <v>2.0563192099124308</v>
      </c>
    </row>
    <row r="512" spans="1:32" x14ac:dyDescent="0.2">
      <c r="A512" s="30">
        <v>510</v>
      </c>
      <c r="B512" s="9" t="s">
        <v>773</v>
      </c>
      <c r="C512" s="12">
        <v>902281</v>
      </c>
      <c r="D512" s="13" t="s">
        <v>511</v>
      </c>
      <c r="E512" s="17">
        <v>-87.664776326500004</v>
      </c>
      <c r="F512" s="17">
        <v>19.461395548700001</v>
      </c>
      <c r="G512" s="14">
        <v>3991</v>
      </c>
      <c r="H512" s="17">
        <v>24.31</v>
      </c>
      <c r="I512" s="17">
        <v>25.26</v>
      </c>
      <c r="J512" s="17">
        <v>26.33</v>
      </c>
      <c r="K512" s="17">
        <v>27.98</v>
      </c>
      <c r="L512" s="17">
        <v>28.91</v>
      </c>
      <c r="M512" s="17">
        <f t="shared" si="88"/>
        <v>0.95000000000000284</v>
      </c>
      <c r="N512" s="17">
        <f t="shared" si="89"/>
        <v>2.0199999999999996</v>
      </c>
      <c r="O512" s="17">
        <f t="shared" si="90"/>
        <v>3.6700000000000017</v>
      </c>
      <c r="P512" s="17">
        <f t="shared" si="91"/>
        <v>4.6000000000000014</v>
      </c>
      <c r="Q512" s="17">
        <f t="shared" si="92"/>
        <v>0.10828503111066308</v>
      </c>
      <c r="R512" s="17">
        <f t="shared" si="85"/>
        <v>-0.12010357385597319</v>
      </c>
      <c r="S512" s="17">
        <f t="shared" si="86"/>
        <v>0.22133392884493713</v>
      </c>
      <c r="T512" s="17">
        <f t="shared" si="87"/>
        <v>-0.13853794450270324</v>
      </c>
      <c r="U512" s="16">
        <v>479</v>
      </c>
      <c r="V512" s="16">
        <v>669</v>
      </c>
      <c r="W512" s="16">
        <v>805</v>
      </c>
      <c r="X512" s="16">
        <v>906</v>
      </c>
      <c r="Y512" s="15">
        <v>0.67600000000000005</v>
      </c>
      <c r="Z512" s="15">
        <v>0.80600000000000005</v>
      </c>
      <c r="AA512" s="15">
        <v>0.92400000000000004</v>
      </c>
      <c r="AB512" s="15">
        <v>1.016</v>
      </c>
      <c r="AC512" s="3">
        <f t="shared" si="93"/>
        <v>2.0966575885798648</v>
      </c>
      <c r="AD512" s="3">
        <f t="shared" si="94"/>
        <v>2.1273667401228775</v>
      </c>
      <c r="AE512" s="3">
        <f t="shared" si="95"/>
        <v>2.0144666977723698</v>
      </c>
      <c r="AF512" s="3">
        <f t="shared" si="96"/>
        <v>1.965959115857435</v>
      </c>
    </row>
    <row r="513" spans="1:32" x14ac:dyDescent="0.2">
      <c r="A513" s="30">
        <v>511</v>
      </c>
      <c r="B513" s="9" t="s">
        <v>1481</v>
      </c>
      <c r="C513" s="12">
        <v>902284</v>
      </c>
      <c r="D513" s="13" t="s">
        <v>512</v>
      </c>
      <c r="E513" s="17">
        <v>-90.390134052099995</v>
      </c>
      <c r="F513" s="17">
        <v>20.736158494400001</v>
      </c>
      <c r="G513" s="14">
        <v>468</v>
      </c>
      <c r="H513" s="17">
        <v>25.89</v>
      </c>
      <c r="I513" s="17">
        <v>26.53</v>
      </c>
      <c r="J513" s="17">
        <v>27.49</v>
      </c>
      <c r="K513" s="17">
        <v>28.84</v>
      </c>
      <c r="L513" s="17">
        <v>29.59</v>
      </c>
      <c r="M513" s="17">
        <f t="shared" si="88"/>
        <v>0.64000000000000057</v>
      </c>
      <c r="N513" s="17">
        <f t="shared" si="89"/>
        <v>1.5999999999999979</v>
      </c>
      <c r="O513" s="17">
        <f t="shared" si="90"/>
        <v>2.9499999999999993</v>
      </c>
      <c r="P513" s="17">
        <f t="shared" si="91"/>
        <v>3.6999999999999993</v>
      </c>
      <c r="Q513" s="17">
        <f t="shared" si="92"/>
        <v>-0.26940952595124507</v>
      </c>
      <c r="R513" s="17">
        <f t="shared" si="85"/>
        <v>-0.71140448787569333</v>
      </c>
      <c r="S513" s="17">
        <f t="shared" si="86"/>
        <v>-0.61476922737457262</v>
      </c>
      <c r="T513" s="17">
        <f t="shared" si="87"/>
        <v>-1.049495611157848</v>
      </c>
      <c r="U513" s="16">
        <v>74</v>
      </c>
      <c r="V513" s="16">
        <v>84</v>
      </c>
      <c r="W513" s="16">
        <v>89</v>
      </c>
      <c r="X513" s="16">
        <v>96</v>
      </c>
      <c r="Y513" s="15">
        <v>0.69450000000000001</v>
      </c>
      <c r="Z513" s="15">
        <v>0.81299999999999994</v>
      </c>
      <c r="AA513" s="15">
        <v>0.93400000000000005</v>
      </c>
      <c r="AB513" s="15">
        <v>1.0269999999999999</v>
      </c>
      <c r="AC513" s="3">
        <f t="shared" si="93"/>
        <v>2.2676100968583506</v>
      </c>
      <c r="AD513" s="3">
        <f t="shared" si="94"/>
        <v>2.1901806420458154</v>
      </c>
      <c r="AE513" s="3">
        <f t="shared" si="95"/>
        <v>2.096799178378379</v>
      </c>
      <c r="AF513" s="3">
        <f t="shared" si="96"/>
        <v>2.0563192099124308</v>
      </c>
    </row>
    <row r="514" spans="1:32" x14ac:dyDescent="0.2">
      <c r="A514" s="30">
        <v>512</v>
      </c>
      <c r="B514" s="9" t="s">
        <v>857</v>
      </c>
      <c r="C514" s="12">
        <v>902287</v>
      </c>
      <c r="D514" s="13" t="s">
        <v>513</v>
      </c>
      <c r="E514" s="17">
        <v>-96.392808295799995</v>
      </c>
      <c r="F514" s="17">
        <v>19.588106122300001</v>
      </c>
      <c r="G514" s="14">
        <v>8</v>
      </c>
      <c r="H514" s="17">
        <v>18.22</v>
      </c>
      <c r="I514" s="17">
        <v>19.11</v>
      </c>
      <c r="J514" s="17">
        <v>20.16</v>
      </c>
      <c r="K514" s="17">
        <v>21.43</v>
      </c>
      <c r="L514" s="17">
        <v>22.7</v>
      </c>
      <c r="M514" s="17">
        <f t="shared" si="88"/>
        <v>0.89000000000000057</v>
      </c>
      <c r="N514" s="17">
        <f t="shared" si="89"/>
        <v>1.9400000000000013</v>
      </c>
      <c r="O514" s="17">
        <f t="shared" si="90"/>
        <v>3.2100000000000009</v>
      </c>
      <c r="P514" s="17">
        <f t="shared" si="91"/>
        <v>4.4800000000000004</v>
      </c>
      <c r="Q514" s="17">
        <f t="shared" si="92"/>
        <v>3.5182858776097982E-2</v>
      </c>
      <c r="R514" s="17">
        <f t="shared" si="85"/>
        <v>-0.23273231938353606</v>
      </c>
      <c r="S514" s="17">
        <f t="shared" si="86"/>
        <v>-0.31284308762863772</v>
      </c>
      <c r="T514" s="17">
        <f t="shared" si="87"/>
        <v>-0.2599989667233899</v>
      </c>
      <c r="U514" s="16">
        <v>0</v>
      </c>
      <c r="V514" s="16">
        <v>0</v>
      </c>
      <c r="W514" s="16">
        <v>0</v>
      </c>
      <c r="X514" s="16">
        <v>0</v>
      </c>
      <c r="Y514" s="15">
        <v>0.56399999999999995</v>
      </c>
      <c r="Z514" s="15">
        <v>0.68100000000000005</v>
      </c>
      <c r="AA514" s="15">
        <v>0.80600000000000005</v>
      </c>
      <c r="AB514" s="15">
        <v>0.90100000000000002</v>
      </c>
      <c r="AC514" s="3">
        <f t="shared" si="93"/>
        <v>1.061701862785787</v>
      </c>
      <c r="AD514" s="3">
        <f t="shared" si="94"/>
        <v>1.0056899200703968</v>
      </c>
      <c r="AE514" s="3">
        <f t="shared" si="95"/>
        <v>1.0429434266214643</v>
      </c>
      <c r="AF514" s="3">
        <f t="shared" si="96"/>
        <v>1.0212854052824707</v>
      </c>
    </row>
    <row r="515" spans="1:32" x14ac:dyDescent="0.2">
      <c r="A515" s="30">
        <v>513</v>
      </c>
      <c r="B515" s="9" t="s">
        <v>858</v>
      </c>
      <c r="C515" s="12">
        <v>902290</v>
      </c>
      <c r="D515" s="13" t="s">
        <v>514</v>
      </c>
      <c r="E515" s="17">
        <v>-114.215155967</v>
      </c>
      <c r="F515" s="17">
        <v>27.6748338162</v>
      </c>
      <c r="G515" s="14">
        <v>1059</v>
      </c>
      <c r="H515" s="17">
        <v>20.059999999999999</v>
      </c>
      <c r="I515" s="17">
        <v>22.16</v>
      </c>
      <c r="J515" s="17">
        <v>22.84</v>
      </c>
      <c r="K515" s="17">
        <v>24.34</v>
      </c>
      <c r="L515" s="17">
        <v>24.87</v>
      </c>
      <c r="M515" s="17">
        <f t="shared" si="88"/>
        <v>2.1000000000000014</v>
      </c>
      <c r="N515" s="17">
        <f t="shared" si="89"/>
        <v>2.7800000000000011</v>
      </c>
      <c r="O515" s="17">
        <f t="shared" si="90"/>
        <v>4.2800000000000011</v>
      </c>
      <c r="P515" s="17">
        <f t="shared" si="91"/>
        <v>4.8100000000000023</v>
      </c>
      <c r="Q515" s="17">
        <f t="shared" si="92"/>
        <v>1.5094100008564393</v>
      </c>
      <c r="R515" s="17">
        <f t="shared" ref="R515:R578" si="97">(N515-N$764)/N$767</f>
        <v>0.94986950865589925</v>
      </c>
      <c r="S515" s="17">
        <f t="shared" ref="S515:S578" si="98">(O515-O$764)/O$767</f>
        <v>0.92969910286424096</v>
      </c>
      <c r="T515" s="17">
        <f t="shared" ref="T515:T578" si="99">(P515-P$764)/P$767</f>
        <v>7.4018844383497567E-2</v>
      </c>
      <c r="U515" s="16">
        <v>73</v>
      </c>
      <c r="V515" s="16">
        <v>84</v>
      </c>
      <c r="W515" s="16">
        <v>101</v>
      </c>
      <c r="X515" s="16">
        <v>117</v>
      </c>
      <c r="Y515" s="15">
        <v>0.52300000000000002</v>
      </c>
      <c r="Z515" s="15">
        <v>0.626</v>
      </c>
      <c r="AA515" s="15">
        <v>0.73799999999999999</v>
      </c>
      <c r="AB515" s="15">
        <v>0.82199999999999995</v>
      </c>
      <c r="AC515" s="3">
        <f t="shared" si="93"/>
        <v>0.68283414173617041</v>
      </c>
      <c r="AD515" s="3">
        <f t="shared" si="94"/>
        <v>0.51215211924730486</v>
      </c>
      <c r="AE515" s="3">
        <f t="shared" si="95"/>
        <v>0.48308255850060317</v>
      </c>
      <c r="AF515" s="3">
        <f t="shared" si="96"/>
        <v>0.37233563888749471</v>
      </c>
    </row>
    <row r="516" spans="1:32" x14ac:dyDescent="0.2">
      <c r="A516" s="30">
        <v>514</v>
      </c>
      <c r="B516" s="9" t="s">
        <v>859</v>
      </c>
      <c r="C516" s="12">
        <v>902291</v>
      </c>
      <c r="D516" s="13" t="s">
        <v>515</v>
      </c>
      <c r="E516" s="17">
        <v>-108.129771281</v>
      </c>
      <c r="F516" s="17">
        <v>24.9977297943</v>
      </c>
      <c r="G516" s="14">
        <v>1637</v>
      </c>
      <c r="H516" s="17">
        <v>23.85</v>
      </c>
      <c r="I516" s="17">
        <v>25.16</v>
      </c>
      <c r="J516" s="17">
        <v>25.83</v>
      </c>
      <c r="K516" s="17">
        <v>27.15</v>
      </c>
      <c r="L516" s="17">
        <v>28.41</v>
      </c>
      <c r="M516" s="17">
        <f t="shared" ref="M516:M579" si="100">I516-H516</f>
        <v>1.3099999999999987</v>
      </c>
      <c r="N516" s="17">
        <f t="shared" ref="N516:N579" si="101">J516-H516</f>
        <v>1.9799999999999969</v>
      </c>
      <c r="O516" s="17">
        <f t="shared" ref="O516:O579" si="102">K516-H516</f>
        <v>3.2999999999999972</v>
      </c>
      <c r="P516" s="17">
        <f t="shared" ref="P516:P579" si="103">L516-H516</f>
        <v>4.5599999999999987</v>
      </c>
      <c r="Q516" s="17">
        <f t="shared" ref="Q516:Q579" si="104">(M516-M$764)/M$767</f>
        <v>0.54689806511803207</v>
      </c>
      <c r="R516" s="17">
        <f t="shared" si="97"/>
        <v>-0.17641794661975962</v>
      </c>
      <c r="S516" s="17">
        <f t="shared" si="98"/>
        <v>-0.20833019310120365</v>
      </c>
      <c r="T516" s="17">
        <f t="shared" si="99"/>
        <v>-0.17902495190960119</v>
      </c>
      <c r="U516" s="16">
        <v>131</v>
      </c>
      <c r="V516" s="16">
        <v>143</v>
      </c>
      <c r="W516" s="16">
        <v>167</v>
      </c>
      <c r="X516" s="16">
        <v>182</v>
      </c>
      <c r="Y516" s="15">
        <v>0.504</v>
      </c>
      <c r="Z516" s="15">
        <v>0.60099999999999998</v>
      </c>
      <c r="AA516" s="15">
        <v>0.71399999999999997</v>
      </c>
      <c r="AB516" s="15">
        <v>0.79</v>
      </c>
      <c r="AC516" s="3">
        <f t="shared" ref="AC516:AC579" si="105">(Y516-Y$764)/Y$767</f>
        <v>0.50726129539610365</v>
      </c>
      <c r="AD516" s="3">
        <f t="shared" ref="AD516:AD579" si="106">(Z516-Z$764)/Z$767</f>
        <v>0.2878167552368085</v>
      </c>
      <c r="AE516" s="3">
        <f t="shared" ref="AE516:AE579" si="107">(AA516-AA$764)/AA$767</f>
        <v>0.28548460504618156</v>
      </c>
      <c r="AF516" s="3">
        <f t="shared" ref="AF516:AF579" si="108">(AB516-AB$764)/AB$767</f>
        <v>0.10946991072750528</v>
      </c>
    </row>
    <row r="517" spans="1:32" x14ac:dyDescent="0.2">
      <c r="A517" s="30">
        <v>515</v>
      </c>
      <c r="B517" s="9" t="s">
        <v>860</v>
      </c>
      <c r="C517" s="12">
        <v>902292</v>
      </c>
      <c r="D517" s="13" t="s">
        <v>516</v>
      </c>
      <c r="E517" s="17">
        <v>-113.114452558</v>
      </c>
      <c r="F517" s="17">
        <v>26.843176887799999</v>
      </c>
      <c r="G517" s="14">
        <v>1041</v>
      </c>
      <c r="H517" s="17">
        <v>21.81</v>
      </c>
      <c r="I517" s="17">
        <v>23.85</v>
      </c>
      <c r="J517" s="17">
        <v>24.77</v>
      </c>
      <c r="K517" s="17">
        <v>25.98</v>
      </c>
      <c r="L517" s="17">
        <v>26.66</v>
      </c>
      <c r="M517" s="17">
        <f t="shared" si="100"/>
        <v>2.0400000000000027</v>
      </c>
      <c r="N517" s="17">
        <f t="shared" si="101"/>
        <v>2.9600000000000009</v>
      </c>
      <c r="O517" s="17">
        <f t="shared" si="102"/>
        <v>4.1700000000000017</v>
      </c>
      <c r="P517" s="17">
        <f t="shared" si="103"/>
        <v>4.8500000000000014</v>
      </c>
      <c r="Q517" s="17">
        <f t="shared" si="104"/>
        <v>1.4363078285218784</v>
      </c>
      <c r="R517" s="17">
        <f t="shared" si="97"/>
        <v>1.2032841860929206</v>
      </c>
      <c r="S517" s="17">
        <f t="shared" si="98"/>
        <v>0.80196112066403924</v>
      </c>
      <c r="T517" s="17">
        <f t="shared" si="99"/>
        <v>0.11450585179039192</v>
      </c>
      <c r="U517" s="16">
        <v>91</v>
      </c>
      <c r="V517" s="16">
        <v>107</v>
      </c>
      <c r="W517" s="16">
        <v>125</v>
      </c>
      <c r="X517" s="16">
        <v>147</v>
      </c>
      <c r="Y517" s="15">
        <v>0.52800000000000002</v>
      </c>
      <c r="Z517" s="15">
        <v>0.63</v>
      </c>
      <c r="AA517" s="15">
        <v>0.74199999999999999</v>
      </c>
      <c r="AB517" s="15">
        <v>0.82599999999999996</v>
      </c>
      <c r="AC517" s="3">
        <f t="shared" si="105"/>
        <v>0.72903752235197739</v>
      </c>
      <c r="AD517" s="3">
        <f t="shared" si="106"/>
        <v>0.5480457774889842</v>
      </c>
      <c r="AE517" s="3">
        <f t="shared" si="107"/>
        <v>0.51601555074300676</v>
      </c>
      <c r="AF517" s="3">
        <f t="shared" si="108"/>
        <v>0.40519385490749349</v>
      </c>
    </row>
    <row r="518" spans="1:32" x14ac:dyDescent="0.2">
      <c r="A518" s="30">
        <v>516</v>
      </c>
      <c r="B518" s="9" t="s">
        <v>861</v>
      </c>
      <c r="C518" s="12">
        <v>902293</v>
      </c>
      <c r="D518" s="13" t="s">
        <v>517</v>
      </c>
      <c r="E518" s="17">
        <v>-95.023509911299996</v>
      </c>
      <c r="F518" s="17">
        <v>18.539950027700002</v>
      </c>
      <c r="G518" s="14">
        <v>27</v>
      </c>
      <c r="H518" s="17">
        <v>23.85</v>
      </c>
      <c r="I518" s="17">
        <v>24.7</v>
      </c>
      <c r="J518" s="17">
        <v>25.88</v>
      </c>
      <c r="K518" s="17">
        <v>26.85</v>
      </c>
      <c r="L518" s="17">
        <v>28.29</v>
      </c>
      <c r="M518" s="17">
        <f t="shared" si="100"/>
        <v>0.84999999999999787</v>
      </c>
      <c r="N518" s="17">
        <f t="shared" si="101"/>
        <v>2.0299999999999976</v>
      </c>
      <c r="O518" s="17">
        <f t="shared" si="102"/>
        <v>3</v>
      </c>
      <c r="P518" s="17">
        <f t="shared" si="103"/>
        <v>4.4399999999999977</v>
      </c>
      <c r="Q518" s="17">
        <f t="shared" si="104"/>
        <v>-1.355192278028019E-2</v>
      </c>
      <c r="R518" s="17">
        <f t="shared" si="97"/>
        <v>-0.10602498066503031</v>
      </c>
      <c r="S518" s="17">
        <f t="shared" si="98"/>
        <v>-0.55670650819266154</v>
      </c>
      <c r="T518" s="17">
        <f t="shared" si="99"/>
        <v>-0.30048597413028788</v>
      </c>
      <c r="U518" s="16">
        <v>0</v>
      </c>
      <c r="V518" s="16">
        <v>0</v>
      </c>
      <c r="W518" s="16">
        <v>0</v>
      </c>
      <c r="X518" s="16">
        <v>0</v>
      </c>
      <c r="Y518" s="15">
        <v>0.52600000000000002</v>
      </c>
      <c r="Z518" s="15">
        <v>0.64200000000000002</v>
      </c>
      <c r="AA518" s="15">
        <v>0.76600000000000001</v>
      </c>
      <c r="AB518" s="15">
        <v>0.86</v>
      </c>
      <c r="AC518" s="3">
        <f t="shared" si="105"/>
        <v>0.71055617010565464</v>
      </c>
      <c r="AD518" s="3">
        <f t="shared" si="106"/>
        <v>0.65572675221402243</v>
      </c>
      <c r="AE518" s="3">
        <f t="shared" si="107"/>
        <v>0.71361350419742842</v>
      </c>
      <c r="AF518" s="3">
        <f t="shared" si="108"/>
        <v>0.68448869107748322</v>
      </c>
    </row>
    <row r="519" spans="1:32" x14ac:dyDescent="0.2">
      <c r="A519" s="30">
        <v>517</v>
      </c>
      <c r="B519" s="9" t="s">
        <v>862</v>
      </c>
      <c r="C519" s="12">
        <v>902294</v>
      </c>
      <c r="D519" s="13" t="s">
        <v>518</v>
      </c>
      <c r="E519" s="17">
        <v>-86.831789598200004</v>
      </c>
      <c r="F519" s="17">
        <v>20.9048900385</v>
      </c>
      <c r="G519" s="14">
        <v>140</v>
      </c>
      <c r="H519" s="17">
        <v>23.96</v>
      </c>
      <c r="I519" s="17">
        <v>25.04</v>
      </c>
      <c r="J519" s="17">
        <v>26.03</v>
      </c>
      <c r="K519" s="17">
        <v>27.42</v>
      </c>
      <c r="L519" s="17">
        <v>28.59</v>
      </c>
      <c r="M519" s="17">
        <f t="shared" si="100"/>
        <v>1.0799999999999983</v>
      </c>
      <c r="N519" s="17">
        <f t="shared" si="101"/>
        <v>2.0700000000000003</v>
      </c>
      <c r="O519" s="17">
        <f t="shared" si="102"/>
        <v>3.4600000000000009</v>
      </c>
      <c r="P519" s="17">
        <f t="shared" si="103"/>
        <v>4.629999999999999</v>
      </c>
      <c r="Q519" s="17">
        <f t="shared" si="104"/>
        <v>0.2666730711688759</v>
      </c>
      <c r="R519" s="17">
        <f t="shared" si="97"/>
        <v>-4.9710607901243875E-2</v>
      </c>
      <c r="S519" s="17">
        <f t="shared" si="98"/>
        <v>-2.2529491719086709E-2</v>
      </c>
      <c r="T519" s="17">
        <f t="shared" si="99"/>
        <v>-0.10817268894753425</v>
      </c>
      <c r="U519" s="16">
        <v>0</v>
      </c>
      <c r="V519" s="16">
        <v>0</v>
      </c>
      <c r="W519" s="16">
        <v>0</v>
      </c>
      <c r="X519" s="16">
        <v>0</v>
      </c>
      <c r="Y519" s="15">
        <v>0.66200000000000003</v>
      </c>
      <c r="Z519" s="15">
        <v>0.79</v>
      </c>
      <c r="AA519" s="15">
        <v>0.90600000000000003</v>
      </c>
      <c r="AB519" s="15">
        <v>0.998</v>
      </c>
      <c r="AC519" s="3">
        <f t="shared" si="105"/>
        <v>1.9672881228556052</v>
      </c>
      <c r="AD519" s="3">
        <f t="shared" si="106"/>
        <v>1.9837921071561597</v>
      </c>
      <c r="AE519" s="3">
        <f t="shared" si="107"/>
        <v>1.8662682326815536</v>
      </c>
      <c r="AF519" s="3">
        <f t="shared" si="108"/>
        <v>1.8180971437674405</v>
      </c>
    </row>
    <row r="520" spans="1:32" x14ac:dyDescent="0.2">
      <c r="A520" s="30">
        <v>518</v>
      </c>
      <c r="B520" s="9" t="s">
        <v>863</v>
      </c>
      <c r="C520" s="12">
        <v>902297</v>
      </c>
      <c r="D520" s="13" t="s">
        <v>519</v>
      </c>
      <c r="E520" s="17">
        <v>-95.961841332700004</v>
      </c>
      <c r="F520" s="17">
        <v>19.140914632000001</v>
      </c>
      <c r="G520" s="14">
        <v>728</v>
      </c>
      <c r="H520" s="17">
        <v>25.04</v>
      </c>
      <c r="I520" s="17">
        <v>25.91</v>
      </c>
      <c r="J520" s="17">
        <v>26.78</v>
      </c>
      <c r="K520" s="17">
        <v>28.17</v>
      </c>
      <c r="L520" s="17">
        <v>29.29</v>
      </c>
      <c r="M520" s="17">
        <f t="shared" si="100"/>
        <v>0.87000000000000099</v>
      </c>
      <c r="N520" s="17">
        <f t="shared" si="101"/>
        <v>1.740000000000002</v>
      </c>
      <c r="O520" s="17">
        <f t="shared" si="102"/>
        <v>3.1300000000000026</v>
      </c>
      <c r="P520" s="17">
        <f t="shared" si="103"/>
        <v>4.25</v>
      </c>
      <c r="Q520" s="17">
        <f t="shared" si="104"/>
        <v>1.0815467997911062E-2</v>
      </c>
      <c r="R520" s="17">
        <f t="shared" si="97"/>
        <v>-0.51430418320244831</v>
      </c>
      <c r="S520" s="17">
        <f t="shared" si="98"/>
        <v>-0.40574343831969206</v>
      </c>
      <c r="T520" s="17">
        <f t="shared" si="99"/>
        <v>-0.49279925931303786</v>
      </c>
      <c r="U520" s="16">
        <v>8</v>
      </c>
      <c r="V520" s="16">
        <v>10</v>
      </c>
      <c r="W520" s="16">
        <v>10</v>
      </c>
      <c r="X520" s="16">
        <v>14</v>
      </c>
      <c r="Y520" s="15">
        <v>0.49</v>
      </c>
      <c r="Z520" s="15">
        <v>0.60550000000000004</v>
      </c>
      <c r="AA520" s="15">
        <v>0.73050000000000004</v>
      </c>
      <c r="AB520" s="15">
        <v>0.82499999999999996</v>
      </c>
      <c r="AC520" s="3">
        <f t="shared" si="105"/>
        <v>0.37789182967184387</v>
      </c>
      <c r="AD520" s="3">
        <f t="shared" si="106"/>
        <v>0.32819712075869834</v>
      </c>
      <c r="AE520" s="3">
        <f t="shared" si="107"/>
        <v>0.42133319804609687</v>
      </c>
      <c r="AF520" s="3">
        <f t="shared" si="108"/>
        <v>0.39697930090249378</v>
      </c>
    </row>
    <row r="521" spans="1:32" x14ac:dyDescent="0.2">
      <c r="A521" s="30">
        <v>519</v>
      </c>
      <c r="B521" s="9" t="s">
        <v>1482</v>
      </c>
      <c r="C521" s="12">
        <v>902298</v>
      </c>
      <c r="D521" s="13" t="s">
        <v>520</v>
      </c>
      <c r="E521" s="17">
        <v>-98.482626843099993</v>
      </c>
      <c r="F521" s="17">
        <v>16.291037515799999</v>
      </c>
      <c r="G521" s="14">
        <v>8</v>
      </c>
      <c r="H521" s="17">
        <v>26.33</v>
      </c>
      <c r="I521" s="17">
        <v>27.5</v>
      </c>
      <c r="J521" s="17">
        <v>28.6</v>
      </c>
      <c r="K521" s="17">
        <v>30.06</v>
      </c>
      <c r="L521" s="17">
        <v>30.81</v>
      </c>
      <c r="M521" s="17">
        <f t="shared" si="100"/>
        <v>1.1700000000000017</v>
      </c>
      <c r="N521" s="17">
        <f t="shared" si="101"/>
        <v>2.2700000000000031</v>
      </c>
      <c r="O521" s="17">
        <f t="shared" si="102"/>
        <v>3.7300000000000004</v>
      </c>
      <c r="P521" s="17">
        <f t="shared" si="103"/>
        <v>4.4800000000000004</v>
      </c>
      <c r="Q521" s="17">
        <f t="shared" si="104"/>
        <v>0.37632632967072355</v>
      </c>
      <c r="R521" s="17">
        <f t="shared" si="97"/>
        <v>0.23186125591767334</v>
      </c>
      <c r="S521" s="17">
        <f t="shared" si="98"/>
        <v>0.29100919186322788</v>
      </c>
      <c r="T521" s="17">
        <f t="shared" si="99"/>
        <v>-0.2599989667233899</v>
      </c>
      <c r="U521" s="16">
        <v>0</v>
      </c>
      <c r="V521" s="16">
        <v>0</v>
      </c>
      <c r="W521" s="16">
        <v>0</v>
      </c>
      <c r="X521" s="16">
        <v>0</v>
      </c>
      <c r="Y521" s="15">
        <v>0.70399999999999996</v>
      </c>
      <c r="Z521" s="15">
        <v>0.81399999999999995</v>
      </c>
      <c r="AA521" s="15">
        <v>0.94199999999999995</v>
      </c>
      <c r="AB521" s="15">
        <v>1.0189999999999999</v>
      </c>
      <c r="AC521" s="3">
        <f t="shared" si="105"/>
        <v>2.3553965200283833</v>
      </c>
      <c r="AD521" s="3">
        <f t="shared" si="106"/>
        <v>2.1991540566062353</v>
      </c>
      <c r="AE521" s="3">
        <f t="shared" si="107"/>
        <v>2.1626651628631852</v>
      </c>
      <c r="AF521" s="3">
        <f t="shared" si="108"/>
        <v>1.9906027778724333</v>
      </c>
    </row>
    <row r="522" spans="1:32" x14ac:dyDescent="0.2">
      <c r="A522" s="30">
        <v>520</v>
      </c>
      <c r="B522" s="9" t="s">
        <v>864</v>
      </c>
      <c r="C522" s="12">
        <v>902300</v>
      </c>
      <c r="D522" s="13" t="s">
        <v>521</v>
      </c>
      <c r="E522" s="17">
        <v>-106.533084331</v>
      </c>
      <c r="F522" s="17">
        <v>23.4054471643</v>
      </c>
      <c r="G522" s="14">
        <v>32</v>
      </c>
      <c r="H522" s="17">
        <v>24.38</v>
      </c>
      <c r="I522" s="17">
        <v>25.78</v>
      </c>
      <c r="J522" s="17">
        <v>26.29</v>
      </c>
      <c r="K522" s="17">
        <v>27.74</v>
      </c>
      <c r="L522" s="17">
        <v>29</v>
      </c>
      <c r="M522" s="17">
        <f t="shared" si="100"/>
        <v>1.4000000000000021</v>
      </c>
      <c r="N522" s="17">
        <f t="shared" si="101"/>
        <v>1.9100000000000001</v>
      </c>
      <c r="O522" s="17">
        <f t="shared" si="102"/>
        <v>3.3599999999999994</v>
      </c>
      <c r="P522" s="17">
        <f t="shared" si="103"/>
        <v>4.620000000000001</v>
      </c>
      <c r="Q522" s="17">
        <f t="shared" si="104"/>
        <v>0.65655132361987967</v>
      </c>
      <c r="R522" s="17">
        <f t="shared" si="97"/>
        <v>-0.27496809895637464</v>
      </c>
      <c r="S522" s="17">
        <f t="shared" si="98"/>
        <v>-0.13865493008290877</v>
      </c>
      <c r="T522" s="17">
        <f t="shared" si="99"/>
        <v>-0.11829444079925605</v>
      </c>
      <c r="U522" s="16">
        <v>1</v>
      </c>
      <c r="V522" s="16">
        <v>1</v>
      </c>
      <c r="W522" s="16">
        <v>2</v>
      </c>
      <c r="X522" s="16">
        <v>2</v>
      </c>
      <c r="Y522" s="15">
        <v>0.53</v>
      </c>
      <c r="Z522" s="15">
        <v>0.63100000000000001</v>
      </c>
      <c r="AA522" s="15">
        <v>0.748</v>
      </c>
      <c r="AB522" s="15">
        <v>0.82399999999999995</v>
      </c>
      <c r="AC522" s="3">
        <f t="shared" si="105"/>
        <v>0.74751887459830024</v>
      </c>
      <c r="AD522" s="3">
        <f t="shared" si="106"/>
        <v>0.55701919204940409</v>
      </c>
      <c r="AE522" s="3">
        <f t="shared" si="107"/>
        <v>0.56541503910661217</v>
      </c>
      <c r="AF522" s="3">
        <f t="shared" si="108"/>
        <v>0.38876474689749407</v>
      </c>
    </row>
    <row r="523" spans="1:32" x14ac:dyDescent="0.2">
      <c r="A523" s="30">
        <v>521</v>
      </c>
      <c r="B523" s="9" t="s">
        <v>865</v>
      </c>
      <c r="C523" s="12">
        <v>902301</v>
      </c>
      <c r="D523" s="13" t="s">
        <v>522</v>
      </c>
      <c r="E523" s="17">
        <v>-102.869723648</v>
      </c>
      <c r="F523" s="17">
        <v>18.120110552500002</v>
      </c>
      <c r="G523" s="14">
        <v>10</v>
      </c>
      <c r="H523" s="17">
        <v>24.41</v>
      </c>
      <c r="I523" s="17">
        <v>25.7</v>
      </c>
      <c r="J523" s="17">
        <v>26.52</v>
      </c>
      <c r="K523" s="17">
        <v>28.22</v>
      </c>
      <c r="L523" s="17">
        <v>29.04</v>
      </c>
      <c r="M523" s="17">
        <f t="shared" si="100"/>
        <v>1.2899999999999991</v>
      </c>
      <c r="N523" s="17">
        <f t="shared" si="101"/>
        <v>2.1099999999999994</v>
      </c>
      <c r="O523" s="17">
        <f t="shared" si="102"/>
        <v>3.8099999999999987</v>
      </c>
      <c r="P523" s="17">
        <f t="shared" si="103"/>
        <v>4.629999999999999</v>
      </c>
      <c r="Q523" s="17">
        <f t="shared" si="104"/>
        <v>0.52253067433984512</v>
      </c>
      <c r="R523" s="17">
        <f t="shared" si="97"/>
        <v>6.603764862537569E-3</v>
      </c>
      <c r="S523" s="17">
        <f t="shared" si="98"/>
        <v>0.38390954255428228</v>
      </c>
      <c r="T523" s="17">
        <f t="shared" si="99"/>
        <v>-0.10817268894753425</v>
      </c>
      <c r="U523" s="16">
        <v>0</v>
      </c>
      <c r="V523" s="16">
        <v>0</v>
      </c>
      <c r="W523" s="16">
        <v>0</v>
      </c>
      <c r="X523" s="16">
        <v>0</v>
      </c>
      <c r="Y523" s="15">
        <v>0.70599999999999996</v>
      </c>
      <c r="Z523" s="15">
        <v>0.81399999999999995</v>
      </c>
      <c r="AA523" s="15">
        <v>0.93799999999999994</v>
      </c>
      <c r="AB523" s="15">
        <v>1.0129999999999999</v>
      </c>
      <c r="AC523" s="3">
        <f t="shared" si="105"/>
        <v>2.373877872274706</v>
      </c>
      <c r="AD523" s="3">
        <f t="shared" si="106"/>
        <v>2.1991540566062353</v>
      </c>
      <c r="AE523" s="3">
        <f t="shared" si="107"/>
        <v>2.1297321706207817</v>
      </c>
      <c r="AF523" s="3">
        <f t="shared" si="108"/>
        <v>1.9413154538424351</v>
      </c>
    </row>
    <row r="524" spans="1:32" x14ac:dyDescent="0.2">
      <c r="A524" s="30">
        <v>522</v>
      </c>
      <c r="B524" s="9" t="s">
        <v>866</v>
      </c>
      <c r="C524" s="12">
        <v>902305</v>
      </c>
      <c r="D524" s="13" t="s">
        <v>523</v>
      </c>
      <c r="E524" s="17">
        <v>-90.536662867199993</v>
      </c>
      <c r="F524" s="17">
        <v>20.203546426999999</v>
      </c>
      <c r="G524" s="14">
        <v>2189</v>
      </c>
      <c r="H524" s="17">
        <v>25.99</v>
      </c>
      <c r="I524" s="17">
        <v>26.67</v>
      </c>
      <c r="J524" s="17">
        <v>27.61</v>
      </c>
      <c r="K524" s="17">
        <v>28.93</v>
      </c>
      <c r="L524" s="17">
        <v>29.66</v>
      </c>
      <c r="M524" s="17">
        <f t="shared" si="100"/>
        <v>0.68000000000000327</v>
      </c>
      <c r="N524" s="17">
        <f t="shared" si="101"/>
        <v>1.620000000000001</v>
      </c>
      <c r="O524" s="17">
        <f t="shared" si="102"/>
        <v>2.9400000000000013</v>
      </c>
      <c r="P524" s="17">
        <f t="shared" si="103"/>
        <v>3.6700000000000017</v>
      </c>
      <c r="Q524" s="17">
        <f t="shared" si="104"/>
        <v>-0.22067474439486687</v>
      </c>
      <c r="R524" s="17">
        <f t="shared" si="97"/>
        <v>-0.68324730149379764</v>
      </c>
      <c r="S524" s="17">
        <f t="shared" si="98"/>
        <v>-0.6263817712109524</v>
      </c>
      <c r="T524" s="17">
        <f t="shared" si="99"/>
        <v>-1.079860866713017</v>
      </c>
      <c r="U524" s="16">
        <v>173</v>
      </c>
      <c r="V524" s="16">
        <v>183</v>
      </c>
      <c r="W524" s="16">
        <v>195</v>
      </c>
      <c r="X524" s="16">
        <v>211</v>
      </c>
      <c r="Y524" s="15">
        <v>0.68100000000000005</v>
      </c>
      <c r="Z524" s="15">
        <v>0.8</v>
      </c>
      <c r="AA524" s="15">
        <v>0.92200000000000004</v>
      </c>
      <c r="AB524" s="15">
        <v>1.018</v>
      </c>
      <c r="AC524" s="3">
        <f t="shared" si="105"/>
        <v>2.1428609691956719</v>
      </c>
      <c r="AD524" s="3">
        <f t="shared" si="106"/>
        <v>2.0735262527603582</v>
      </c>
      <c r="AE524" s="3">
        <f t="shared" si="107"/>
        <v>1.998000201651168</v>
      </c>
      <c r="AF524" s="3">
        <f t="shared" si="108"/>
        <v>1.9823882238674344</v>
      </c>
    </row>
    <row r="525" spans="1:32" x14ac:dyDescent="0.2">
      <c r="A525" s="30">
        <v>523</v>
      </c>
      <c r="B525" s="9" t="s">
        <v>867</v>
      </c>
      <c r="C525" s="12">
        <v>902306</v>
      </c>
      <c r="D525" s="13" t="s">
        <v>524</v>
      </c>
      <c r="E525" s="17">
        <v>-95.874150342500002</v>
      </c>
      <c r="F525" s="17">
        <v>18.623563096000002</v>
      </c>
      <c r="G525" s="14">
        <v>557</v>
      </c>
      <c r="H525" s="17">
        <v>25.37</v>
      </c>
      <c r="I525" s="17">
        <v>26.37</v>
      </c>
      <c r="J525" s="17">
        <v>27.28</v>
      </c>
      <c r="K525" s="17">
        <v>28.63</v>
      </c>
      <c r="L525" s="17">
        <v>29.93</v>
      </c>
      <c r="M525" s="17">
        <f t="shared" si="100"/>
        <v>1</v>
      </c>
      <c r="N525" s="17">
        <f t="shared" si="101"/>
        <v>1.9100000000000001</v>
      </c>
      <c r="O525" s="17">
        <f t="shared" si="102"/>
        <v>3.259999999999998</v>
      </c>
      <c r="P525" s="17">
        <f t="shared" si="103"/>
        <v>4.5599999999999987</v>
      </c>
      <c r="Q525" s="17">
        <f t="shared" si="104"/>
        <v>0.16920350805612822</v>
      </c>
      <c r="R525" s="17">
        <f t="shared" si="97"/>
        <v>-0.27496809895637464</v>
      </c>
      <c r="S525" s="17">
        <f t="shared" si="98"/>
        <v>-0.25478036844673085</v>
      </c>
      <c r="T525" s="17">
        <f t="shared" si="99"/>
        <v>-0.17902495190960119</v>
      </c>
      <c r="U525" s="16">
        <v>39</v>
      </c>
      <c r="V525" s="16">
        <v>50</v>
      </c>
      <c r="W525" s="16">
        <v>67</v>
      </c>
      <c r="X525" s="16">
        <v>77</v>
      </c>
      <c r="Y525" s="15">
        <v>0.49</v>
      </c>
      <c r="Z525" s="15">
        <v>0.60550000000000004</v>
      </c>
      <c r="AA525" s="15">
        <v>0.73050000000000004</v>
      </c>
      <c r="AB525" s="15">
        <v>0.82499999999999996</v>
      </c>
      <c r="AC525" s="3">
        <f t="shared" si="105"/>
        <v>0.37789182967184387</v>
      </c>
      <c r="AD525" s="3">
        <f t="shared" si="106"/>
        <v>0.32819712075869834</v>
      </c>
      <c r="AE525" s="3">
        <f t="shared" si="107"/>
        <v>0.42133319804609687</v>
      </c>
      <c r="AF525" s="3">
        <f t="shared" si="108"/>
        <v>0.39697930090249378</v>
      </c>
    </row>
    <row r="526" spans="1:32" x14ac:dyDescent="0.2">
      <c r="A526" s="30">
        <v>524</v>
      </c>
      <c r="B526" s="9" t="s">
        <v>1483</v>
      </c>
      <c r="C526" s="12">
        <v>902307</v>
      </c>
      <c r="D526" s="13" t="s">
        <v>525</v>
      </c>
      <c r="E526" s="17">
        <v>-91.731874893500006</v>
      </c>
      <c r="F526" s="17">
        <v>18.623868802699999</v>
      </c>
      <c r="G526" s="14">
        <v>4969</v>
      </c>
      <c r="H526" s="17">
        <v>26.93</v>
      </c>
      <c r="I526" s="17">
        <v>27.89</v>
      </c>
      <c r="J526" s="17">
        <v>28.73</v>
      </c>
      <c r="K526" s="17">
        <v>29.94</v>
      </c>
      <c r="L526" s="17">
        <v>31.1</v>
      </c>
      <c r="M526" s="17">
        <f t="shared" si="100"/>
        <v>0.96000000000000085</v>
      </c>
      <c r="N526" s="17">
        <f t="shared" si="101"/>
        <v>1.8000000000000007</v>
      </c>
      <c r="O526" s="17">
        <f t="shared" si="102"/>
        <v>3.0100000000000016</v>
      </c>
      <c r="P526" s="17">
        <f t="shared" si="103"/>
        <v>4.1700000000000017</v>
      </c>
      <c r="Q526" s="17">
        <f t="shared" si="104"/>
        <v>0.12046872649975437</v>
      </c>
      <c r="R526" s="17">
        <f t="shared" si="97"/>
        <v>-0.42983262405677614</v>
      </c>
      <c r="S526" s="17">
        <f t="shared" si="98"/>
        <v>-0.54509396435627777</v>
      </c>
      <c r="T526" s="17">
        <f t="shared" si="99"/>
        <v>-0.57377327412682666</v>
      </c>
      <c r="U526" s="16">
        <v>243</v>
      </c>
      <c r="V526" s="16">
        <v>273</v>
      </c>
      <c r="W526" s="16">
        <v>306</v>
      </c>
      <c r="X526" s="16">
        <v>328</v>
      </c>
      <c r="Y526" s="15">
        <v>0.66149999999999998</v>
      </c>
      <c r="Z526" s="15">
        <v>0.77900000000000003</v>
      </c>
      <c r="AA526" s="15">
        <v>0.90100000000000002</v>
      </c>
      <c r="AB526" s="15">
        <v>0.99750000000000005</v>
      </c>
      <c r="AC526" s="3">
        <f t="shared" si="105"/>
        <v>1.9626677847940239</v>
      </c>
      <c r="AD526" s="3">
        <f t="shared" si="106"/>
        <v>1.8850845469915414</v>
      </c>
      <c r="AE526" s="3">
        <f t="shared" si="107"/>
        <v>1.8251019923785492</v>
      </c>
      <c r="AF526" s="3">
        <f t="shared" si="108"/>
        <v>1.8139898667649412</v>
      </c>
    </row>
    <row r="527" spans="1:32" x14ac:dyDescent="0.2">
      <c r="A527" s="30">
        <v>525</v>
      </c>
      <c r="B527" s="9" t="s">
        <v>1484</v>
      </c>
      <c r="C527" s="12">
        <v>902309</v>
      </c>
      <c r="D527" s="13" t="s">
        <v>526</v>
      </c>
      <c r="E527" s="17">
        <v>-111.09392870000001</v>
      </c>
      <c r="F527" s="17">
        <v>25.855882896000001</v>
      </c>
      <c r="G527" s="14">
        <v>2811</v>
      </c>
      <c r="H527" s="17">
        <v>21.86</v>
      </c>
      <c r="I527" s="17">
        <v>23.66</v>
      </c>
      <c r="J527" s="17">
        <v>24.51</v>
      </c>
      <c r="K527" s="17">
        <v>26.06</v>
      </c>
      <c r="L527" s="17">
        <v>27.46</v>
      </c>
      <c r="M527" s="17">
        <f t="shared" si="100"/>
        <v>1.8000000000000007</v>
      </c>
      <c r="N527" s="17">
        <f t="shared" si="101"/>
        <v>2.6500000000000021</v>
      </c>
      <c r="O527" s="17">
        <f t="shared" si="102"/>
        <v>4.1999999999999993</v>
      </c>
      <c r="P527" s="17">
        <f t="shared" si="103"/>
        <v>5.6000000000000014</v>
      </c>
      <c r="Q527" s="17">
        <f t="shared" si="104"/>
        <v>1.1438991391836268</v>
      </c>
      <c r="R527" s="17">
        <f t="shared" si="97"/>
        <v>0.76684779717360707</v>
      </c>
      <c r="S527" s="17">
        <f t="shared" si="98"/>
        <v>0.83679875217318256</v>
      </c>
      <c r="T527" s="17">
        <f t="shared" si="99"/>
        <v>0.87363724066967741</v>
      </c>
      <c r="U527" s="16">
        <v>10</v>
      </c>
      <c r="V527" s="16">
        <v>10</v>
      </c>
      <c r="W527" s="16">
        <v>10</v>
      </c>
      <c r="X527" s="16">
        <v>10</v>
      </c>
      <c r="Y527" s="15">
        <v>0.52600000000000002</v>
      </c>
      <c r="Z527" s="15">
        <v>0.625</v>
      </c>
      <c r="AA527" s="15">
        <v>0.73799999999999999</v>
      </c>
      <c r="AB527" s="15">
        <v>0.81499999999999995</v>
      </c>
      <c r="AC527" s="3">
        <f t="shared" si="105"/>
        <v>0.71055617010565464</v>
      </c>
      <c r="AD527" s="3">
        <f t="shared" si="106"/>
        <v>0.50317870468688497</v>
      </c>
      <c r="AE527" s="3">
        <f t="shared" si="107"/>
        <v>0.48308255850060317</v>
      </c>
      <c r="AF527" s="3">
        <f t="shared" si="108"/>
        <v>0.31483376085249681</v>
      </c>
    </row>
    <row r="528" spans="1:32" x14ac:dyDescent="0.2">
      <c r="A528" s="30">
        <v>526</v>
      </c>
      <c r="B528" s="9" t="s">
        <v>1485</v>
      </c>
      <c r="C528" s="12">
        <v>902311</v>
      </c>
      <c r="D528" s="13" t="s">
        <v>527</v>
      </c>
      <c r="E528" s="17">
        <v>-87.274134932099997</v>
      </c>
      <c r="F528" s="17">
        <v>21.506939662099999</v>
      </c>
      <c r="G528" s="14">
        <v>1358</v>
      </c>
      <c r="H528" s="17">
        <v>24.9</v>
      </c>
      <c r="I528" s="17">
        <v>25.85</v>
      </c>
      <c r="J528" s="17">
        <v>26.65</v>
      </c>
      <c r="K528" s="17">
        <v>28.04</v>
      </c>
      <c r="L528" s="17">
        <v>29.09</v>
      </c>
      <c r="M528" s="17">
        <f t="shared" si="100"/>
        <v>0.95000000000000284</v>
      </c>
      <c r="N528" s="17">
        <f t="shared" si="101"/>
        <v>1.75</v>
      </c>
      <c r="O528" s="17">
        <f t="shared" si="102"/>
        <v>3.1400000000000006</v>
      </c>
      <c r="P528" s="17">
        <f t="shared" si="103"/>
        <v>4.1900000000000013</v>
      </c>
      <c r="Q528" s="17">
        <f t="shared" si="104"/>
        <v>0.10828503111066308</v>
      </c>
      <c r="R528" s="17">
        <f t="shared" si="97"/>
        <v>-0.50022559001150546</v>
      </c>
      <c r="S528" s="17">
        <f t="shared" si="98"/>
        <v>-0.39413089448331234</v>
      </c>
      <c r="T528" s="17">
        <f t="shared" si="99"/>
        <v>-0.55352977042337947</v>
      </c>
      <c r="U528" s="16">
        <v>31</v>
      </c>
      <c r="V528" s="16">
        <v>33</v>
      </c>
      <c r="W528" s="16">
        <v>36</v>
      </c>
      <c r="X528" s="16">
        <v>36</v>
      </c>
      <c r="Y528" s="15">
        <v>0.67400000000000004</v>
      </c>
      <c r="Z528" s="15">
        <v>0.79600000000000004</v>
      </c>
      <c r="AA528" s="15">
        <v>0.91400000000000003</v>
      </c>
      <c r="AB528" s="15">
        <v>1.008</v>
      </c>
      <c r="AC528" s="3">
        <f t="shared" si="105"/>
        <v>2.0781762363335421</v>
      </c>
      <c r="AD528" s="3">
        <f t="shared" si="106"/>
        <v>2.0376325945186791</v>
      </c>
      <c r="AE528" s="3">
        <f t="shared" si="107"/>
        <v>1.9321342171663609</v>
      </c>
      <c r="AF528" s="3">
        <f t="shared" si="108"/>
        <v>1.9002426838174376</v>
      </c>
    </row>
    <row r="529" spans="1:32" x14ac:dyDescent="0.2">
      <c r="A529" s="30">
        <v>527</v>
      </c>
      <c r="B529" s="9" t="s">
        <v>868</v>
      </c>
      <c r="C529" s="12">
        <v>902313</v>
      </c>
      <c r="D529" s="13" t="s">
        <v>528</v>
      </c>
      <c r="E529" s="17">
        <v>-97.650781355399999</v>
      </c>
      <c r="F529" s="17">
        <v>25.103093915599999</v>
      </c>
      <c r="G529" s="14">
        <v>2513</v>
      </c>
      <c r="H529" s="17">
        <v>22.73</v>
      </c>
      <c r="I529" s="17">
        <v>23.39</v>
      </c>
      <c r="J529" s="17">
        <v>24.66</v>
      </c>
      <c r="K529" s="17">
        <v>25.06</v>
      </c>
      <c r="L529" s="17">
        <v>25.92</v>
      </c>
      <c r="M529" s="17">
        <f t="shared" si="100"/>
        <v>0.66000000000000014</v>
      </c>
      <c r="N529" s="17">
        <f t="shared" si="101"/>
        <v>1.9299999999999997</v>
      </c>
      <c r="O529" s="17">
        <f t="shared" si="102"/>
        <v>2.3299999999999983</v>
      </c>
      <c r="P529" s="17">
        <f t="shared" si="103"/>
        <v>3.1900000000000013</v>
      </c>
      <c r="Q529" s="17">
        <f t="shared" si="104"/>
        <v>-0.24504213517305812</v>
      </c>
      <c r="R529" s="17">
        <f t="shared" si="97"/>
        <v>-0.24681091257448393</v>
      </c>
      <c r="S529" s="17">
        <f t="shared" si="98"/>
        <v>-1.3347469452302603</v>
      </c>
      <c r="T529" s="17">
        <f t="shared" si="99"/>
        <v>-1.5657049555957601</v>
      </c>
      <c r="U529" s="16">
        <v>219</v>
      </c>
      <c r="V529" s="16">
        <v>241</v>
      </c>
      <c r="W529" s="16">
        <v>260</v>
      </c>
      <c r="X529" s="16">
        <v>276</v>
      </c>
      <c r="Y529" s="15">
        <v>0.64100000000000001</v>
      </c>
      <c r="Z529" s="15">
        <v>0.754</v>
      </c>
      <c r="AA529" s="15">
        <v>0.878</v>
      </c>
      <c r="AB529" s="15">
        <v>0.97199999999999998</v>
      </c>
      <c r="AC529" s="3">
        <f t="shared" si="105"/>
        <v>1.7732339242692154</v>
      </c>
      <c r="AD529" s="3">
        <f t="shared" si="106"/>
        <v>1.660749182981045</v>
      </c>
      <c r="AE529" s="3">
        <f t="shared" si="107"/>
        <v>1.6357372869847284</v>
      </c>
      <c r="AF529" s="3">
        <f t="shared" si="108"/>
        <v>1.6045187396374483</v>
      </c>
    </row>
    <row r="530" spans="1:32" x14ac:dyDescent="0.2">
      <c r="A530" s="30">
        <v>528</v>
      </c>
      <c r="B530" s="9" t="s">
        <v>1486</v>
      </c>
      <c r="C530" s="12">
        <v>902319</v>
      </c>
      <c r="D530" s="13" t="s">
        <v>529</v>
      </c>
      <c r="E530" s="17">
        <v>-78.944759353600006</v>
      </c>
      <c r="F530" s="17">
        <v>8.89039973557</v>
      </c>
      <c r="G530" s="14">
        <v>592</v>
      </c>
      <c r="H530" s="17">
        <v>25.66</v>
      </c>
      <c r="I530" s="17">
        <v>26.21</v>
      </c>
      <c r="J530" s="17">
        <v>27.43</v>
      </c>
      <c r="K530" s="17">
        <v>28.77</v>
      </c>
      <c r="L530" s="17">
        <v>29.86</v>
      </c>
      <c r="M530" s="17">
        <f t="shared" si="100"/>
        <v>0.55000000000000071</v>
      </c>
      <c r="N530" s="17">
        <f t="shared" si="101"/>
        <v>1.7699999999999996</v>
      </c>
      <c r="O530" s="17">
        <f t="shared" si="102"/>
        <v>3.1099999999999994</v>
      </c>
      <c r="P530" s="17">
        <f t="shared" si="103"/>
        <v>4.1999999999999993</v>
      </c>
      <c r="Q530" s="17">
        <f t="shared" si="104"/>
        <v>-0.37906278445308839</v>
      </c>
      <c r="R530" s="17">
        <f t="shared" si="97"/>
        <v>-0.47206840362961472</v>
      </c>
      <c r="S530" s="17">
        <f t="shared" si="98"/>
        <v>-0.42896852599245977</v>
      </c>
      <c r="T530" s="17">
        <f t="shared" si="99"/>
        <v>-0.54340801857165766</v>
      </c>
      <c r="U530" s="16">
        <v>10</v>
      </c>
      <c r="V530" s="16">
        <v>10</v>
      </c>
      <c r="W530" s="16">
        <v>13</v>
      </c>
      <c r="X530" s="16">
        <v>13</v>
      </c>
      <c r="Y530" s="15">
        <v>0.50800000000000001</v>
      </c>
      <c r="Z530" s="15">
        <v>0.63400000000000001</v>
      </c>
      <c r="AA530" s="15">
        <v>0.76</v>
      </c>
      <c r="AB530" s="15">
        <v>0.85</v>
      </c>
      <c r="AC530" s="3">
        <f t="shared" si="105"/>
        <v>0.54422399988874925</v>
      </c>
      <c r="AD530" s="3">
        <f t="shared" si="106"/>
        <v>0.58393943573066365</v>
      </c>
      <c r="AE530" s="3">
        <f t="shared" si="107"/>
        <v>0.664214015833823</v>
      </c>
      <c r="AF530" s="3">
        <f t="shared" si="108"/>
        <v>0.60234315102748626</v>
      </c>
    </row>
    <row r="531" spans="1:32" x14ac:dyDescent="0.2">
      <c r="A531" s="30">
        <v>529</v>
      </c>
      <c r="B531" s="9" t="s">
        <v>1350</v>
      </c>
      <c r="C531" s="12">
        <v>902335</v>
      </c>
      <c r="D531" s="13" t="s">
        <v>530</v>
      </c>
      <c r="E531" s="17">
        <v>100.603848955</v>
      </c>
      <c r="F531" s="17">
        <v>-0.67361571442199997</v>
      </c>
      <c r="G531" s="14">
        <v>155</v>
      </c>
      <c r="H531" s="17">
        <v>24.13</v>
      </c>
      <c r="I531" s="17">
        <v>25.23</v>
      </c>
      <c r="J531" s="17">
        <v>26.59</v>
      </c>
      <c r="K531" s="17">
        <v>27.43</v>
      </c>
      <c r="L531" s="17">
        <v>28.59</v>
      </c>
      <c r="M531" s="17">
        <f t="shared" si="100"/>
        <v>1.1000000000000014</v>
      </c>
      <c r="N531" s="17">
        <f t="shared" si="101"/>
        <v>2.4600000000000009</v>
      </c>
      <c r="O531" s="17">
        <f t="shared" si="102"/>
        <v>3.3000000000000007</v>
      </c>
      <c r="P531" s="17">
        <f t="shared" si="103"/>
        <v>4.4600000000000009</v>
      </c>
      <c r="Q531" s="17">
        <f t="shared" si="104"/>
        <v>0.29104046194706717</v>
      </c>
      <c r="R531" s="17">
        <f t="shared" si="97"/>
        <v>0.49935452654563772</v>
      </c>
      <c r="S531" s="17">
        <f t="shared" si="98"/>
        <v>-0.20833019310119952</v>
      </c>
      <c r="T531" s="17">
        <f t="shared" si="99"/>
        <v>-0.28024247042683709</v>
      </c>
      <c r="U531" s="16">
        <v>0</v>
      </c>
      <c r="V531" s="16">
        <v>0</v>
      </c>
      <c r="W531" s="16">
        <v>0</v>
      </c>
      <c r="X531" s="16">
        <v>3</v>
      </c>
      <c r="Y531" s="15">
        <v>0.442</v>
      </c>
      <c r="Z531" s="15">
        <v>0.54900000000000004</v>
      </c>
      <c r="AA531" s="15">
        <v>0.65400000000000003</v>
      </c>
      <c r="AB531" s="15">
        <v>0.76</v>
      </c>
      <c r="AC531" s="3">
        <f t="shared" si="105"/>
        <v>-6.5660624239903195E-2</v>
      </c>
      <c r="AD531" s="3">
        <f t="shared" si="106"/>
        <v>-0.17880080190502287</v>
      </c>
      <c r="AE531" s="3">
        <f t="shared" si="107"/>
        <v>-0.20851027858987162</v>
      </c>
      <c r="AF531" s="3">
        <f t="shared" si="108"/>
        <v>-0.13696670942248565</v>
      </c>
    </row>
    <row r="532" spans="1:32" x14ac:dyDescent="0.2">
      <c r="A532" s="30">
        <v>530</v>
      </c>
      <c r="B532" s="9" t="s">
        <v>1167</v>
      </c>
      <c r="C532" s="12">
        <v>902347</v>
      </c>
      <c r="D532" s="13" t="s">
        <v>531</v>
      </c>
      <c r="E532" s="17">
        <v>21.693819483399999</v>
      </c>
      <c r="F532" s="17">
        <v>-33.645943997499998</v>
      </c>
      <c r="G532" s="14">
        <v>373</v>
      </c>
      <c r="H532" s="17">
        <v>15.75</v>
      </c>
      <c r="I532" s="17">
        <v>17.3</v>
      </c>
      <c r="J532" s="17">
        <v>18.100000000000001</v>
      </c>
      <c r="K532" s="17">
        <v>19.25</v>
      </c>
      <c r="L532" s="17">
        <v>20.07</v>
      </c>
      <c r="M532" s="17">
        <f t="shared" si="100"/>
        <v>1.5500000000000007</v>
      </c>
      <c r="N532" s="17">
        <f t="shared" si="101"/>
        <v>2.3500000000000014</v>
      </c>
      <c r="O532" s="17">
        <f t="shared" si="102"/>
        <v>3.5</v>
      </c>
      <c r="P532" s="17">
        <f t="shared" si="103"/>
        <v>4.32</v>
      </c>
      <c r="Q532" s="17">
        <f t="shared" si="104"/>
        <v>0.83930675445628378</v>
      </c>
      <c r="R532" s="17">
        <f t="shared" si="97"/>
        <v>0.34449000144523623</v>
      </c>
      <c r="S532" s="17">
        <f t="shared" si="98"/>
        <v>2.3920683626440467E-2</v>
      </c>
      <c r="T532" s="17">
        <f t="shared" si="99"/>
        <v>-0.42194699635097094</v>
      </c>
      <c r="U532" s="16">
        <v>12</v>
      </c>
      <c r="V532" s="16">
        <v>13</v>
      </c>
      <c r="W532" s="16">
        <v>15</v>
      </c>
      <c r="X532" s="16">
        <v>19</v>
      </c>
      <c r="Y532" s="15">
        <v>0.49</v>
      </c>
      <c r="Z532" s="15">
        <v>0.61799999999999999</v>
      </c>
      <c r="AA532" s="15">
        <v>0.748</v>
      </c>
      <c r="AB532" s="15">
        <v>0.83799999999999997</v>
      </c>
      <c r="AC532" s="3">
        <f t="shared" si="105"/>
        <v>0.37789182967184387</v>
      </c>
      <c r="AD532" s="3">
        <f t="shared" si="106"/>
        <v>0.44036480276394602</v>
      </c>
      <c r="AE532" s="3">
        <f t="shared" si="107"/>
        <v>0.56541503910661217</v>
      </c>
      <c r="AF532" s="3">
        <f t="shared" si="108"/>
        <v>0.50376850296748987</v>
      </c>
    </row>
    <row r="533" spans="1:32" x14ac:dyDescent="0.2">
      <c r="A533" s="30">
        <v>531</v>
      </c>
      <c r="B533" s="9" t="s">
        <v>869</v>
      </c>
      <c r="C533" s="12">
        <v>902367</v>
      </c>
      <c r="D533" s="13" t="s">
        <v>532</v>
      </c>
      <c r="E533" s="17">
        <v>-61.058217468099997</v>
      </c>
      <c r="F533" s="17">
        <v>13.826818765100001</v>
      </c>
      <c r="G533" s="14">
        <v>13</v>
      </c>
      <c r="H533" s="17">
        <v>25.32</v>
      </c>
      <c r="I533" s="17">
        <v>26.21</v>
      </c>
      <c r="J533" s="17">
        <v>26.97</v>
      </c>
      <c r="K533" s="17">
        <v>28.01</v>
      </c>
      <c r="L533" s="17">
        <v>29.4</v>
      </c>
      <c r="M533" s="17">
        <f t="shared" si="100"/>
        <v>0.89000000000000057</v>
      </c>
      <c r="N533" s="17">
        <f t="shared" si="101"/>
        <v>1.6499999999999986</v>
      </c>
      <c r="O533" s="17">
        <f t="shared" si="102"/>
        <v>2.6900000000000013</v>
      </c>
      <c r="P533" s="17">
        <f t="shared" si="103"/>
        <v>4.0799999999999983</v>
      </c>
      <c r="Q533" s="17">
        <f t="shared" si="104"/>
        <v>3.5182858776097982E-2</v>
      </c>
      <c r="R533" s="17">
        <f t="shared" si="97"/>
        <v>-0.641011521920964</v>
      </c>
      <c r="S533" s="17">
        <f t="shared" si="98"/>
        <v>-0.91669536712050337</v>
      </c>
      <c r="T533" s="17">
        <f t="shared" si="99"/>
        <v>-0.66486904079234432</v>
      </c>
      <c r="U533" s="16">
        <v>0</v>
      </c>
      <c r="V533" s="16">
        <v>0</v>
      </c>
      <c r="W533" s="16">
        <v>0</v>
      </c>
      <c r="X533" s="16">
        <v>0</v>
      </c>
      <c r="Y533" s="15">
        <v>0.434</v>
      </c>
      <c r="Z533" s="15">
        <v>0.55400000000000005</v>
      </c>
      <c r="AA533" s="15">
        <v>0.65800000000000003</v>
      </c>
      <c r="AB533" s="15">
        <v>0.73599999999999999</v>
      </c>
      <c r="AC533" s="3">
        <f t="shared" si="105"/>
        <v>-0.13958603322519447</v>
      </c>
      <c r="AD533" s="3">
        <f t="shared" si="106"/>
        <v>-0.13393372910292362</v>
      </c>
      <c r="AE533" s="3">
        <f t="shared" si="107"/>
        <v>-0.175577286347468</v>
      </c>
      <c r="AF533" s="3">
        <f t="shared" si="108"/>
        <v>-0.33411600554247839</v>
      </c>
    </row>
    <row r="534" spans="1:32" x14ac:dyDescent="0.2">
      <c r="A534" s="30">
        <v>532</v>
      </c>
      <c r="B534" s="9" t="s">
        <v>1168</v>
      </c>
      <c r="C534" s="12">
        <v>902368</v>
      </c>
      <c r="D534" s="13" t="s">
        <v>533</v>
      </c>
      <c r="E534" s="17">
        <v>-8.5637790385799999</v>
      </c>
      <c r="F534" s="17">
        <v>57.837901191</v>
      </c>
      <c r="G534" s="14">
        <v>575</v>
      </c>
      <c r="H534" s="17">
        <v>9.52</v>
      </c>
      <c r="I534" s="17">
        <v>9.57</v>
      </c>
      <c r="J534" s="17">
        <v>10.87</v>
      </c>
      <c r="K534" s="17">
        <v>11.83</v>
      </c>
      <c r="L534" s="17">
        <v>13.18</v>
      </c>
      <c r="M534" s="17">
        <f t="shared" si="100"/>
        <v>5.0000000000000711E-2</v>
      </c>
      <c r="N534" s="17">
        <f t="shared" si="101"/>
        <v>1.3499999999999996</v>
      </c>
      <c r="O534" s="17">
        <f t="shared" si="102"/>
        <v>2.3100000000000005</v>
      </c>
      <c r="P534" s="17">
        <f t="shared" si="103"/>
        <v>3.66</v>
      </c>
      <c r="Q534" s="17">
        <f t="shared" si="104"/>
        <v>-0.98824755390777441</v>
      </c>
      <c r="R534" s="17">
        <f t="shared" si="97"/>
        <v>-1.0633693176493324</v>
      </c>
      <c r="S534" s="17">
        <f t="shared" si="98"/>
        <v>-1.3579720329030218</v>
      </c>
      <c r="T534" s="17">
        <f t="shared" si="99"/>
        <v>-1.0899826185647423</v>
      </c>
      <c r="U534" s="16">
        <v>0</v>
      </c>
      <c r="V534" s="16">
        <v>0</v>
      </c>
      <c r="W534" s="16">
        <v>0</v>
      </c>
      <c r="X534" s="16">
        <v>0</v>
      </c>
      <c r="Y534" s="15">
        <v>0.38500000000000001</v>
      </c>
      <c r="Z534" s="15">
        <v>0.49</v>
      </c>
      <c r="AA534" s="15">
        <v>0.55200000000000005</v>
      </c>
      <c r="AB534" s="15">
        <v>0.65200000000000002</v>
      </c>
      <c r="AC534" s="3">
        <f t="shared" si="105"/>
        <v>-0.59237916326010298</v>
      </c>
      <c r="AD534" s="3">
        <f t="shared" si="106"/>
        <v>-0.70823226096979419</v>
      </c>
      <c r="AE534" s="3">
        <f t="shared" si="107"/>
        <v>-1.0483015807711626</v>
      </c>
      <c r="AF534" s="3">
        <f t="shared" si="108"/>
        <v>-1.024138541962452</v>
      </c>
    </row>
    <row r="535" spans="1:32" x14ac:dyDescent="0.2">
      <c r="A535" s="30">
        <v>533</v>
      </c>
      <c r="B535" s="9" t="s">
        <v>1487</v>
      </c>
      <c r="C535" s="12">
        <v>902393</v>
      </c>
      <c r="D535" s="13" t="s">
        <v>534</v>
      </c>
      <c r="E535" s="17">
        <v>-69.087488218700003</v>
      </c>
      <c r="F535" s="17">
        <v>-52.578509972299997</v>
      </c>
      <c r="G535" s="14">
        <v>1220</v>
      </c>
      <c r="H535" s="17">
        <v>5.03</v>
      </c>
      <c r="I535" s="17">
        <v>7.02</v>
      </c>
      <c r="J535" s="17">
        <v>8.74</v>
      </c>
      <c r="K535" s="17">
        <v>8.74</v>
      </c>
      <c r="L535" s="17">
        <v>9.9499999999999993</v>
      </c>
      <c r="M535" s="17">
        <f t="shared" si="100"/>
        <v>1.9899999999999993</v>
      </c>
      <c r="N535" s="17">
        <f t="shared" si="101"/>
        <v>3.71</v>
      </c>
      <c r="O535" s="17">
        <f t="shared" si="102"/>
        <v>3.71</v>
      </c>
      <c r="P535" s="17">
        <f t="shared" si="103"/>
        <v>4.919999999999999</v>
      </c>
      <c r="Q535" s="17">
        <f t="shared" si="104"/>
        <v>1.3753893515764057</v>
      </c>
      <c r="R535" s="17">
        <f t="shared" si="97"/>
        <v>2.2591786754138439</v>
      </c>
      <c r="S535" s="17">
        <f t="shared" si="98"/>
        <v>0.26778410419046328</v>
      </c>
      <c r="T535" s="17">
        <f t="shared" si="99"/>
        <v>0.18535811475245617</v>
      </c>
      <c r="U535" s="16">
        <v>1</v>
      </c>
      <c r="V535" s="16">
        <v>3</v>
      </c>
      <c r="W535" s="16">
        <v>8</v>
      </c>
      <c r="X535" s="16">
        <v>9</v>
      </c>
      <c r="Y535" s="15">
        <v>0.17799999999999999</v>
      </c>
      <c r="Z535" s="15">
        <v>0.27700000000000002</v>
      </c>
      <c r="AA535" s="15">
        <v>0.376</v>
      </c>
      <c r="AB535" s="15">
        <v>0.44600000000000001</v>
      </c>
      <c r="AC535" s="3">
        <f t="shared" si="105"/>
        <v>-2.5051991207545128</v>
      </c>
      <c r="AD535" s="3">
        <f t="shared" si="106"/>
        <v>-2.6195695623392208</v>
      </c>
      <c r="AE535" s="3">
        <f t="shared" si="107"/>
        <v>-2.4973532394369204</v>
      </c>
      <c r="AF535" s="3">
        <f t="shared" si="108"/>
        <v>-2.7163366669923885</v>
      </c>
    </row>
    <row r="536" spans="1:32" x14ac:dyDescent="0.2">
      <c r="A536" s="30">
        <v>534</v>
      </c>
      <c r="B536" s="9" t="s">
        <v>1488</v>
      </c>
      <c r="C536" s="12">
        <v>902394</v>
      </c>
      <c r="D536" s="13" t="s">
        <v>535</v>
      </c>
      <c r="E536" s="17">
        <v>-58.101372959899997</v>
      </c>
      <c r="F536" s="17">
        <v>-32.853493963799998</v>
      </c>
      <c r="G536" s="14">
        <v>206</v>
      </c>
      <c r="H536" s="17">
        <v>16.88</v>
      </c>
      <c r="I536" s="17">
        <v>19.579999999999998</v>
      </c>
      <c r="J536" s="17">
        <v>19.48</v>
      </c>
      <c r="K536" s="17">
        <v>21.77</v>
      </c>
      <c r="L536" s="17">
        <v>22.3</v>
      </c>
      <c r="M536" s="17">
        <f t="shared" si="100"/>
        <v>2.6999999999999993</v>
      </c>
      <c r="N536" s="17">
        <f t="shared" si="101"/>
        <v>2.6000000000000014</v>
      </c>
      <c r="O536" s="17">
        <f t="shared" si="102"/>
        <v>4.8900000000000006</v>
      </c>
      <c r="P536" s="17">
        <f t="shared" si="103"/>
        <v>5.4200000000000017</v>
      </c>
      <c r="Q536" s="17">
        <f t="shared" si="104"/>
        <v>2.2404317242020602</v>
      </c>
      <c r="R536" s="17">
        <f t="shared" si="97"/>
        <v>0.69645483121887775</v>
      </c>
      <c r="S536" s="17">
        <f t="shared" si="98"/>
        <v>1.6380642768835449</v>
      </c>
      <c r="T536" s="17">
        <f t="shared" si="99"/>
        <v>0.69144570733864918</v>
      </c>
      <c r="U536" s="16">
        <v>0</v>
      </c>
      <c r="V536" s="16">
        <v>0</v>
      </c>
      <c r="W536" s="16">
        <v>0</v>
      </c>
      <c r="X536" s="16">
        <v>0</v>
      </c>
      <c r="Y536" s="15">
        <v>0.39400000000000002</v>
      </c>
      <c r="Z536" s="15">
        <v>0.51600000000000001</v>
      </c>
      <c r="AA536" s="15">
        <v>0.64400000000000002</v>
      </c>
      <c r="AB536" s="15">
        <v>0.72199999999999998</v>
      </c>
      <c r="AC536" s="3">
        <f t="shared" si="105"/>
        <v>-0.50921307815165029</v>
      </c>
      <c r="AD536" s="3">
        <f t="shared" si="106"/>
        <v>-0.47492348239887805</v>
      </c>
      <c r="AE536" s="3">
        <f t="shared" si="107"/>
        <v>-0.29084275919588065</v>
      </c>
      <c r="AF536" s="3">
        <f t="shared" si="108"/>
        <v>-0.44911976161247413</v>
      </c>
    </row>
    <row r="537" spans="1:32" x14ac:dyDescent="0.2">
      <c r="A537" s="30">
        <v>535</v>
      </c>
      <c r="B537" s="9" t="s">
        <v>1169</v>
      </c>
      <c r="C537" s="12">
        <v>902395</v>
      </c>
      <c r="D537" s="13" t="s">
        <v>536</v>
      </c>
      <c r="E537" s="17">
        <v>-1.9655552462799999</v>
      </c>
      <c r="F537" s="17">
        <v>49.292222475999999</v>
      </c>
      <c r="G537" s="14">
        <v>135</v>
      </c>
      <c r="H537" s="17">
        <v>13.17</v>
      </c>
      <c r="I537" s="17">
        <v>12.5</v>
      </c>
      <c r="J537" s="17">
        <v>14.04</v>
      </c>
      <c r="K537" s="17">
        <v>15.48</v>
      </c>
      <c r="L537" s="17">
        <v>16.82</v>
      </c>
      <c r="M537" s="17">
        <f t="shared" si="100"/>
        <v>-0.66999999999999993</v>
      </c>
      <c r="N537" s="17">
        <f t="shared" si="101"/>
        <v>0.86999999999999922</v>
      </c>
      <c r="O537" s="17">
        <f t="shared" si="102"/>
        <v>2.3100000000000005</v>
      </c>
      <c r="P537" s="17">
        <f t="shared" si="103"/>
        <v>3.6500000000000004</v>
      </c>
      <c r="Q537" s="17">
        <f t="shared" si="104"/>
        <v>-1.8654736219225232</v>
      </c>
      <c r="R537" s="17">
        <f t="shared" si="97"/>
        <v>-1.7391417908147246</v>
      </c>
      <c r="S537" s="17">
        <f t="shared" si="98"/>
        <v>-1.3579720329030218</v>
      </c>
      <c r="T537" s="17">
        <f t="shared" si="99"/>
        <v>-1.1001043704164659</v>
      </c>
      <c r="U537" s="16">
        <v>0</v>
      </c>
      <c r="V537" s="16">
        <v>0</v>
      </c>
      <c r="W537" s="16">
        <v>0</v>
      </c>
      <c r="X537" s="16">
        <v>0</v>
      </c>
      <c r="Y537" s="15">
        <v>0.41333333333299999</v>
      </c>
      <c r="Z537" s="15">
        <v>0.53166666666700002</v>
      </c>
      <c r="AA537" s="15">
        <v>0.62733333333300001</v>
      </c>
      <c r="AB537" s="15">
        <v>0.72699999999999998</v>
      </c>
      <c r="AC537" s="3">
        <f t="shared" si="105"/>
        <v>-0.33056000644027705</v>
      </c>
      <c r="AD537" s="3">
        <f t="shared" si="106"/>
        <v>-0.33433998761597594</v>
      </c>
      <c r="AE537" s="3">
        <f t="shared" si="107"/>
        <v>-0.42806356020864</v>
      </c>
      <c r="AF537" s="3">
        <f t="shared" si="108"/>
        <v>-0.40804699158747565</v>
      </c>
    </row>
    <row r="538" spans="1:32" x14ac:dyDescent="0.2">
      <c r="A538" s="30">
        <v>536</v>
      </c>
      <c r="B538" s="9" t="s">
        <v>1170</v>
      </c>
      <c r="C538" s="12">
        <v>902397</v>
      </c>
      <c r="D538" s="13" t="s">
        <v>537</v>
      </c>
      <c r="E538" s="17">
        <v>-2.2041652625000001</v>
      </c>
      <c r="F538" s="17">
        <v>49.293333459999999</v>
      </c>
      <c r="G538" s="14">
        <v>12</v>
      </c>
      <c r="H538" s="17">
        <v>13.15</v>
      </c>
      <c r="I538" s="17">
        <v>12.5</v>
      </c>
      <c r="J538" s="17">
        <v>14.03</v>
      </c>
      <c r="K538" s="17">
        <v>15.43</v>
      </c>
      <c r="L538" s="17">
        <v>16.78</v>
      </c>
      <c r="M538" s="17">
        <f t="shared" si="100"/>
        <v>-0.65000000000000036</v>
      </c>
      <c r="N538" s="17">
        <f t="shared" si="101"/>
        <v>0.87999999999999901</v>
      </c>
      <c r="O538" s="17">
        <f t="shared" si="102"/>
        <v>2.2799999999999994</v>
      </c>
      <c r="P538" s="17">
        <f t="shared" si="103"/>
        <v>3.6300000000000008</v>
      </c>
      <c r="Q538" s="17">
        <f t="shared" si="104"/>
        <v>-1.8411062311443362</v>
      </c>
      <c r="R538" s="17">
        <f t="shared" si="97"/>
        <v>-1.7250631976237794</v>
      </c>
      <c r="S538" s="17">
        <f t="shared" si="98"/>
        <v>-1.3928096644121692</v>
      </c>
      <c r="T538" s="17">
        <f t="shared" si="99"/>
        <v>-1.1203478741199131</v>
      </c>
      <c r="U538" s="16">
        <v>0</v>
      </c>
      <c r="V538" s="16">
        <v>0</v>
      </c>
      <c r="W538" s="16">
        <v>0</v>
      </c>
      <c r="X538" s="16">
        <v>0</v>
      </c>
      <c r="Y538" s="15">
        <v>0.41333333333299999</v>
      </c>
      <c r="Z538" s="15">
        <v>0.53166666666700002</v>
      </c>
      <c r="AA538" s="15">
        <v>0.62733333333300001</v>
      </c>
      <c r="AB538" s="15">
        <v>0.72699999999999998</v>
      </c>
      <c r="AC538" s="3">
        <f t="shared" si="105"/>
        <v>-0.33056000644027705</v>
      </c>
      <c r="AD538" s="3">
        <f t="shared" si="106"/>
        <v>-0.33433998761597594</v>
      </c>
      <c r="AE538" s="3">
        <f t="shared" si="107"/>
        <v>-0.42806356020864</v>
      </c>
      <c r="AF538" s="3">
        <f t="shared" si="108"/>
        <v>-0.40804699158747565</v>
      </c>
    </row>
    <row r="539" spans="1:32" x14ac:dyDescent="0.2">
      <c r="A539" s="30">
        <v>537</v>
      </c>
      <c r="B539" s="9" t="s">
        <v>870</v>
      </c>
      <c r="C539" s="12">
        <v>902406</v>
      </c>
      <c r="D539" s="13" t="s">
        <v>538</v>
      </c>
      <c r="E539" s="17">
        <v>-86.998599818800002</v>
      </c>
      <c r="F539" s="17">
        <v>20.328192593299999</v>
      </c>
      <c r="G539" s="14">
        <v>220</v>
      </c>
      <c r="H539" s="17">
        <v>24.48</v>
      </c>
      <c r="I539" s="17">
        <v>25.45</v>
      </c>
      <c r="J539" s="17">
        <v>26.54</v>
      </c>
      <c r="K539" s="17">
        <v>27.84</v>
      </c>
      <c r="L539" s="17">
        <v>28.93</v>
      </c>
      <c r="M539" s="17">
        <f t="shared" si="100"/>
        <v>0.96999999999999886</v>
      </c>
      <c r="N539" s="17">
        <f t="shared" si="101"/>
        <v>2.0599999999999987</v>
      </c>
      <c r="O539" s="17">
        <f t="shared" si="102"/>
        <v>3.3599999999999994</v>
      </c>
      <c r="P539" s="17">
        <f t="shared" si="103"/>
        <v>4.4499999999999993</v>
      </c>
      <c r="Q539" s="17">
        <f t="shared" si="104"/>
        <v>0.13265242188884568</v>
      </c>
      <c r="R539" s="17">
        <f t="shared" si="97"/>
        <v>-6.378920109219173E-2</v>
      </c>
      <c r="S539" s="17">
        <f t="shared" si="98"/>
        <v>-0.13865493008290877</v>
      </c>
      <c r="T539" s="17">
        <f t="shared" si="99"/>
        <v>-0.29036422227856246</v>
      </c>
      <c r="U539" s="16">
        <v>0</v>
      </c>
      <c r="V539" s="16">
        <v>0</v>
      </c>
      <c r="W539" s="16">
        <v>0</v>
      </c>
      <c r="X539" s="16">
        <v>0</v>
      </c>
      <c r="Y539" s="15">
        <v>0.65800000000000003</v>
      </c>
      <c r="Z539" s="15">
        <v>0.78800000000000003</v>
      </c>
      <c r="AA539" s="15">
        <v>0.90500000000000003</v>
      </c>
      <c r="AB539" s="15">
        <v>0.996</v>
      </c>
      <c r="AC539" s="3">
        <f t="shared" si="105"/>
        <v>1.9303254183629595</v>
      </c>
      <c r="AD539" s="3">
        <f t="shared" si="106"/>
        <v>1.9658452780353199</v>
      </c>
      <c r="AE539" s="3">
        <f t="shared" si="107"/>
        <v>1.8580349846209527</v>
      </c>
      <c r="AF539" s="3">
        <f t="shared" si="108"/>
        <v>1.8016680357574411</v>
      </c>
    </row>
    <row r="540" spans="1:32" x14ac:dyDescent="0.2">
      <c r="A540" s="30">
        <v>538</v>
      </c>
      <c r="B540" s="9" t="s">
        <v>1489</v>
      </c>
      <c r="C540" s="12">
        <v>902408</v>
      </c>
      <c r="D540" s="13" t="s">
        <v>539</v>
      </c>
      <c r="E540" s="17">
        <v>-102.27575942199999</v>
      </c>
      <c r="F540" s="17">
        <v>17.969785733599998</v>
      </c>
      <c r="G540" s="14">
        <v>3</v>
      </c>
      <c r="H540" s="17">
        <v>24.39</v>
      </c>
      <c r="I540" s="17">
        <v>25.66</v>
      </c>
      <c r="J540" s="17">
        <v>26.56</v>
      </c>
      <c r="K540" s="17">
        <v>28.2</v>
      </c>
      <c r="L540" s="17">
        <v>28.98</v>
      </c>
      <c r="M540" s="17">
        <f t="shared" si="100"/>
        <v>1.2699999999999996</v>
      </c>
      <c r="N540" s="17">
        <f t="shared" si="101"/>
        <v>2.1699999999999982</v>
      </c>
      <c r="O540" s="17">
        <f t="shared" si="102"/>
        <v>3.8099999999999987</v>
      </c>
      <c r="P540" s="17">
        <f t="shared" si="103"/>
        <v>4.59</v>
      </c>
      <c r="Q540" s="17">
        <f t="shared" si="104"/>
        <v>0.49816328356165818</v>
      </c>
      <c r="R540" s="17">
        <f t="shared" si="97"/>
        <v>9.1075324008209738E-2</v>
      </c>
      <c r="S540" s="17">
        <f t="shared" si="98"/>
        <v>0.38390954255428228</v>
      </c>
      <c r="T540" s="17">
        <f t="shared" si="99"/>
        <v>-0.14865969635442861</v>
      </c>
      <c r="U540" s="16">
        <v>0</v>
      </c>
      <c r="V540" s="16">
        <v>0</v>
      </c>
      <c r="W540" s="16">
        <v>0</v>
      </c>
      <c r="X540" s="16">
        <v>0</v>
      </c>
      <c r="Y540" s="15">
        <v>0.72</v>
      </c>
      <c r="Z540" s="15">
        <v>0.82799999999999996</v>
      </c>
      <c r="AA540" s="15">
        <v>0.95199999999999996</v>
      </c>
      <c r="AB540" s="15">
        <v>1.028</v>
      </c>
      <c r="AC540" s="3">
        <f t="shared" si="105"/>
        <v>2.5032473379989657</v>
      </c>
      <c r="AD540" s="3">
        <f t="shared" si="106"/>
        <v>2.3247818604521133</v>
      </c>
      <c r="AE540" s="3">
        <f t="shared" si="107"/>
        <v>2.2449976434691941</v>
      </c>
      <c r="AF540" s="3">
        <f t="shared" si="108"/>
        <v>2.0645337639174315</v>
      </c>
    </row>
    <row r="541" spans="1:32" x14ac:dyDescent="0.2">
      <c r="A541" s="30">
        <v>539</v>
      </c>
      <c r="B541" s="9" t="s">
        <v>1171</v>
      </c>
      <c r="C541" s="12">
        <v>902412</v>
      </c>
      <c r="D541" s="13" t="s">
        <v>540</v>
      </c>
      <c r="E541" s="17">
        <v>39.4952717424</v>
      </c>
      <c r="F541" s="17">
        <v>-8.0957679756399994</v>
      </c>
      <c r="G541" s="14">
        <v>4599</v>
      </c>
      <c r="H541" s="17">
        <v>25.28</v>
      </c>
      <c r="I541" s="17">
        <v>26.26</v>
      </c>
      <c r="J541" s="17">
        <v>27.36</v>
      </c>
      <c r="K541" s="17">
        <v>28.69</v>
      </c>
      <c r="L541" s="17">
        <v>29.87</v>
      </c>
      <c r="M541" s="17">
        <f t="shared" si="100"/>
        <v>0.98000000000000043</v>
      </c>
      <c r="N541" s="17">
        <f t="shared" si="101"/>
        <v>2.0799999999999983</v>
      </c>
      <c r="O541" s="17">
        <f t="shared" si="102"/>
        <v>3.41</v>
      </c>
      <c r="P541" s="17">
        <f t="shared" si="103"/>
        <v>4.59</v>
      </c>
      <c r="Q541" s="17">
        <f t="shared" si="104"/>
        <v>0.1448361172779413</v>
      </c>
      <c r="R541" s="17">
        <f t="shared" si="97"/>
        <v>-3.5632014710301016E-2</v>
      </c>
      <c r="S541" s="17">
        <f t="shared" si="98"/>
        <v>-8.0592210900997732E-2</v>
      </c>
      <c r="T541" s="17">
        <f t="shared" si="99"/>
        <v>-0.14865969635442861</v>
      </c>
      <c r="U541" s="16">
        <v>24</v>
      </c>
      <c r="V541" s="16">
        <v>42</v>
      </c>
      <c r="W541" s="16">
        <v>45</v>
      </c>
      <c r="X541" s="16">
        <v>72</v>
      </c>
      <c r="Y541" s="15">
        <v>0.45700000000000002</v>
      </c>
      <c r="Z541" s="15">
        <v>0.58299999999999996</v>
      </c>
      <c r="AA541" s="15">
        <v>0.72299999999999998</v>
      </c>
      <c r="AB541" s="15">
        <v>0.80400000000000005</v>
      </c>
      <c r="AC541" s="3">
        <f t="shared" si="105"/>
        <v>7.294951760751793E-2</v>
      </c>
      <c r="AD541" s="3">
        <f t="shared" si="106"/>
        <v>0.12629529314925114</v>
      </c>
      <c r="AE541" s="3">
        <f t="shared" si="107"/>
        <v>0.35958383759158963</v>
      </c>
      <c r="AF541" s="3">
        <f t="shared" si="108"/>
        <v>0.22447366679750105</v>
      </c>
    </row>
    <row r="542" spans="1:32" x14ac:dyDescent="0.2">
      <c r="A542" s="30">
        <v>540</v>
      </c>
      <c r="B542" s="9" t="s">
        <v>871</v>
      </c>
      <c r="C542" s="12">
        <v>902479</v>
      </c>
      <c r="D542" s="13" t="s">
        <v>541</v>
      </c>
      <c r="E542" s="17">
        <v>-81.846683088800006</v>
      </c>
      <c r="F542" s="17">
        <v>7.50258791155</v>
      </c>
      <c r="G542" s="14">
        <v>3053</v>
      </c>
      <c r="H542" s="17">
        <v>26.61</v>
      </c>
      <c r="I542" s="17">
        <v>27.22</v>
      </c>
      <c r="J542" s="17">
        <v>28.56</v>
      </c>
      <c r="K542" s="17">
        <v>29.94</v>
      </c>
      <c r="L542" s="17">
        <v>30.76</v>
      </c>
      <c r="M542" s="17">
        <f t="shared" si="100"/>
        <v>0.60999999999999943</v>
      </c>
      <c r="N542" s="17">
        <f t="shared" si="101"/>
        <v>1.9499999999999993</v>
      </c>
      <c r="O542" s="17">
        <f t="shared" si="102"/>
        <v>3.3300000000000018</v>
      </c>
      <c r="P542" s="17">
        <f t="shared" si="103"/>
        <v>4.1500000000000021</v>
      </c>
      <c r="Q542" s="17">
        <f t="shared" si="104"/>
        <v>-0.3059606121185276</v>
      </c>
      <c r="R542" s="17">
        <f t="shared" si="97"/>
        <v>-0.21865372619259321</v>
      </c>
      <c r="S542" s="17">
        <f t="shared" si="98"/>
        <v>-0.17349256159205209</v>
      </c>
      <c r="T542" s="17">
        <f t="shared" si="99"/>
        <v>-0.59401677783027385</v>
      </c>
      <c r="U542" s="16">
        <v>1</v>
      </c>
      <c r="V542" s="16">
        <v>1</v>
      </c>
      <c r="W542" s="16">
        <v>1</v>
      </c>
      <c r="X542" s="16">
        <v>2</v>
      </c>
      <c r="Y542" s="15">
        <v>0.46400000000000002</v>
      </c>
      <c r="Z542" s="15">
        <v>0.56999999999999995</v>
      </c>
      <c r="AA542" s="15">
        <v>0.70299999999999996</v>
      </c>
      <c r="AB542" s="15">
        <v>0.77800000000000002</v>
      </c>
      <c r="AC542" s="3">
        <f t="shared" si="105"/>
        <v>0.13763425046964778</v>
      </c>
      <c r="AD542" s="3">
        <f t="shared" si="106"/>
        <v>9.6409038637930381E-3</v>
      </c>
      <c r="AE542" s="3">
        <f t="shared" si="107"/>
        <v>0.19491887637957162</v>
      </c>
      <c r="AF542" s="3">
        <f t="shared" si="108"/>
        <v>1.0895262667508917E-2</v>
      </c>
    </row>
    <row r="543" spans="1:32" x14ac:dyDescent="0.2">
      <c r="A543" s="30">
        <v>541</v>
      </c>
      <c r="B543" s="9" t="s">
        <v>872</v>
      </c>
      <c r="C543" s="12">
        <v>902481</v>
      </c>
      <c r="D543" s="13" t="s">
        <v>542</v>
      </c>
      <c r="E543" s="17">
        <v>-111.4533629</v>
      </c>
      <c r="F543" s="17">
        <v>27.505912480500001</v>
      </c>
      <c r="G543" s="14">
        <v>21014</v>
      </c>
      <c r="H543" s="17">
        <v>22.16</v>
      </c>
      <c r="I543" s="17">
        <v>23.8</v>
      </c>
      <c r="J543" s="17">
        <v>24.82</v>
      </c>
      <c r="K543" s="17">
        <v>26.33</v>
      </c>
      <c r="L543" s="17">
        <v>27.71</v>
      </c>
      <c r="M543" s="17">
        <f t="shared" si="100"/>
        <v>1.6400000000000006</v>
      </c>
      <c r="N543" s="17">
        <f t="shared" si="101"/>
        <v>2.66</v>
      </c>
      <c r="O543" s="17">
        <f t="shared" si="102"/>
        <v>4.1699999999999982</v>
      </c>
      <c r="P543" s="17">
        <f t="shared" si="103"/>
        <v>5.5500000000000007</v>
      </c>
      <c r="Q543" s="17">
        <f t="shared" si="104"/>
        <v>0.94896001295812704</v>
      </c>
      <c r="R543" s="17">
        <f t="shared" si="97"/>
        <v>0.78092639036454992</v>
      </c>
      <c r="S543" s="17">
        <f t="shared" si="98"/>
        <v>0.80196112066403502</v>
      </c>
      <c r="T543" s="17">
        <f t="shared" si="99"/>
        <v>0.82302848141105767</v>
      </c>
      <c r="U543" s="16">
        <v>169</v>
      </c>
      <c r="V543" s="16">
        <v>191</v>
      </c>
      <c r="W543" s="16">
        <v>229</v>
      </c>
      <c r="X543" s="16">
        <v>255</v>
      </c>
      <c r="Y543" s="15">
        <v>0.56000000000000005</v>
      </c>
      <c r="Z543" s="15">
        <v>0.65700000000000003</v>
      </c>
      <c r="AA543" s="15">
        <v>0.76400000000000001</v>
      </c>
      <c r="AB543" s="15">
        <v>0.84450000000000003</v>
      </c>
      <c r="AC543" s="3">
        <f t="shared" si="105"/>
        <v>1.0247391582931424</v>
      </c>
      <c r="AD543" s="3">
        <f t="shared" si="106"/>
        <v>0.79032797062032023</v>
      </c>
      <c r="AE543" s="3">
        <f t="shared" si="107"/>
        <v>0.69714700807622665</v>
      </c>
      <c r="AF543" s="3">
        <f t="shared" si="108"/>
        <v>0.55716310399998836</v>
      </c>
    </row>
    <row r="544" spans="1:32" x14ac:dyDescent="0.2">
      <c r="A544" s="30">
        <v>542</v>
      </c>
      <c r="B544" s="9" t="s">
        <v>1351</v>
      </c>
      <c r="C544" s="12">
        <v>902482</v>
      </c>
      <c r="D544" s="13" t="s">
        <v>543</v>
      </c>
      <c r="E544" s="17">
        <v>145.19364974699999</v>
      </c>
      <c r="F544" s="17">
        <v>44.158434919900003</v>
      </c>
      <c r="G544" s="14">
        <v>428</v>
      </c>
      <c r="H544" s="17">
        <v>6.41</v>
      </c>
      <c r="I544" s="17">
        <v>7.67</v>
      </c>
      <c r="J544" s="17">
        <v>8.41</v>
      </c>
      <c r="K544" s="17">
        <v>9.17</v>
      </c>
      <c r="L544" s="17">
        <v>12.19</v>
      </c>
      <c r="M544" s="17">
        <f t="shared" si="100"/>
        <v>1.2599999999999998</v>
      </c>
      <c r="N544" s="17">
        <f t="shared" si="101"/>
        <v>2</v>
      </c>
      <c r="O544" s="17">
        <f t="shared" si="102"/>
        <v>2.76</v>
      </c>
      <c r="P544" s="17">
        <f t="shared" si="103"/>
        <v>5.7799999999999994</v>
      </c>
      <c r="Q544" s="17">
        <f t="shared" si="104"/>
        <v>0.4859795881725647</v>
      </c>
      <c r="R544" s="17">
        <f t="shared" si="97"/>
        <v>-0.14826076023786391</v>
      </c>
      <c r="S544" s="17">
        <f t="shared" si="98"/>
        <v>-0.83540756026583085</v>
      </c>
      <c r="T544" s="17">
        <f t="shared" si="99"/>
        <v>1.0558287740007037</v>
      </c>
      <c r="U544" s="16">
        <v>0</v>
      </c>
      <c r="V544" s="16">
        <v>0</v>
      </c>
      <c r="W544" s="16">
        <v>0</v>
      </c>
      <c r="X544" s="16">
        <v>1</v>
      </c>
      <c r="Y544" s="15">
        <v>0.42399999999999999</v>
      </c>
      <c r="Z544" s="15">
        <v>0.53900000000000003</v>
      </c>
      <c r="AA544" s="15">
        <v>0.67400000000000004</v>
      </c>
      <c r="AB544" s="15">
        <v>0.77400000000000002</v>
      </c>
      <c r="AC544" s="3">
        <f t="shared" si="105"/>
        <v>-0.23199279445680854</v>
      </c>
      <c r="AD544" s="3">
        <f t="shared" si="106"/>
        <v>-0.26853494750922141</v>
      </c>
      <c r="AE544" s="3">
        <f t="shared" si="107"/>
        <v>-4.384531737785359E-2</v>
      </c>
      <c r="AF544" s="3">
        <f t="shared" si="108"/>
        <v>-2.1962953352489874E-2</v>
      </c>
    </row>
    <row r="545" spans="1:32" x14ac:dyDescent="0.2">
      <c r="A545" s="30">
        <v>543</v>
      </c>
      <c r="B545" s="9" t="s">
        <v>873</v>
      </c>
      <c r="C545" s="12">
        <v>902496</v>
      </c>
      <c r="D545" s="13" t="s">
        <v>544</v>
      </c>
      <c r="E545" s="17">
        <v>-69.178537224300001</v>
      </c>
      <c r="F545" s="17">
        <v>-55.168953798099999</v>
      </c>
      <c r="G545" s="14">
        <v>53211</v>
      </c>
      <c r="H545" s="17">
        <v>5</v>
      </c>
      <c r="I545" s="17">
        <v>6.43</v>
      </c>
      <c r="J545" s="17">
        <v>7.87</v>
      </c>
      <c r="K545" s="17">
        <v>8.25</v>
      </c>
      <c r="L545" s="17">
        <v>9.11</v>
      </c>
      <c r="M545" s="17">
        <f t="shared" si="100"/>
        <v>1.4299999999999997</v>
      </c>
      <c r="N545" s="17">
        <f t="shared" si="101"/>
        <v>2.87</v>
      </c>
      <c r="O545" s="17">
        <f t="shared" si="102"/>
        <v>3.25</v>
      </c>
      <c r="P545" s="17">
        <f t="shared" si="103"/>
        <v>4.1099999999999994</v>
      </c>
      <c r="Q545" s="17">
        <f t="shared" si="104"/>
        <v>0.69310240978715787</v>
      </c>
      <c r="R545" s="17">
        <f t="shared" si="97"/>
        <v>1.0765768473744088</v>
      </c>
      <c r="S545" s="17">
        <f t="shared" si="98"/>
        <v>-0.26639291228311057</v>
      </c>
      <c r="T545" s="17">
        <f t="shared" si="99"/>
        <v>-0.63450378523717177</v>
      </c>
      <c r="U545" s="16">
        <v>115</v>
      </c>
      <c r="V545" s="16">
        <v>516</v>
      </c>
      <c r="W545" s="16">
        <v>1060</v>
      </c>
      <c r="X545" s="16">
        <v>1350</v>
      </c>
      <c r="Y545" s="15">
        <v>0.15</v>
      </c>
      <c r="Z545" s="15">
        <v>0.247</v>
      </c>
      <c r="AA545" s="15">
        <v>0.34599999999999997</v>
      </c>
      <c r="AB545" s="15">
        <v>0.41899999999999998</v>
      </c>
      <c r="AC545" s="3">
        <f t="shared" si="105"/>
        <v>-2.7639380522030317</v>
      </c>
      <c r="AD545" s="3">
        <f t="shared" si="106"/>
        <v>-2.8887719991518166</v>
      </c>
      <c r="AE545" s="3">
        <f t="shared" si="107"/>
        <v>-2.7443506812549474</v>
      </c>
      <c r="AF545" s="3">
        <f t="shared" si="108"/>
        <v>-2.9381296251273801</v>
      </c>
    </row>
    <row r="546" spans="1:32" x14ac:dyDescent="0.2">
      <c r="A546" s="30">
        <v>544</v>
      </c>
      <c r="B546" s="9" t="s">
        <v>1308</v>
      </c>
      <c r="C546" s="12">
        <v>902524</v>
      </c>
      <c r="D546" s="13" t="s">
        <v>545</v>
      </c>
      <c r="E546" s="17">
        <v>81.202462375899998</v>
      </c>
      <c r="F546" s="17">
        <v>6.1657492982699997</v>
      </c>
      <c r="G546" s="14">
        <v>58</v>
      </c>
      <c r="H546" s="17">
        <v>25.87</v>
      </c>
      <c r="I546" s="17">
        <v>26.85</v>
      </c>
      <c r="J546" s="17">
        <v>28.51</v>
      </c>
      <c r="K546" s="17">
        <v>29.28</v>
      </c>
      <c r="L546" s="17">
        <v>30.35</v>
      </c>
      <c r="M546" s="17">
        <f t="shared" si="100"/>
        <v>0.98000000000000043</v>
      </c>
      <c r="N546" s="17">
        <f t="shared" si="101"/>
        <v>2.6400000000000006</v>
      </c>
      <c r="O546" s="17">
        <f t="shared" si="102"/>
        <v>3.41</v>
      </c>
      <c r="P546" s="17">
        <f t="shared" si="103"/>
        <v>4.4800000000000004</v>
      </c>
      <c r="Q546" s="17">
        <f t="shared" si="104"/>
        <v>0.1448361172779413</v>
      </c>
      <c r="R546" s="17">
        <f t="shared" si="97"/>
        <v>0.75276920398265923</v>
      </c>
      <c r="S546" s="17">
        <f t="shared" si="98"/>
        <v>-8.0592210900997732E-2</v>
      </c>
      <c r="T546" s="17">
        <f t="shared" si="99"/>
        <v>-0.2599989667233899</v>
      </c>
      <c r="U546" s="16">
        <v>4</v>
      </c>
      <c r="V546" s="16">
        <v>4</v>
      </c>
      <c r="W546" s="16">
        <v>4</v>
      </c>
      <c r="X546" s="16">
        <v>4</v>
      </c>
      <c r="Y546" s="15">
        <v>0.45100000000000001</v>
      </c>
      <c r="Z546" s="15">
        <v>0.57999999999999996</v>
      </c>
      <c r="AA546" s="15">
        <v>0.71199999999999997</v>
      </c>
      <c r="AB546" s="15">
        <v>0.81799999999999995</v>
      </c>
      <c r="AC546" s="3">
        <f t="shared" si="105"/>
        <v>1.7505460868549479E-2</v>
      </c>
      <c r="AD546" s="3">
        <f t="shared" si="106"/>
        <v>9.9375049467991569E-2</v>
      </c>
      <c r="AE546" s="3">
        <f t="shared" si="107"/>
        <v>0.26901810892497974</v>
      </c>
      <c r="AF546" s="3">
        <f t="shared" si="108"/>
        <v>0.33947742286749588</v>
      </c>
    </row>
    <row r="547" spans="1:32" x14ac:dyDescent="0.2">
      <c r="A547" s="30">
        <v>545</v>
      </c>
      <c r="B547" s="9" t="s">
        <v>1490</v>
      </c>
      <c r="C547" s="12">
        <v>902601</v>
      </c>
      <c r="D547" s="13" t="s">
        <v>546</v>
      </c>
      <c r="E547" s="17">
        <v>-87.827473102400006</v>
      </c>
      <c r="F547" s="17">
        <v>21.517371839599999</v>
      </c>
      <c r="G547" s="14">
        <v>288</v>
      </c>
      <c r="H547" s="17">
        <v>25.25</v>
      </c>
      <c r="I547" s="17">
        <v>26.2</v>
      </c>
      <c r="J547" s="17">
        <v>26.94</v>
      </c>
      <c r="K547" s="17">
        <v>28.43</v>
      </c>
      <c r="L547" s="17">
        <v>29.44</v>
      </c>
      <c r="M547" s="17">
        <f t="shared" si="100"/>
        <v>0.94999999999999929</v>
      </c>
      <c r="N547" s="17">
        <f t="shared" si="101"/>
        <v>1.6900000000000013</v>
      </c>
      <c r="O547" s="17">
        <f t="shared" si="102"/>
        <v>3.1799999999999997</v>
      </c>
      <c r="P547" s="17">
        <f t="shared" si="103"/>
        <v>4.1900000000000013</v>
      </c>
      <c r="Q547" s="17">
        <f t="shared" si="104"/>
        <v>0.10828503111065875</v>
      </c>
      <c r="R547" s="17">
        <f t="shared" si="97"/>
        <v>-0.58469714915717763</v>
      </c>
      <c r="S547" s="17">
        <f t="shared" si="98"/>
        <v>-0.3476807191377852</v>
      </c>
      <c r="T547" s="17">
        <f t="shared" si="99"/>
        <v>-0.55352977042337947</v>
      </c>
      <c r="U547" s="16">
        <v>52</v>
      </c>
      <c r="V547" s="16">
        <v>63</v>
      </c>
      <c r="W547" s="16">
        <v>66</v>
      </c>
      <c r="X547" s="16">
        <v>76</v>
      </c>
      <c r="Y547" s="15">
        <v>0.67400000000000004</v>
      </c>
      <c r="Z547" s="15">
        <v>0.79500000000000004</v>
      </c>
      <c r="AA547" s="15">
        <v>0.91400000000000003</v>
      </c>
      <c r="AB547" s="15">
        <v>1.006</v>
      </c>
      <c r="AC547" s="3">
        <f t="shared" si="105"/>
        <v>2.0781762363335421</v>
      </c>
      <c r="AD547" s="3">
        <f t="shared" si="106"/>
        <v>2.0286591799582592</v>
      </c>
      <c r="AE547" s="3">
        <f t="shared" si="107"/>
        <v>1.9321342171663609</v>
      </c>
      <c r="AF547" s="3">
        <f t="shared" si="108"/>
        <v>1.8838135758074381</v>
      </c>
    </row>
    <row r="548" spans="1:32" x14ac:dyDescent="0.2">
      <c r="A548" s="30">
        <v>546</v>
      </c>
      <c r="B548" s="9" t="s">
        <v>1352</v>
      </c>
      <c r="C548" s="12">
        <v>902678</v>
      </c>
      <c r="D548" s="13" t="s">
        <v>547</v>
      </c>
      <c r="E548" s="17">
        <v>169.489871282</v>
      </c>
      <c r="F548" s="17">
        <v>6.1193852205799999</v>
      </c>
      <c r="G548" s="14">
        <v>131</v>
      </c>
      <c r="H548" s="17">
        <v>26.16</v>
      </c>
      <c r="I548" s="17">
        <v>27.35</v>
      </c>
      <c r="J548" s="17">
        <v>28.11</v>
      </c>
      <c r="K548" s="17">
        <v>29.25</v>
      </c>
      <c r="L548" s="17">
        <v>30.41</v>
      </c>
      <c r="M548" s="17">
        <f t="shared" si="100"/>
        <v>1.1900000000000013</v>
      </c>
      <c r="N548" s="17">
        <f t="shared" si="101"/>
        <v>1.9499999999999993</v>
      </c>
      <c r="O548" s="17">
        <f t="shared" si="102"/>
        <v>3.09</v>
      </c>
      <c r="P548" s="17">
        <f t="shared" si="103"/>
        <v>4.25</v>
      </c>
      <c r="Q548" s="17">
        <f t="shared" si="104"/>
        <v>0.4006937204489105</v>
      </c>
      <c r="R548" s="17">
        <f t="shared" si="97"/>
        <v>-0.21865372619259321</v>
      </c>
      <c r="S548" s="17">
        <f t="shared" si="98"/>
        <v>-0.45219361366522337</v>
      </c>
      <c r="T548" s="17">
        <f t="shared" si="99"/>
        <v>-0.49279925931303786</v>
      </c>
      <c r="U548" s="16">
        <v>0</v>
      </c>
      <c r="V548" s="16">
        <v>0</v>
      </c>
      <c r="W548" s="16">
        <v>1</v>
      </c>
      <c r="X548" s="16">
        <v>1</v>
      </c>
      <c r="Y548" s="15">
        <v>0.53800000000000003</v>
      </c>
      <c r="Z548" s="15">
        <v>0.64200000000000002</v>
      </c>
      <c r="AA548" s="15">
        <v>0.76400000000000001</v>
      </c>
      <c r="AB548" s="15">
        <v>0.86799999999999999</v>
      </c>
      <c r="AC548" s="3">
        <f t="shared" si="105"/>
        <v>0.82144428358359145</v>
      </c>
      <c r="AD548" s="3">
        <f t="shared" si="106"/>
        <v>0.65572675221402243</v>
      </c>
      <c r="AE548" s="3">
        <f t="shared" si="107"/>
        <v>0.69714700807622665</v>
      </c>
      <c r="AF548" s="3">
        <f t="shared" si="108"/>
        <v>0.75020512311748078</v>
      </c>
    </row>
    <row r="549" spans="1:32" x14ac:dyDescent="0.2">
      <c r="A549" s="30">
        <v>547</v>
      </c>
      <c r="B549" s="9" t="s">
        <v>1172</v>
      </c>
      <c r="C549" s="12">
        <v>902679</v>
      </c>
      <c r="D549" s="13" t="s">
        <v>548</v>
      </c>
      <c r="E549" s="17">
        <v>36.002795067800001</v>
      </c>
      <c r="F549" s="17">
        <v>-17.992356858600001</v>
      </c>
      <c r="G549" s="14">
        <v>1311</v>
      </c>
      <c r="H549" s="17">
        <v>25.15</v>
      </c>
      <c r="I549" s="17">
        <v>26.33</v>
      </c>
      <c r="J549" s="17">
        <v>26.78</v>
      </c>
      <c r="K549" s="17">
        <v>28.54</v>
      </c>
      <c r="L549" s="17">
        <v>30.09</v>
      </c>
      <c r="M549" s="17">
        <f t="shared" si="100"/>
        <v>1.1799999999999997</v>
      </c>
      <c r="N549" s="17">
        <f t="shared" si="101"/>
        <v>1.6300000000000026</v>
      </c>
      <c r="O549" s="17">
        <f t="shared" si="102"/>
        <v>3.3900000000000006</v>
      </c>
      <c r="P549" s="17">
        <f t="shared" si="103"/>
        <v>4.9400000000000013</v>
      </c>
      <c r="Q549" s="17">
        <f t="shared" si="104"/>
        <v>0.38851002505981486</v>
      </c>
      <c r="R549" s="17">
        <f t="shared" si="97"/>
        <v>-0.6691687083028498</v>
      </c>
      <c r="S549" s="17">
        <f t="shared" si="98"/>
        <v>-0.10381729857376132</v>
      </c>
      <c r="T549" s="17">
        <f t="shared" si="99"/>
        <v>0.20560161845590605</v>
      </c>
      <c r="U549" s="16">
        <v>13</v>
      </c>
      <c r="V549" s="16">
        <v>22</v>
      </c>
      <c r="W549" s="16">
        <v>26</v>
      </c>
      <c r="X549" s="16">
        <v>39</v>
      </c>
      <c r="Y549" s="15">
        <v>0.45500000000000002</v>
      </c>
      <c r="Z549" s="15">
        <v>0.57999999999999996</v>
      </c>
      <c r="AA549" s="15">
        <v>0.70799999999999996</v>
      </c>
      <c r="AB549" s="15">
        <v>0.79800000000000004</v>
      </c>
      <c r="AC549" s="3">
        <f t="shared" si="105"/>
        <v>5.4468165361195114E-2</v>
      </c>
      <c r="AD549" s="3">
        <f t="shared" si="106"/>
        <v>9.9375049467991569E-2</v>
      </c>
      <c r="AE549" s="3">
        <f t="shared" si="107"/>
        <v>0.23608511668257612</v>
      </c>
      <c r="AF549" s="3">
        <f t="shared" si="108"/>
        <v>0.17518634276750286</v>
      </c>
    </row>
    <row r="550" spans="1:32" x14ac:dyDescent="0.2">
      <c r="A550" s="30">
        <v>548</v>
      </c>
      <c r="B550" s="9" t="s">
        <v>1173</v>
      </c>
      <c r="C550" s="12">
        <v>902681</v>
      </c>
      <c r="D550" s="13" t="s">
        <v>549</v>
      </c>
      <c r="E550" s="17">
        <v>55.405895189100001</v>
      </c>
      <c r="F550" s="17">
        <v>-4.6573658898400003</v>
      </c>
      <c r="G550" s="14">
        <v>2</v>
      </c>
      <c r="H550" s="17">
        <v>26.12</v>
      </c>
      <c r="I550" s="17">
        <v>27.04</v>
      </c>
      <c r="J550" s="17">
        <v>28.14</v>
      </c>
      <c r="K550" s="17">
        <v>29.29</v>
      </c>
      <c r="L550" s="17">
        <v>30.52</v>
      </c>
      <c r="M550" s="17">
        <f t="shared" si="100"/>
        <v>0.91999999999999815</v>
      </c>
      <c r="N550" s="17">
        <f t="shared" si="101"/>
        <v>2.0199999999999996</v>
      </c>
      <c r="O550" s="17">
        <f t="shared" si="102"/>
        <v>3.1699999999999982</v>
      </c>
      <c r="P550" s="17">
        <f t="shared" si="103"/>
        <v>4.3999999999999986</v>
      </c>
      <c r="Q550" s="17">
        <f t="shared" si="104"/>
        <v>7.1733944943376204E-2</v>
      </c>
      <c r="R550" s="17">
        <f t="shared" si="97"/>
        <v>-0.12010357385597319</v>
      </c>
      <c r="S550" s="17">
        <f t="shared" si="98"/>
        <v>-0.35929326297416903</v>
      </c>
      <c r="T550" s="17">
        <f t="shared" si="99"/>
        <v>-0.34097298153718225</v>
      </c>
      <c r="U550" s="16">
        <v>0</v>
      </c>
      <c r="V550" s="16">
        <v>0</v>
      </c>
      <c r="W550" s="16">
        <v>0</v>
      </c>
      <c r="X550" s="16">
        <v>0</v>
      </c>
      <c r="Y550" s="15">
        <v>0.48599999999999999</v>
      </c>
      <c r="Z550" s="15">
        <v>0.622</v>
      </c>
      <c r="AA550" s="15">
        <v>0.77200000000000002</v>
      </c>
      <c r="AB550" s="15">
        <v>0.85199999999999998</v>
      </c>
      <c r="AC550" s="3">
        <f t="shared" si="105"/>
        <v>0.34092912517919827</v>
      </c>
      <c r="AD550" s="3">
        <f t="shared" si="106"/>
        <v>0.47625846100562541</v>
      </c>
      <c r="AE550" s="3">
        <f t="shared" si="107"/>
        <v>0.76301299256103383</v>
      </c>
      <c r="AF550" s="3">
        <f t="shared" si="108"/>
        <v>0.61877225903748556</v>
      </c>
    </row>
    <row r="551" spans="1:32" x14ac:dyDescent="0.2">
      <c r="A551" s="30">
        <v>549</v>
      </c>
      <c r="B551" s="9" t="s">
        <v>1353</v>
      </c>
      <c r="C551" s="12">
        <v>902689</v>
      </c>
      <c r="D551" s="13" t="s">
        <v>550</v>
      </c>
      <c r="E551" s="17">
        <v>121.761449141</v>
      </c>
      <c r="F551" s="17">
        <v>40.9127145227</v>
      </c>
      <c r="G551" s="14">
        <v>1220</v>
      </c>
      <c r="H551" s="17">
        <v>6.96</v>
      </c>
      <c r="I551" s="17">
        <v>9.43</v>
      </c>
      <c r="J551" s="17">
        <v>11.59</v>
      </c>
      <c r="K551" s="17">
        <v>13.14</v>
      </c>
      <c r="L551" s="17">
        <v>15.28</v>
      </c>
      <c r="M551" s="17">
        <f t="shared" si="100"/>
        <v>2.4699999999999998</v>
      </c>
      <c r="N551" s="17">
        <f t="shared" si="101"/>
        <v>4.63</v>
      </c>
      <c r="O551" s="17">
        <f t="shared" si="102"/>
        <v>6.1800000000000006</v>
      </c>
      <c r="P551" s="17">
        <f t="shared" si="103"/>
        <v>8.32</v>
      </c>
      <c r="Q551" s="17">
        <f t="shared" si="104"/>
        <v>1.9602067302529049</v>
      </c>
      <c r="R551" s="17">
        <f t="shared" si="97"/>
        <v>3.554409248980845</v>
      </c>
      <c r="S551" s="17">
        <f t="shared" si="98"/>
        <v>3.1360824317768281</v>
      </c>
      <c r="T551" s="17">
        <f t="shared" si="99"/>
        <v>3.6267537443385516</v>
      </c>
      <c r="U551" s="16">
        <v>12</v>
      </c>
      <c r="V551" s="16">
        <v>24</v>
      </c>
      <c r="W551" s="16">
        <v>32</v>
      </c>
      <c r="X551" s="16">
        <v>39</v>
      </c>
      <c r="Y551" s="15">
        <v>0.39800000000000002</v>
      </c>
      <c r="Z551" s="15">
        <v>0.52300000000000002</v>
      </c>
      <c r="AA551" s="15">
        <v>0.67200000000000004</v>
      </c>
      <c r="AB551" s="15">
        <v>0.78600000000000003</v>
      </c>
      <c r="AC551" s="3">
        <f t="shared" si="105"/>
        <v>-0.47225037365900463</v>
      </c>
      <c r="AD551" s="3">
        <f t="shared" si="106"/>
        <v>-0.41210958047593904</v>
      </c>
      <c r="AE551" s="3">
        <f t="shared" si="107"/>
        <v>-6.0311813499055393E-2</v>
      </c>
      <c r="AF551" s="3">
        <f t="shared" si="108"/>
        <v>7.6611694707506492E-2</v>
      </c>
    </row>
    <row r="552" spans="1:32" x14ac:dyDescent="0.2">
      <c r="A552" s="30">
        <v>550</v>
      </c>
      <c r="B552" s="9" t="s">
        <v>874</v>
      </c>
      <c r="C552" s="12">
        <v>902698</v>
      </c>
      <c r="D552" s="13" t="s">
        <v>551</v>
      </c>
      <c r="E552" s="17">
        <v>-61.8466615273</v>
      </c>
      <c r="F552" s="17">
        <v>17.661565869499999</v>
      </c>
      <c r="G552" s="14">
        <v>33</v>
      </c>
      <c r="H552" s="17">
        <v>24.92</v>
      </c>
      <c r="I552" s="17">
        <v>25.87</v>
      </c>
      <c r="J552" s="17">
        <v>26.6</v>
      </c>
      <c r="K552" s="17">
        <v>27.55</v>
      </c>
      <c r="L552" s="17">
        <v>29.1</v>
      </c>
      <c r="M552" s="17">
        <f t="shared" si="100"/>
        <v>0.94999999999999929</v>
      </c>
      <c r="N552" s="17">
        <f t="shared" si="101"/>
        <v>1.6799999999999997</v>
      </c>
      <c r="O552" s="17">
        <f t="shared" si="102"/>
        <v>2.629999999999999</v>
      </c>
      <c r="P552" s="17">
        <f t="shared" si="103"/>
        <v>4.18</v>
      </c>
      <c r="Q552" s="17">
        <f t="shared" si="104"/>
        <v>0.10828503111065875</v>
      </c>
      <c r="R552" s="17">
        <f t="shared" si="97"/>
        <v>-0.59877574234812547</v>
      </c>
      <c r="S552" s="17">
        <f t="shared" si="98"/>
        <v>-0.98637063013879822</v>
      </c>
      <c r="T552" s="17">
        <f t="shared" si="99"/>
        <v>-0.56365152227510484</v>
      </c>
      <c r="U552" s="16">
        <v>1</v>
      </c>
      <c r="V552" s="16">
        <v>1</v>
      </c>
      <c r="W552" s="16">
        <v>2</v>
      </c>
      <c r="X552" s="16">
        <v>2</v>
      </c>
      <c r="Y552" s="15">
        <v>0.41799999999999998</v>
      </c>
      <c r="Z552" s="15">
        <v>0.54100000000000004</v>
      </c>
      <c r="AA552" s="15">
        <v>0.64100000000000001</v>
      </c>
      <c r="AB552" s="15">
        <v>0.73899999999999999</v>
      </c>
      <c r="AC552" s="3">
        <f t="shared" si="105"/>
        <v>-0.287436851195777</v>
      </c>
      <c r="AD552" s="3">
        <f t="shared" si="106"/>
        <v>-0.25058811838838169</v>
      </c>
      <c r="AE552" s="3">
        <f t="shared" si="107"/>
        <v>-0.3155425033776833</v>
      </c>
      <c r="AF552" s="3">
        <f t="shared" si="108"/>
        <v>-0.30947234352747927</v>
      </c>
    </row>
    <row r="553" spans="1:32" x14ac:dyDescent="0.2">
      <c r="A553" s="30">
        <v>551</v>
      </c>
      <c r="B553" s="9" t="s">
        <v>1174</v>
      </c>
      <c r="C553" s="12">
        <v>902700</v>
      </c>
      <c r="D553" s="13" t="s">
        <v>552</v>
      </c>
      <c r="E553" s="17">
        <v>-9.7738077654400008</v>
      </c>
      <c r="F553" s="17">
        <v>31.4972123286</v>
      </c>
      <c r="G553" s="14">
        <v>33</v>
      </c>
      <c r="H553" s="17">
        <v>18.260000000000002</v>
      </c>
      <c r="I553" s="17">
        <v>18.899999999999999</v>
      </c>
      <c r="J553" s="17">
        <v>19.34</v>
      </c>
      <c r="K553" s="17">
        <v>19.77</v>
      </c>
      <c r="L553" s="17">
        <v>21.22</v>
      </c>
      <c r="M553" s="17">
        <f t="shared" si="100"/>
        <v>0.63999999999999702</v>
      </c>
      <c r="N553" s="17">
        <f t="shared" si="101"/>
        <v>1.0799999999999983</v>
      </c>
      <c r="O553" s="17">
        <f t="shared" si="102"/>
        <v>1.509999999999998</v>
      </c>
      <c r="P553" s="17">
        <f t="shared" si="103"/>
        <v>2.9599999999999973</v>
      </c>
      <c r="Q553" s="17">
        <f t="shared" si="104"/>
        <v>-0.2694095259512494</v>
      </c>
      <c r="R553" s="17">
        <f t="shared" si="97"/>
        <v>-1.4434913338048672</v>
      </c>
      <c r="S553" s="17">
        <f t="shared" si="98"/>
        <v>-2.286975539813588</v>
      </c>
      <c r="T553" s="17">
        <f t="shared" si="99"/>
        <v>-1.7985052481854116</v>
      </c>
      <c r="U553" s="16">
        <v>0</v>
      </c>
      <c r="V553" s="16">
        <v>0</v>
      </c>
      <c r="W553" s="16">
        <v>3</v>
      </c>
      <c r="X553" s="16">
        <v>8</v>
      </c>
      <c r="Y553" s="15">
        <v>0.46800000000000003</v>
      </c>
      <c r="Z553" s="15">
        <v>0.58699999999999997</v>
      </c>
      <c r="AA553" s="15">
        <v>0.70699999999999996</v>
      </c>
      <c r="AB553" s="15">
        <v>0.80100000000000005</v>
      </c>
      <c r="AC553" s="3">
        <f t="shared" si="105"/>
        <v>0.17459695496229341</v>
      </c>
      <c r="AD553" s="3">
        <f t="shared" si="106"/>
        <v>0.16218895139093054</v>
      </c>
      <c r="AE553" s="3">
        <f t="shared" si="107"/>
        <v>0.22785186862197523</v>
      </c>
      <c r="AF553" s="3">
        <f t="shared" si="108"/>
        <v>0.19983000478250196</v>
      </c>
    </row>
    <row r="554" spans="1:32" x14ac:dyDescent="0.2">
      <c r="A554" s="30">
        <v>552</v>
      </c>
      <c r="B554" s="9" t="s">
        <v>1175</v>
      </c>
      <c r="C554" s="12">
        <v>902705</v>
      </c>
      <c r="D554" s="13" t="s">
        <v>553</v>
      </c>
      <c r="E554" s="17">
        <v>-8.8583510612000005</v>
      </c>
      <c r="F554" s="17">
        <v>32.885578678900004</v>
      </c>
      <c r="G554" s="14">
        <v>67</v>
      </c>
      <c r="H554" s="17">
        <v>18.34</v>
      </c>
      <c r="I554" s="17">
        <v>18.989999999999998</v>
      </c>
      <c r="J554" s="17">
        <v>19.510000000000002</v>
      </c>
      <c r="K554" s="17">
        <v>20.07</v>
      </c>
      <c r="L554" s="17">
        <v>21.45</v>
      </c>
      <c r="M554" s="17">
        <f t="shared" si="100"/>
        <v>0.64999999999999858</v>
      </c>
      <c r="N554" s="17">
        <f t="shared" si="101"/>
        <v>1.1700000000000017</v>
      </c>
      <c r="O554" s="17">
        <f t="shared" si="102"/>
        <v>1.7300000000000004</v>
      </c>
      <c r="P554" s="17">
        <f t="shared" si="103"/>
        <v>3.1099999999999994</v>
      </c>
      <c r="Q554" s="17">
        <f t="shared" si="104"/>
        <v>-0.25722583056215376</v>
      </c>
      <c r="R554" s="17">
        <f t="shared" si="97"/>
        <v>-1.3167839950863514</v>
      </c>
      <c r="S554" s="17">
        <f t="shared" si="98"/>
        <v>-2.0314995754131804</v>
      </c>
      <c r="T554" s="17">
        <f t="shared" si="99"/>
        <v>-1.6466789704095524</v>
      </c>
      <c r="U554" s="16">
        <v>1</v>
      </c>
      <c r="V554" s="16">
        <v>2</v>
      </c>
      <c r="W554" s="16">
        <v>4</v>
      </c>
      <c r="X554" s="16">
        <v>5</v>
      </c>
      <c r="Y554" s="15">
        <v>0.46800000000000003</v>
      </c>
      <c r="Z554" s="15">
        <v>0.58799999999999997</v>
      </c>
      <c r="AA554" s="15">
        <v>0.70399999999999996</v>
      </c>
      <c r="AB554" s="15">
        <v>0.79800000000000004</v>
      </c>
      <c r="AC554" s="3">
        <f t="shared" si="105"/>
        <v>0.17459695496229341</v>
      </c>
      <c r="AD554" s="3">
        <f t="shared" si="106"/>
        <v>0.1711623659513504</v>
      </c>
      <c r="AE554" s="3">
        <f t="shared" si="107"/>
        <v>0.20315212444017253</v>
      </c>
      <c r="AF554" s="3">
        <f t="shared" si="108"/>
        <v>0.17518634276750286</v>
      </c>
    </row>
    <row r="555" spans="1:32" x14ac:dyDescent="0.2">
      <c r="A555" s="30">
        <v>553</v>
      </c>
      <c r="B555" s="9" t="s">
        <v>1176</v>
      </c>
      <c r="C555" s="12">
        <v>902708</v>
      </c>
      <c r="D555" s="13" t="s">
        <v>554</v>
      </c>
      <c r="E555" s="17">
        <v>-11.038895134900001</v>
      </c>
      <c r="F555" s="17">
        <v>28.5717929228</v>
      </c>
      <c r="G555" s="14">
        <v>11</v>
      </c>
      <c r="H555" s="17">
        <v>19.22</v>
      </c>
      <c r="I555" s="17">
        <v>19.510000000000002</v>
      </c>
      <c r="J555" s="17">
        <v>20.23</v>
      </c>
      <c r="K555" s="17">
        <v>20.46</v>
      </c>
      <c r="L555" s="17">
        <v>22.1</v>
      </c>
      <c r="M555" s="17">
        <f t="shared" si="100"/>
        <v>0.2900000000000027</v>
      </c>
      <c r="N555" s="17">
        <f t="shared" si="101"/>
        <v>1.0100000000000016</v>
      </c>
      <c r="O555" s="17">
        <f t="shared" si="102"/>
        <v>1.240000000000002</v>
      </c>
      <c r="P555" s="17">
        <f t="shared" si="103"/>
        <v>2.8800000000000026</v>
      </c>
      <c r="Q555" s="17">
        <f t="shared" si="104"/>
        <v>-0.69583886456952271</v>
      </c>
      <c r="R555" s="17">
        <f t="shared" si="97"/>
        <v>-1.5420414861414822</v>
      </c>
      <c r="S555" s="17">
        <f t="shared" si="98"/>
        <v>-2.6005142233958987</v>
      </c>
      <c r="T555" s="17">
        <f t="shared" si="99"/>
        <v>-1.8794792629991968</v>
      </c>
      <c r="U555" s="16">
        <v>1</v>
      </c>
      <c r="V555" s="16">
        <v>1</v>
      </c>
      <c r="W555" s="16">
        <v>1</v>
      </c>
      <c r="X555" s="16">
        <v>1</v>
      </c>
      <c r="Y555" s="15">
        <v>0.46400000000000002</v>
      </c>
      <c r="Z555" s="15">
        <v>0.58599999999999997</v>
      </c>
      <c r="AA555" s="15">
        <v>0.70399999999999996</v>
      </c>
      <c r="AB555" s="15">
        <v>0.79900000000000004</v>
      </c>
      <c r="AC555" s="3">
        <f t="shared" si="105"/>
        <v>0.13763425046964778</v>
      </c>
      <c r="AD555" s="3">
        <f t="shared" si="106"/>
        <v>0.1532155368305107</v>
      </c>
      <c r="AE555" s="3">
        <f t="shared" si="107"/>
        <v>0.20315212444017253</v>
      </c>
      <c r="AF555" s="3">
        <f t="shared" si="108"/>
        <v>0.18340089677250257</v>
      </c>
    </row>
    <row r="556" spans="1:32" x14ac:dyDescent="0.2">
      <c r="A556" s="30">
        <v>554</v>
      </c>
      <c r="B556" s="9" t="s">
        <v>1177</v>
      </c>
      <c r="C556" s="12">
        <v>902710</v>
      </c>
      <c r="D556" s="13" t="s">
        <v>555</v>
      </c>
      <c r="E556" s="17">
        <v>-11.677308959199999</v>
      </c>
      <c r="F556" s="17">
        <v>28.2409636334</v>
      </c>
      <c r="G556" s="14">
        <v>141</v>
      </c>
      <c r="H556" s="17">
        <v>19.2</v>
      </c>
      <c r="I556" s="17">
        <v>19.510000000000002</v>
      </c>
      <c r="J556" s="17">
        <v>20.13</v>
      </c>
      <c r="K556" s="17">
        <v>20.350000000000001</v>
      </c>
      <c r="L556" s="17">
        <v>22.01</v>
      </c>
      <c r="M556" s="17">
        <f t="shared" si="100"/>
        <v>0.31000000000000227</v>
      </c>
      <c r="N556" s="17">
        <f t="shared" si="101"/>
        <v>0.92999999999999972</v>
      </c>
      <c r="O556" s="17">
        <f t="shared" si="102"/>
        <v>1.1500000000000021</v>
      </c>
      <c r="P556" s="17">
        <f t="shared" si="103"/>
        <v>2.8100000000000023</v>
      </c>
      <c r="Q556" s="17">
        <f t="shared" si="104"/>
        <v>-0.67147147379133576</v>
      </c>
      <c r="R556" s="17">
        <f t="shared" si="97"/>
        <v>-1.65467023166905</v>
      </c>
      <c r="S556" s="17">
        <f t="shared" si="98"/>
        <v>-2.7050271179233367</v>
      </c>
      <c r="T556" s="17">
        <f t="shared" si="99"/>
        <v>-1.9503315259612637</v>
      </c>
      <c r="U556" s="16">
        <v>1</v>
      </c>
      <c r="V556" s="16">
        <v>2</v>
      </c>
      <c r="W556" s="16">
        <v>2</v>
      </c>
      <c r="X556" s="16">
        <v>3</v>
      </c>
      <c r="Y556" s="15">
        <v>0.46500000000000002</v>
      </c>
      <c r="Z556" s="15">
        <v>0.58799999999999997</v>
      </c>
      <c r="AA556" s="15">
        <v>0.70799999999999996</v>
      </c>
      <c r="AB556" s="15">
        <v>0.80400000000000005</v>
      </c>
      <c r="AC556" s="3">
        <f t="shared" si="105"/>
        <v>0.14687492659280921</v>
      </c>
      <c r="AD556" s="3">
        <f t="shared" si="106"/>
        <v>0.1711623659513504</v>
      </c>
      <c r="AE556" s="3">
        <f t="shared" si="107"/>
        <v>0.23608511668257612</v>
      </c>
      <c r="AF556" s="3">
        <f t="shared" si="108"/>
        <v>0.22447366679750105</v>
      </c>
    </row>
    <row r="557" spans="1:32" x14ac:dyDescent="0.2">
      <c r="A557" s="30">
        <v>555</v>
      </c>
      <c r="B557" s="9" t="s">
        <v>1178</v>
      </c>
      <c r="C557" s="12">
        <v>902712</v>
      </c>
      <c r="D557" s="13" t="s">
        <v>556</v>
      </c>
      <c r="E557" s="17">
        <v>-6.23108436444</v>
      </c>
      <c r="F557" s="17">
        <v>34.985791627499999</v>
      </c>
      <c r="G557" s="14">
        <v>2</v>
      </c>
      <c r="H557" s="17">
        <v>18.43</v>
      </c>
      <c r="I557" s="17">
        <v>19.010000000000002</v>
      </c>
      <c r="J557" s="17">
        <v>19.98</v>
      </c>
      <c r="K557" s="17">
        <v>20.72</v>
      </c>
      <c r="L557" s="17">
        <v>22.07</v>
      </c>
      <c r="M557" s="17">
        <f t="shared" si="100"/>
        <v>0.58000000000000185</v>
      </c>
      <c r="N557" s="17">
        <f t="shared" si="101"/>
        <v>1.5500000000000007</v>
      </c>
      <c r="O557" s="17">
        <f t="shared" si="102"/>
        <v>2.2899999999999991</v>
      </c>
      <c r="P557" s="17">
        <f t="shared" si="103"/>
        <v>3.6400000000000006</v>
      </c>
      <c r="Q557" s="17">
        <f t="shared" si="104"/>
        <v>-0.3425116982858058</v>
      </c>
      <c r="R557" s="17">
        <f t="shared" si="97"/>
        <v>-0.78179745383041765</v>
      </c>
      <c r="S557" s="17">
        <f t="shared" si="98"/>
        <v>-1.3811971205757876</v>
      </c>
      <c r="T557" s="17">
        <f t="shared" si="99"/>
        <v>-1.1102261222681895</v>
      </c>
      <c r="U557" s="16">
        <v>0</v>
      </c>
      <c r="V557" s="16">
        <v>0</v>
      </c>
      <c r="W557" s="16">
        <v>0</v>
      </c>
      <c r="X557" s="16">
        <v>0</v>
      </c>
      <c r="Y557" s="15">
        <v>0.45200000000000001</v>
      </c>
      <c r="Z557" s="15">
        <v>0.56999999999999995</v>
      </c>
      <c r="AA557" s="15">
        <v>0.68400000000000005</v>
      </c>
      <c r="AB557" s="15">
        <v>0.77800000000000002</v>
      </c>
      <c r="AC557" s="3">
        <f t="shared" si="105"/>
        <v>2.6746136991710887E-2</v>
      </c>
      <c r="AD557" s="3">
        <f t="shared" si="106"/>
        <v>9.6409038637930381E-3</v>
      </c>
      <c r="AE557" s="3">
        <f t="shared" si="107"/>
        <v>3.8487163228155416E-2</v>
      </c>
      <c r="AF557" s="3">
        <f t="shared" si="108"/>
        <v>1.0895262667508917E-2</v>
      </c>
    </row>
    <row r="558" spans="1:32" x14ac:dyDescent="0.2">
      <c r="A558" s="30">
        <v>556</v>
      </c>
      <c r="B558" s="9" t="s">
        <v>1179</v>
      </c>
      <c r="C558" s="12">
        <v>902718</v>
      </c>
      <c r="D558" s="13" t="s">
        <v>557</v>
      </c>
      <c r="E558" s="17">
        <v>-9.6379168815600007</v>
      </c>
      <c r="F558" s="17">
        <v>30.193304118099999</v>
      </c>
      <c r="G558" s="14">
        <v>50</v>
      </c>
      <c r="H558" s="17">
        <v>19.32</v>
      </c>
      <c r="I558" s="17">
        <v>19.420000000000002</v>
      </c>
      <c r="J558" s="17">
        <v>20.41</v>
      </c>
      <c r="K558" s="17">
        <v>20.51</v>
      </c>
      <c r="L558" s="17">
        <v>22.03</v>
      </c>
      <c r="M558" s="17">
        <f t="shared" si="100"/>
        <v>0.10000000000000142</v>
      </c>
      <c r="N558" s="17">
        <f t="shared" si="101"/>
        <v>1.0899999999999999</v>
      </c>
      <c r="O558" s="17">
        <f t="shared" si="102"/>
        <v>1.1900000000000013</v>
      </c>
      <c r="P558" s="17">
        <f t="shared" si="103"/>
        <v>2.7100000000000009</v>
      </c>
      <c r="Q558" s="17">
        <f t="shared" si="104"/>
        <v>-0.92732907696230493</v>
      </c>
      <c r="R558" s="17">
        <f t="shared" si="97"/>
        <v>-1.4294127406139192</v>
      </c>
      <c r="S558" s="17">
        <f t="shared" si="98"/>
        <v>-2.6585769425778096</v>
      </c>
      <c r="T558" s="17">
        <f t="shared" si="99"/>
        <v>-2.0515490444785032</v>
      </c>
      <c r="U558" s="16">
        <v>0</v>
      </c>
      <c r="V558" s="16">
        <v>0</v>
      </c>
      <c r="W558" s="16">
        <v>0</v>
      </c>
      <c r="X558" s="16">
        <v>3</v>
      </c>
      <c r="Y558" s="15">
        <v>0.46</v>
      </c>
      <c r="Z558" s="15">
        <v>0.57999999999999996</v>
      </c>
      <c r="AA558" s="15">
        <v>0.69799999999999995</v>
      </c>
      <c r="AB558" s="15">
        <v>0.79200000000000004</v>
      </c>
      <c r="AC558" s="3">
        <f t="shared" si="105"/>
        <v>0.10067154597700216</v>
      </c>
      <c r="AD558" s="3">
        <f t="shared" si="106"/>
        <v>9.9375049467991569E-2</v>
      </c>
      <c r="AE558" s="3">
        <f t="shared" si="107"/>
        <v>0.15375263607656711</v>
      </c>
      <c r="AF558" s="3">
        <f t="shared" si="108"/>
        <v>0.12589901873750467</v>
      </c>
    </row>
    <row r="559" spans="1:32" x14ac:dyDescent="0.2">
      <c r="A559" s="30">
        <v>557</v>
      </c>
      <c r="B559" s="9" t="s">
        <v>1491</v>
      </c>
      <c r="C559" s="12">
        <v>902743</v>
      </c>
      <c r="D559" s="13" t="s">
        <v>558</v>
      </c>
      <c r="E559" s="17">
        <v>-88.535454928600004</v>
      </c>
      <c r="F559" s="17">
        <v>13.2157442098</v>
      </c>
      <c r="G559" s="14">
        <v>470</v>
      </c>
      <c r="H559" s="17">
        <v>26.64</v>
      </c>
      <c r="I559" s="17">
        <v>27.64</v>
      </c>
      <c r="J559" s="17">
        <v>28.91</v>
      </c>
      <c r="K559" s="17">
        <v>30.38</v>
      </c>
      <c r="L559" s="17">
        <v>31.09</v>
      </c>
      <c r="M559" s="17">
        <f t="shared" si="100"/>
        <v>1</v>
      </c>
      <c r="N559" s="17">
        <f t="shared" si="101"/>
        <v>2.2699999999999996</v>
      </c>
      <c r="O559" s="17">
        <f t="shared" si="102"/>
        <v>3.7399999999999984</v>
      </c>
      <c r="P559" s="17">
        <f t="shared" si="103"/>
        <v>4.4499999999999993</v>
      </c>
      <c r="Q559" s="17">
        <f t="shared" si="104"/>
        <v>0.16920350805612822</v>
      </c>
      <c r="R559" s="17">
        <f t="shared" si="97"/>
        <v>0.23186125591766835</v>
      </c>
      <c r="S559" s="17">
        <f t="shared" si="98"/>
        <v>0.30262173569960765</v>
      </c>
      <c r="T559" s="17">
        <f t="shared" si="99"/>
        <v>-0.29036422227856246</v>
      </c>
      <c r="U559" s="16">
        <v>9</v>
      </c>
      <c r="V559" s="16">
        <v>15</v>
      </c>
      <c r="W559" s="16">
        <v>18</v>
      </c>
      <c r="X559" s="16">
        <v>22</v>
      </c>
      <c r="Y559" s="15">
        <v>0.495</v>
      </c>
      <c r="Z559" s="15">
        <v>0.60099999999999998</v>
      </c>
      <c r="AA559" s="15">
        <v>0.73399999999999999</v>
      </c>
      <c r="AB559" s="15">
        <v>0.80800000000000005</v>
      </c>
      <c r="AC559" s="3">
        <f t="shared" si="105"/>
        <v>0.42409521028765096</v>
      </c>
      <c r="AD559" s="3">
        <f t="shared" si="106"/>
        <v>0.2878167552368085</v>
      </c>
      <c r="AE559" s="3">
        <f t="shared" si="107"/>
        <v>0.45014956625819957</v>
      </c>
      <c r="AF559" s="3">
        <f t="shared" si="108"/>
        <v>0.25733188281749986</v>
      </c>
    </row>
    <row r="560" spans="1:32" x14ac:dyDescent="0.2">
      <c r="A560" s="30">
        <v>558</v>
      </c>
      <c r="B560" s="9" t="s">
        <v>875</v>
      </c>
      <c r="C560" s="12">
        <v>902744</v>
      </c>
      <c r="D560" s="13" t="s">
        <v>559</v>
      </c>
      <c r="E560" s="17">
        <v>-88.9963150751</v>
      </c>
      <c r="F560" s="17">
        <v>15.9472059174</v>
      </c>
      <c r="G560" s="14">
        <v>16</v>
      </c>
      <c r="H560" s="17">
        <v>24.3</v>
      </c>
      <c r="I560" s="17">
        <v>24.85</v>
      </c>
      <c r="J560" s="17">
        <v>26.15</v>
      </c>
      <c r="K560" s="17">
        <v>27.46</v>
      </c>
      <c r="L560" s="17">
        <v>28.56</v>
      </c>
      <c r="M560" s="17">
        <f t="shared" si="100"/>
        <v>0.55000000000000071</v>
      </c>
      <c r="N560" s="17">
        <f t="shared" si="101"/>
        <v>1.8499999999999979</v>
      </c>
      <c r="O560" s="17">
        <f t="shared" si="102"/>
        <v>3.16</v>
      </c>
      <c r="P560" s="17">
        <f t="shared" si="103"/>
        <v>4.259999999999998</v>
      </c>
      <c r="Q560" s="17">
        <f t="shared" si="104"/>
        <v>-0.37906278445308839</v>
      </c>
      <c r="R560" s="17">
        <f t="shared" si="97"/>
        <v>-0.35943965810205181</v>
      </c>
      <c r="S560" s="17">
        <f t="shared" si="98"/>
        <v>-0.37090580681054874</v>
      </c>
      <c r="T560" s="17">
        <f t="shared" si="99"/>
        <v>-0.4826775074613161</v>
      </c>
      <c r="U560" s="16">
        <v>0</v>
      </c>
      <c r="V560" s="16">
        <v>1</v>
      </c>
      <c r="W560" s="16">
        <v>1</v>
      </c>
      <c r="X560" s="16">
        <v>1</v>
      </c>
      <c r="Y560" s="15">
        <v>0.78949999999999998</v>
      </c>
      <c r="Z560" s="15">
        <v>0.91300000000000003</v>
      </c>
      <c r="AA560" s="15">
        <v>1.036</v>
      </c>
      <c r="AB560" s="15">
        <v>1.123</v>
      </c>
      <c r="AC560" s="3">
        <f t="shared" si="105"/>
        <v>3.145474328558683</v>
      </c>
      <c r="AD560" s="3">
        <f t="shared" si="106"/>
        <v>3.0875220980878009</v>
      </c>
      <c r="AE560" s="3">
        <f t="shared" si="107"/>
        <v>2.9365904805596701</v>
      </c>
      <c r="AF560" s="3">
        <f t="shared" si="108"/>
        <v>2.8449163943924018</v>
      </c>
    </row>
    <row r="561" spans="1:32" x14ac:dyDescent="0.2">
      <c r="A561" s="30">
        <v>559</v>
      </c>
      <c r="B561" s="9" t="s">
        <v>1180</v>
      </c>
      <c r="C561" s="12">
        <v>902745</v>
      </c>
      <c r="D561" s="13" t="s">
        <v>560</v>
      </c>
      <c r="E561" s="17">
        <v>-2.2540510836699998</v>
      </c>
      <c r="F561" s="17">
        <v>49.724017369499997</v>
      </c>
      <c r="G561" s="14">
        <v>37</v>
      </c>
      <c r="H561" s="17">
        <v>12.84</v>
      </c>
      <c r="I561" s="17">
        <v>12.25</v>
      </c>
      <c r="J561" s="17">
        <v>13.71</v>
      </c>
      <c r="K561" s="17">
        <v>15.22</v>
      </c>
      <c r="L561" s="17">
        <v>16.579999999999998</v>
      </c>
      <c r="M561" s="17">
        <f t="shared" si="100"/>
        <v>-0.58999999999999986</v>
      </c>
      <c r="N561" s="17">
        <f t="shared" si="101"/>
        <v>0.87000000000000099</v>
      </c>
      <c r="O561" s="17">
        <f t="shared" si="102"/>
        <v>2.3800000000000008</v>
      </c>
      <c r="P561" s="17">
        <f t="shared" si="103"/>
        <v>3.7399999999999984</v>
      </c>
      <c r="Q561" s="17">
        <f t="shared" si="104"/>
        <v>-1.7680040588097734</v>
      </c>
      <c r="R561" s="17">
        <f t="shared" si="97"/>
        <v>-1.7391417908147222</v>
      </c>
      <c r="S561" s="17">
        <f t="shared" si="98"/>
        <v>-1.2766842260483473</v>
      </c>
      <c r="T561" s="17">
        <f t="shared" si="99"/>
        <v>-1.0090086037509536</v>
      </c>
      <c r="U561" s="16">
        <v>0</v>
      </c>
      <c r="V561" s="16">
        <v>0</v>
      </c>
      <c r="W561" s="16">
        <v>0</v>
      </c>
      <c r="X561" s="16">
        <v>0</v>
      </c>
      <c r="Y561" s="15">
        <v>0.41599999999999998</v>
      </c>
      <c r="Z561" s="15">
        <v>0.53749999999999998</v>
      </c>
      <c r="AA561" s="15">
        <v>0.63049999999999995</v>
      </c>
      <c r="AB561" s="15">
        <v>0.73099999999999998</v>
      </c>
      <c r="AC561" s="3">
        <f t="shared" si="105"/>
        <v>-0.3059182034420998</v>
      </c>
      <c r="AD561" s="3">
        <f t="shared" si="106"/>
        <v>-0.28199506934985169</v>
      </c>
      <c r="AE561" s="3">
        <f t="shared" si="107"/>
        <v>-0.40199160801399325</v>
      </c>
      <c r="AF561" s="3">
        <f t="shared" si="108"/>
        <v>-0.37518877556747687</v>
      </c>
    </row>
    <row r="562" spans="1:32" x14ac:dyDescent="0.2">
      <c r="A562" s="30">
        <v>560</v>
      </c>
      <c r="B562" s="9" t="s">
        <v>1181</v>
      </c>
      <c r="C562" s="12">
        <v>902761</v>
      </c>
      <c r="D562" s="13" t="s">
        <v>561</v>
      </c>
      <c r="E562" s="17">
        <v>23.360793941000001</v>
      </c>
      <c r="F562" s="17">
        <v>59.844397117299998</v>
      </c>
      <c r="G562" s="14">
        <v>1459</v>
      </c>
      <c r="H562" s="17">
        <v>5.89</v>
      </c>
      <c r="I562" s="17">
        <v>6.61</v>
      </c>
      <c r="J562" s="17">
        <v>9.2899999999999991</v>
      </c>
      <c r="K562" s="17">
        <v>11.6</v>
      </c>
      <c r="L562" s="17">
        <v>11.73</v>
      </c>
      <c r="M562" s="17">
        <f t="shared" si="100"/>
        <v>0.72000000000000064</v>
      </c>
      <c r="N562" s="17">
        <f t="shared" si="101"/>
        <v>3.3999999999999995</v>
      </c>
      <c r="O562" s="17">
        <f t="shared" si="102"/>
        <v>5.71</v>
      </c>
      <c r="P562" s="17">
        <f t="shared" si="103"/>
        <v>5.8400000000000007</v>
      </c>
      <c r="Q562" s="17">
        <f t="shared" si="104"/>
        <v>-0.17193996283849519</v>
      </c>
      <c r="R562" s="17">
        <f t="shared" si="97"/>
        <v>1.822742286494528</v>
      </c>
      <c r="S562" s="17">
        <f t="shared" si="98"/>
        <v>2.5902928714668714</v>
      </c>
      <c r="T562" s="17">
        <f t="shared" si="99"/>
        <v>1.1165592851110482</v>
      </c>
      <c r="U562" s="16">
        <v>1</v>
      </c>
      <c r="V562" s="16">
        <v>8</v>
      </c>
      <c r="W562" s="16">
        <v>9</v>
      </c>
      <c r="X562" s="16">
        <v>13</v>
      </c>
      <c r="Y562" s="15">
        <v>5.5E-2</v>
      </c>
      <c r="Z562" s="15">
        <v>0.19600000000000001</v>
      </c>
      <c r="AA562" s="15">
        <v>0.28199999999999997</v>
      </c>
      <c r="AB562" s="15">
        <v>0.40525</v>
      </c>
      <c r="AC562" s="3">
        <f t="shared" si="105"/>
        <v>-3.641802283903365</v>
      </c>
      <c r="AD562" s="3">
        <f t="shared" si="106"/>
        <v>-3.3464161417332288</v>
      </c>
      <c r="AE562" s="3">
        <f t="shared" si="107"/>
        <v>-3.2712785571334044</v>
      </c>
      <c r="AF562" s="3">
        <f t="shared" si="108"/>
        <v>-3.0510797426961256</v>
      </c>
    </row>
    <row r="563" spans="1:32" x14ac:dyDescent="0.2">
      <c r="A563" s="30">
        <v>561</v>
      </c>
      <c r="B563" s="9" t="s">
        <v>1354</v>
      </c>
      <c r="C563" s="12">
        <v>902810</v>
      </c>
      <c r="D563" s="13" t="s">
        <v>562</v>
      </c>
      <c r="E563" s="17">
        <v>127.391438122</v>
      </c>
      <c r="F563" s="17">
        <v>26.216576832400001</v>
      </c>
      <c r="G563" s="14">
        <v>228</v>
      </c>
      <c r="H563" s="17">
        <v>21.85</v>
      </c>
      <c r="I563" s="17">
        <v>22.75</v>
      </c>
      <c r="J563" s="17">
        <v>24.24</v>
      </c>
      <c r="K563" s="17">
        <v>25.02</v>
      </c>
      <c r="L563" s="17">
        <v>25.64</v>
      </c>
      <c r="M563" s="17">
        <f t="shared" si="100"/>
        <v>0.89999999999999858</v>
      </c>
      <c r="N563" s="17">
        <f t="shared" si="101"/>
        <v>2.389999999999997</v>
      </c>
      <c r="O563" s="17">
        <f t="shared" si="102"/>
        <v>3.1699999999999982</v>
      </c>
      <c r="P563" s="17">
        <f t="shared" si="103"/>
        <v>3.7899999999999991</v>
      </c>
      <c r="Q563" s="17">
        <f t="shared" si="104"/>
        <v>4.7366554165189284E-2</v>
      </c>
      <c r="R563" s="17">
        <f t="shared" si="97"/>
        <v>0.40080437420901266</v>
      </c>
      <c r="S563" s="17">
        <f t="shared" si="98"/>
        <v>-0.35929326297416903</v>
      </c>
      <c r="T563" s="17">
        <f t="shared" si="99"/>
        <v>-0.95839984449233384</v>
      </c>
      <c r="U563" s="16">
        <v>1</v>
      </c>
      <c r="V563" s="16">
        <v>1</v>
      </c>
      <c r="W563" s="16">
        <v>2</v>
      </c>
      <c r="X563" s="16">
        <v>2</v>
      </c>
      <c r="Y563" s="15">
        <v>0.48399999999999999</v>
      </c>
      <c r="Z563" s="15">
        <v>0.64</v>
      </c>
      <c r="AA563" s="15">
        <v>0.77200000000000002</v>
      </c>
      <c r="AB563" s="15">
        <v>0.872</v>
      </c>
      <c r="AC563" s="3">
        <f t="shared" si="105"/>
        <v>0.32244777293287546</v>
      </c>
      <c r="AD563" s="3">
        <f t="shared" si="106"/>
        <v>0.63777992309318277</v>
      </c>
      <c r="AE563" s="3">
        <f t="shared" si="107"/>
        <v>0.76301299256103383</v>
      </c>
      <c r="AF563" s="3">
        <f t="shared" si="108"/>
        <v>0.78306333913747961</v>
      </c>
    </row>
    <row r="564" spans="1:32" x14ac:dyDescent="0.2">
      <c r="A564" s="30">
        <v>562</v>
      </c>
      <c r="B564" s="9" t="s">
        <v>1355</v>
      </c>
      <c r="C564" s="12">
        <v>902812</v>
      </c>
      <c r="D564" s="13" t="s">
        <v>563</v>
      </c>
      <c r="E564" s="17">
        <v>135.75196609899999</v>
      </c>
      <c r="F564" s="17">
        <v>33.4695125167</v>
      </c>
      <c r="G564" s="14">
        <v>24</v>
      </c>
      <c r="H564" s="17">
        <v>15.77</v>
      </c>
      <c r="I564" s="17">
        <v>17.04</v>
      </c>
      <c r="J564" s="17">
        <v>18.170000000000002</v>
      </c>
      <c r="K564" s="17">
        <v>19.22</v>
      </c>
      <c r="L564" s="17">
        <v>20.51</v>
      </c>
      <c r="M564" s="17">
        <f t="shared" si="100"/>
        <v>1.2699999999999996</v>
      </c>
      <c r="N564" s="17">
        <f t="shared" si="101"/>
        <v>2.4000000000000021</v>
      </c>
      <c r="O564" s="17">
        <f t="shared" si="102"/>
        <v>3.4499999999999993</v>
      </c>
      <c r="P564" s="17">
        <f t="shared" si="103"/>
        <v>4.740000000000002</v>
      </c>
      <c r="Q564" s="17">
        <f t="shared" si="104"/>
        <v>0.49816328356165818</v>
      </c>
      <c r="R564" s="17">
        <f t="shared" si="97"/>
        <v>0.41488296739996555</v>
      </c>
      <c r="S564" s="17">
        <f t="shared" si="98"/>
        <v>-3.4142035555470567E-2</v>
      </c>
      <c r="T564" s="17">
        <f t="shared" si="99"/>
        <v>3.1665814214306364E-3</v>
      </c>
      <c r="U564" s="16">
        <v>0</v>
      </c>
      <c r="V564" s="16">
        <v>0</v>
      </c>
      <c r="W564" s="16">
        <v>0</v>
      </c>
      <c r="X564" s="16">
        <v>0</v>
      </c>
      <c r="Y564" s="15">
        <v>0.57499999999999996</v>
      </c>
      <c r="Z564" s="15">
        <v>0.70550000000000002</v>
      </c>
      <c r="AA564" s="15">
        <v>0.85299999999999998</v>
      </c>
      <c r="AB564" s="15">
        <v>0.96050000000000002</v>
      </c>
      <c r="AC564" s="3">
        <f t="shared" si="105"/>
        <v>1.1633493001405626</v>
      </c>
      <c r="AD564" s="3">
        <f t="shared" si="106"/>
        <v>1.2255385768006826</v>
      </c>
      <c r="AE564" s="3">
        <f t="shared" si="107"/>
        <v>1.4299060854697059</v>
      </c>
      <c r="AF564" s="3">
        <f t="shared" si="108"/>
        <v>1.5100513685799524</v>
      </c>
    </row>
    <row r="565" spans="1:32" x14ac:dyDescent="0.2">
      <c r="A565" s="30">
        <v>563</v>
      </c>
      <c r="B565" s="9" t="s">
        <v>1356</v>
      </c>
      <c r="C565" s="12">
        <v>902813</v>
      </c>
      <c r="D565" s="13" t="s">
        <v>564</v>
      </c>
      <c r="E565" s="17">
        <v>135.88748125000001</v>
      </c>
      <c r="F565" s="17">
        <v>35.583108571300002</v>
      </c>
      <c r="G565" s="14">
        <v>22</v>
      </c>
      <c r="H565" s="17">
        <v>13.44</v>
      </c>
      <c r="I565" s="17">
        <v>14.67</v>
      </c>
      <c r="J565" s="17">
        <v>16.239999999999998</v>
      </c>
      <c r="K565" s="17">
        <v>17.03</v>
      </c>
      <c r="L565" s="17">
        <v>19.07</v>
      </c>
      <c r="M565" s="17">
        <f t="shared" si="100"/>
        <v>1.2300000000000004</v>
      </c>
      <c r="N565" s="17">
        <f t="shared" si="101"/>
        <v>2.7999999999999989</v>
      </c>
      <c r="O565" s="17">
        <f t="shared" si="102"/>
        <v>3.5900000000000016</v>
      </c>
      <c r="P565" s="17">
        <f t="shared" si="103"/>
        <v>5.6300000000000008</v>
      </c>
      <c r="Q565" s="17">
        <f t="shared" si="104"/>
        <v>0.44942850200528434</v>
      </c>
      <c r="R565" s="17">
        <f t="shared" si="97"/>
        <v>0.9780266950377875</v>
      </c>
      <c r="S565" s="17">
        <f t="shared" si="98"/>
        <v>0.12843357815388073</v>
      </c>
      <c r="T565" s="17">
        <f t="shared" si="99"/>
        <v>0.90400249622484818</v>
      </c>
      <c r="U565" s="16">
        <v>0</v>
      </c>
      <c r="V565" s="16">
        <v>1</v>
      </c>
      <c r="W565" s="16">
        <v>1</v>
      </c>
      <c r="X565" s="16">
        <v>1</v>
      </c>
      <c r="Y565" s="15">
        <v>0.5605</v>
      </c>
      <c r="Z565" s="15">
        <v>0.69550000000000001</v>
      </c>
      <c r="AA565" s="15">
        <v>0.84</v>
      </c>
      <c r="AB565" s="15">
        <v>0.95199999999999996</v>
      </c>
      <c r="AC565" s="3">
        <f t="shared" si="105"/>
        <v>1.0293594963547226</v>
      </c>
      <c r="AD565" s="3">
        <f t="shared" si="106"/>
        <v>1.1358044311964841</v>
      </c>
      <c r="AE565" s="3">
        <f t="shared" si="107"/>
        <v>1.3228738606818942</v>
      </c>
      <c r="AF565" s="3">
        <f t="shared" si="108"/>
        <v>1.4402276595374544</v>
      </c>
    </row>
    <row r="566" spans="1:32" x14ac:dyDescent="0.2">
      <c r="A566" s="30">
        <v>564</v>
      </c>
      <c r="B566" s="9" t="s">
        <v>1357</v>
      </c>
      <c r="C566" s="12">
        <v>902814</v>
      </c>
      <c r="D566" s="13" t="s">
        <v>565</v>
      </c>
      <c r="E566" s="17">
        <v>124.146181161</v>
      </c>
      <c r="F566" s="17">
        <v>24.3955390462</v>
      </c>
      <c r="G566" s="14">
        <v>2</v>
      </c>
      <c r="H566" s="17">
        <v>22.75</v>
      </c>
      <c r="I566" s="17">
        <v>23.69</v>
      </c>
      <c r="J566" s="17">
        <v>25.03</v>
      </c>
      <c r="K566" s="17">
        <v>25.73</v>
      </c>
      <c r="L566" s="17">
        <v>26.65</v>
      </c>
      <c r="M566" s="17">
        <f t="shared" si="100"/>
        <v>0.94000000000000128</v>
      </c>
      <c r="N566" s="17">
        <f t="shared" si="101"/>
        <v>2.2800000000000011</v>
      </c>
      <c r="O566" s="17">
        <f t="shared" si="102"/>
        <v>2.9800000000000004</v>
      </c>
      <c r="P566" s="17">
        <f t="shared" si="103"/>
        <v>3.8999999999999986</v>
      </c>
      <c r="Q566" s="17">
        <f t="shared" si="104"/>
        <v>9.6101335721567455E-2</v>
      </c>
      <c r="R566" s="17">
        <f t="shared" si="97"/>
        <v>0.24593984910861622</v>
      </c>
      <c r="S566" s="17">
        <f t="shared" si="98"/>
        <v>-0.5799315958654252</v>
      </c>
      <c r="T566" s="17">
        <f t="shared" si="99"/>
        <v>-0.84706057412337254</v>
      </c>
      <c r="U566" s="16">
        <v>0</v>
      </c>
      <c r="V566" s="16">
        <v>0</v>
      </c>
      <c r="W566" s="16">
        <v>0</v>
      </c>
      <c r="X566" s="16">
        <v>0</v>
      </c>
      <c r="Y566" s="15">
        <v>0.48299999999999998</v>
      </c>
      <c r="Z566" s="15">
        <v>0.63749999999999996</v>
      </c>
      <c r="AA566" s="15">
        <v>0.76349999999999996</v>
      </c>
      <c r="AB566" s="15">
        <v>0.86599999999999999</v>
      </c>
      <c r="AC566" s="3">
        <f t="shared" si="105"/>
        <v>0.31320709680971404</v>
      </c>
      <c r="AD566" s="3">
        <f t="shared" si="106"/>
        <v>0.6153463866921326</v>
      </c>
      <c r="AE566" s="3">
        <f t="shared" si="107"/>
        <v>0.69303038404592565</v>
      </c>
      <c r="AF566" s="3">
        <f t="shared" si="108"/>
        <v>0.73377601510748136</v>
      </c>
    </row>
    <row r="567" spans="1:32" x14ac:dyDescent="0.2">
      <c r="A567" s="30">
        <v>565</v>
      </c>
      <c r="B567" s="9" t="s">
        <v>1358</v>
      </c>
      <c r="C567" s="12">
        <v>902816</v>
      </c>
      <c r="D567" s="13" t="s">
        <v>566</v>
      </c>
      <c r="E567" s="17">
        <v>145.263801484</v>
      </c>
      <c r="F567" s="17">
        <v>43.5796218383</v>
      </c>
      <c r="G567" s="14">
        <v>115</v>
      </c>
      <c r="H567" s="17">
        <v>5.67</v>
      </c>
      <c r="I567" s="17">
        <v>7.07</v>
      </c>
      <c r="J567" s="17">
        <v>8</v>
      </c>
      <c r="K567" s="17">
        <v>8.81</v>
      </c>
      <c r="L567" s="17">
        <v>12.02</v>
      </c>
      <c r="M567" s="17">
        <f t="shared" si="100"/>
        <v>1.4000000000000004</v>
      </c>
      <c r="N567" s="17">
        <f t="shared" si="101"/>
        <v>2.33</v>
      </c>
      <c r="O567" s="17">
        <f t="shared" si="102"/>
        <v>3.1400000000000006</v>
      </c>
      <c r="P567" s="17">
        <f t="shared" si="103"/>
        <v>6.35</v>
      </c>
      <c r="Q567" s="17">
        <f t="shared" si="104"/>
        <v>0.65655132361987756</v>
      </c>
      <c r="R567" s="17">
        <f t="shared" si="97"/>
        <v>0.31633281506334299</v>
      </c>
      <c r="S567" s="17">
        <f t="shared" si="98"/>
        <v>-0.39413089448331234</v>
      </c>
      <c r="T567" s="17">
        <f t="shared" si="99"/>
        <v>1.6327686295489612</v>
      </c>
      <c r="U567" s="16">
        <v>0</v>
      </c>
      <c r="V567" s="16">
        <v>1</v>
      </c>
      <c r="W567" s="16">
        <v>2</v>
      </c>
      <c r="X567" s="16">
        <v>2</v>
      </c>
      <c r="Y567" s="15">
        <v>0.42399999999999999</v>
      </c>
      <c r="Z567" s="15">
        <v>0.53900000000000003</v>
      </c>
      <c r="AA567" s="15">
        <v>0.67400000000000004</v>
      </c>
      <c r="AB567" s="15">
        <v>0.77400000000000002</v>
      </c>
      <c r="AC567" s="3">
        <f t="shared" si="105"/>
        <v>-0.23199279445680854</v>
      </c>
      <c r="AD567" s="3">
        <f t="shared" si="106"/>
        <v>-0.26853494750922141</v>
      </c>
      <c r="AE567" s="3">
        <f t="shared" si="107"/>
        <v>-4.384531737785359E-2</v>
      </c>
      <c r="AF567" s="3">
        <f t="shared" si="108"/>
        <v>-2.1962953352489874E-2</v>
      </c>
    </row>
    <row r="568" spans="1:32" x14ac:dyDescent="0.2">
      <c r="A568" s="30">
        <v>566</v>
      </c>
      <c r="B568" s="9" t="s">
        <v>1359</v>
      </c>
      <c r="C568" s="12">
        <v>902819</v>
      </c>
      <c r="D568" s="13" t="s">
        <v>567</v>
      </c>
      <c r="E568" s="17">
        <v>141.70761918700001</v>
      </c>
      <c r="F568" s="17">
        <v>45.0566590894</v>
      </c>
      <c r="G568" s="14">
        <v>12</v>
      </c>
      <c r="H568" s="17">
        <v>7.33</v>
      </c>
      <c r="I568" s="17">
        <v>8.35</v>
      </c>
      <c r="J568" s="17">
        <v>9.23</v>
      </c>
      <c r="K568" s="17">
        <v>10.14</v>
      </c>
      <c r="L568" s="17">
        <v>12.65</v>
      </c>
      <c r="M568" s="17">
        <f t="shared" si="100"/>
        <v>1.0199999999999996</v>
      </c>
      <c r="N568" s="17">
        <f t="shared" si="101"/>
        <v>1.9000000000000004</v>
      </c>
      <c r="O568" s="17">
        <f t="shared" si="102"/>
        <v>2.8100000000000005</v>
      </c>
      <c r="P568" s="17">
        <f t="shared" si="103"/>
        <v>5.32</v>
      </c>
      <c r="Q568" s="17">
        <f t="shared" si="104"/>
        <v>0.19357089883431516</v>
      </c>
      <c r="R568" s="17">
        <f t="shared" si="97"/>
        <v>-0.28904669214732004</v>
      </c>
      <c r="S568" s="17">
        <f t="shared" si="98"/>
        <v>-0.77734484108391977</v>
      </c>
      <c r="T568" s="17">
        <f t="shared" si="99"/>
        <v>0.5902281888214097</v>
      </c>
      <c r="U568" s="16">
        <v>2</v>
      </c>
      <c r="V568" s="16">
        <v>2</v>
      </c>
      <c r="W568" s="16">
        <v>4</v>
      </c>
      <c r="X568" s="16">
        <v>4</v>
      </c>
      <c r="Y568" s="15">
        <v>0.496</v>
      </c>
      <c r="Z568" s="15">
        <v>0.60799999999999998</v>
      </c>
      <c r="AA568" s="15">
        <v>0.74399999999999999</v>
      </c>
      <c r="AB568" s="15">
        <v>0.84399999999999997</v>
      </c>
      <c r="AC568" s="3">
        <f t="shared" si="105"/>
        <v>0.43333588641081233</v>
      </c>
      <c r="AD568" s="3">
        <f t="shared" si="106"/>
        <v>0.35063065715974745</v>
      </c>
      <c r="AE568" s="3">
        <f t="shared" si="107"/>
        <v>0.53248204686420852</v>
      </c>
      <c r="AF568" s="3">
        <f t="shared" si="108"/>
        <v>0.55305582699748801</v>
      </c>
    </row>
    <row r="569" spans="1:32" x14ac:dyDescent="0.2">
      <c r="A569" s="30">
        <v>567</v>
      </c>
      <c r="B569" s="9" t="s">
        <v>1360</v>
      </c>
      <c r="C569" s="12">
        <v>902833</v>
      </c>
      <c r="D569" s="13" t="s">
        <v>568</v>
      </c>
      <c r="E569" s="17">
        <v>145.34025897800001</v>
      </c>
      <c r="F569" s="17">
        <v>43.3054120631</v>
      </c>
      <c r="G569" s="14">
        <v>128</v>
      </c>
      <c r="H569" s="17">
        <v>6.55</v>
      </c>
      <c r="I569" s="17">
        <v>7.89</v>
      </c>
      <c r="J569" s="17">
        <v>8.85</v>
      </c>
      <c r="K569" s="17">
        <v>9.74</v>
      </c>
      <c r="L569" s="17">
        <v>12.63</v>
      </c>
      <c r="M569" s="17">
        <f t="shared" si="100"/>
        <v>1.3399999999999999</v>
      </c>
      <c r="N569" s="17">
        <f t="shared" si="101"/>
        <v>2.2999999999999998</v>
      </c>
      <c r="O569" s="17">
        <f t="shared" si="102"/>
        <v>3.1900000000000004</v>
      </c>
      <c r="P569" s="17">
        <f t="shared" si="103"/>
        <v>6.080000000000001</v>
      </c>
      <c r="Q569" s="17">
        <f t="shared" si="104"/>
        <v>0.5834491512853146</v>
      </c>
      <c r="R569" s="17">
        <f t="shared" si="97"/>
        <v>0.27409703549050568</v>
      </c>
      <c r="S569" s="17">
        <f t="shared" si="98"/>
        <v>-0.33606817530140237</v>
      </c>
      <c r="T569" s="17">
        <f t="shared" si="99"/>
        <v>1.3594813295524197</v>
      </c>
      <c r="U569" s="16">
        <v>0</v>
      </c>
      <c r="V569" s="16">
        <v>4</v>
      </c>
      <c r="W569" s="16">
        <v>4</v>
      </c>
      <c r="X569" s="16">
        <v>5</v>
      </c>
      <c r="Y569" s="15">
        <v>0.45100000000000001</v>
      </c>
      <c r="Z569" s="15">
        <v>0.57399999999999995</v>
      </c>
      <c r="AA569" s="15">
        <v>0.73399999999999999</v>
      </c>
      <c r="AB569" s="15">
        <v>0.84599999999999997</v>
      </c>
      <c r="AC569" s="3">
        <f t="shared" si="105"/>
        <v>1.7505460868549479E-2</v>
      </c>
      <c r="AD569" s="3">
        <f t="shared" si="106"/>
        <v>4.5534562105472451E-2</v>
      </c>
      <c r="AE569" s="3">
        <f t="shared" si="107"/>
        <v>0.45014956625819957</v>
      </c>
      <c r="AF569" s="3">
        <f t="shared" si="108"/>
        <v>0.56948493500748743</v>
      </c>
    </row>
    <row r="570" spans="1:32" x14ac:dyDescent="0.2">
      <c r="A570" s="30">
        <v>568</v>
      </c>
      <c r="B570" s="9" t="s">
        <v>1361</v>
      </c>
      <c r="C570" s="12">
        <v>902834</v>
      </c>
      <c r="D570" s="13" t="s">
        <v>569</v>
      </c>
      <c r="E570" s="17">
        <v>144.398577832</v>
      </c>
      <c r="F570" s="17">
        <v>43.934839577200002</v>
      </c>
      <c r="G570" s="14">
        <v>24</v>
      </c>
      <c r="H570" s="17">
        <v>5.19</v>
      </c>
      <c r="I570" s="17">
        <v>6.59</v>
      </c>
      <c r="J570" s="17">
        <v>7.38</v>
      </c>
      <c r="K570" s="17">
        <v>8.3000000000000007</v>
      </c>
      <c r="L570" s="17">
        <v>11.39</v>
      </c>
      <c r="M570" s="17">
        <f t="shared" si="100"/>
        <v>1.3999999999999995</v>
      </c>
      <c r="N570" s="17">
        <f t="shared" si="101"/>
        <v>2.1899999999999995</v>
      </c>
      <c r="O570" s="17">
        <f t="shared" si="102"/>
        <v>3.1100000000000003</v>
      </c>
      <c r="P570" s="17">
        <f t="shared" si="103"/>
        <v>6.2</v>
      </c>
      <c r="Q570" s="17">
        <f t="shared" si="104"/>
        <v>0.65655132361987645</v>
      </c>
      <c r="R570" s="17">
        <f t="shared" si="97"/>
        <v>0.11923251039010296</v>
      </c>
      <c r="S570" s="17">
        <f t="shared" si="98"/>
        <v>-0.42896852599245877</v>
      </c>
      <c r="T570" s="17">
        <f t="shared" si="99"/>
        <v>1.4809423517731046</v>
      </c>
      <c r="U570" s="16">
        <v>2</v>
      </c>
      <c r="V570" s="16">
        <v>2</v>
      </c>
      <c r="W570" s="16">
        <v>2</v>
      </c>
      <c r="X570" s="16">
        <v>2</v>
      </c>
      <c r="Y570" s="15">
        <v>0.442</v>
      </c>
      <c r="Z570" s="15">
        <v>0.55600000000000005</v>
      </c>
      <c r="AA570" s="15">
        <v>0.69199999999999995</v>
      </c>
      <c r="AB570" s="15">
        <v>0.78949999999999998</v>
      </c>
      <c r="AC570" s="3">
        <f t="shared" si="105"/>
        <v>-6.5660624239903195E-2</v>
      </c>
      <c r="AD570" s="3">
        <f t="shared" si="106"/>
        <v>-0.1159868999820839</v>
      </c>
      <c r="AE570" s="3">
        <f t="shared" si="107"/>
        <v>0.10435314771296171</v>
      </c>
      <c r="AF570" s="3">
        <f t="shared" si="108"/>
        <v>0.10536263372500498</v>
      </c>
    </row>
    <row r="571" spans="1:32" x14ac:dyDescent="0.2">
      <c r="A571" s="30">
        <v>569</v>
      </c>
      <c r="B571" s="9" t="s">
        <v>876</v>
      </c>
      <c r="C571" s="12">
        <v>902835</v>
      </c>
      <c r="D571" s="13" t="s">
        <v>570</v>
      </c>
      <c r="E571" s="17">
        <v>-113.345403339</v>
      </c>
      <c r="F571" s="17">
        <v>28.864025162499999</v>
      </c>
      <c r="G571" s="14">
        <v>832</v>
      </c>
      <c r="H571" s="17">
        <v>19</v>
      </c>
      <c r="I571" s="17">
        <v>20.68</v>
      </c>
      <c r="J571" s="17">
        <v>22.18</v>
      </c>
      <c r="K571" s="17">
        <v>23.5</v>
      </c>
      <c r="L571" s="17">
        <v>24.8</v>
      </c>
      <c r="M571" s="17">
        <f t="shared" si="100"/>
        <v>1.6799999999999997</v>
      </c>
      <c r="N571" s="17">
        <f t="shared" si="101"/>
        <v>3.1799999999999997</v>
      </c>
      <c r="O571" s="17">
        <f t="shared" si="102"/>
        <v>4.5</v>
      </c>
      <c r="P571" s="17">
        <f t="shared" si="103"/>
        <v>5.8000000000000007</v>
      </c>
      <c r="Q571" s="17">
        <f t="shared" si="104"/>
        <v>0.99769479451450094</v>
      </c>
      <c r="R571" s="17">
        <f t="shared" si="97"/>
        <v>1.5130132362937236</v>
      </c>
      <c r="S571" s="17">
        <f t="shared" si="98"/>
        <v>1.1851750672646446</v>
      </c>
      <c r="T571" s="17">
        <f t="shared" si="99"/>
        <v>1.0760722777041529</v>
      </c>
      <c r="U571" s="16">
        <v>8</v>
      </c>
      <c r="V571" s="16">
        <v>8</v>
      </c>
      <c r="W571" s="16">
        <v>9</v>
      </c>
      <c r="X571" s="16">
        <v>10</v>
      </c>
      <c r="Y571" s="15">
        <v>0.51900000000000002</v>
      </c>
      <c r="Z571" s="15">
        <v>0.62</v>
      </c>
      <c r="AA571" s="15">
        <v>0.72799999999999998</v>
      </c>
      <c r="AB571" s="15">
        <v>0.81299999999999994</v>
      </c>
      <c r="AC571" s="3">
        <f t="shared" si="105"/>
        <v>0.64587143724352469</v>
      </c>
      <c r="AD571" s="3">
        <f t="shared" si="106"/>
        <v>0.45831163188478569</v>
      </c>
      <c r="AE571" s="3">
        <f t="shared" si="107"/>
        <v>0.40075007789459416</v>
      </c>
      <c r="AF571" s="3">
        <f t="shared" si="108"/>
        <v>0.2984046528424974</v>
      </c>
    </row>
    <row r="572" spans="1:32" x14ac:dyDescent="0.2">
      <c r="A572" s="30">
        <v>570</v>
      </c>
      <c r="B572" s="9" t="s">
        <v>877</v>
      </c>
      <c r="C572" s="12">
        <v>902836</v>
      </c>
      <c r="D572" s="13" t="s">
        <v>571</v>
      </c>
      <c r="E572" s="17">
        <v>-97.5567110896</v>
      </c>
      <c r="F572" s="17">
        <v>21.6207297682</v>
      </c>
      <c r="G572" s="14">
        <v>923</v>
      </c>
      <c r="H572" s="17">
        <v>22.39</v>
      </c>
      <c r="I572" s="17">
        <v>23.23</v>
      </c>
      <c r="J572" s="17">
        <v>24.49</v>
      </c>
      <c r="K572" s="17">
        <v>25.48</v>
      </c>
      <c r="L572" s="17">
        <v>26.77</v>
      </c>
      <c r="M572" s="17">
        <f t="shared" si="100"/>
        <v>0.83999999999999986</v>
      </c>
      <c r="N572" s="17">
        <f t="shared" si="101"/>
        <v>2.0999999999999979</v>
      </c>
      <c r="O572" s="17">
        <f t="shared" si="102"/>
        <v>3.09</v>
      </c>
      <c r="P572" s="17">
        <f t="shared" si="103"/>
        <v>4.379999999999999</v>
      </c>
      <c r="Q572" s="17">
        <f t="shared" si="104"/>
        <v>-2.5735618169371487E-2</v>
      </c>
      <c r="R572" s="17">
        <f t="shared" si="97"/>
        <v>-7.4748283284102931E-3</v>
      </c>
      <c r="S572" s="17">
        <f t="shared" si="98"/>
        <v>-0.45219361366522337</v>
      </c>
      <c r="T572" s="17">
        <f t="shared" si="99"/>
        <v>-0.36121648524062944</v>
      </c>
      <c r="U572" s="16">
        <v>13</v>
      </c>
      <c r="V572" s="16">
        <v>16</v>
      </c>
      <c r="W572" s="16">
        <v>18</v>
      </c>
      <c r="X572" s="16">
        <v>19</v>
      </c>
      <c r="Y572" s="15">
        <v>0.6855</v>
      </c>
      <c r="Z572" s="15">
        <v>0.79800000000000004</v>
      </c>
      <c r="AA572" s="15">
        <v>0.92249999999999999</v>
      </c>
      <c r="AB572" s="15">
        <v>1.018</v>
      </c>
      <c r="AC572" s="3">
        <f t="shared" si="105"/>
        <v>2.1844440117498976</v>
      </c>
      <c r="AD572" s="3">
        <f t="shared" si="106"/>
        <v>2.0555794236395184</v>
      </c>
      <c r="AE572" s="3">
        <f t="shared" si="107"/>
        <v>2.0021168256814681</v>
      </c>
      <c r="AF572" s="3">
        <f t="shared" si="108"/>
        <v>1.9823882238674344</v>
      </c>
    </row>
    <row r="573" spans="1:32" x14ac:dyDescent="0.2">
      <c r="A573" s="30">
        <v>571</v>
      </c>
      <c r="B573" s="9" t="s">
        <v>1362</v>
      </c>
      <c r="C573" s="12">
        <v>902856</v>
      </c>
      <c r="D573" s="13" t="s">
        <v>572</v>
      </c>
      <c r="E573" s="17">
        <v>127.47105811500001</v>
      </c>
      <c r="F573" s="17">
        <v>34.836497745499997</v>
      </c>
      <c r="G573" s="14">
        <v>60</v>
      </c>
      <c r="H573" s="17">
        <v>11.84</v>
      </c>
      <c r="I573" s="17">
        <v>13.43</v>
      </c>
      <c r="J573" s="17">
        <v>14.52</v>
      </c>
      <c r="K573" s="17">
        <v>16.07</v>
      </c>
      <c r="L573" s="17">
        <v>17.850000000000001</v>
      </c>
      <c r="M573" s="17">
        <f t="shared" si="100"/>
        <v>1.5899999999999999</v>
      </c>
      <c r="N573" s="17">
        <f t="shared" si="101"/>
        <v>2.6799999999999997</v>
      </c>
      <c r="O573" s="17">
        <f t="shared" si="102"/>
        <v>4.2300000000000004</v>
      </c>
      <c r="P573" s="17">
        <f t="shared" si="103"/>
        <v>6.0100000000000016</v>
      </c>
      <c r="Q573" s="17">
        <f t="shared" si="104"/>
        <v>0.88804153601265767</v>
      </c>
      <c r="R573" s="17">
        <f t="shared" si="97"/>
        <v>0.8090835767464406</v>
      </c>
      <c r="S573" s="17">
        <f t="shared" si="98"/>
        <v>0.87163638368232998</v>
      </c>
      <c r="T573" s="17">
        <f t="shared" si="99"/>
        <v>1.2886290665903537</v>
      </c>
      <c r="U573" s="16">
        <v>0</v>
      </c>
      <c r="V573" s="16">
        <v>0</v>
      </c>
      <c r="W573" s="16">
        <v>1</v>
      </c>
      <c r="X573" s="16">
        <v>1</v>
      </c>
      <c r="Y573" s="15">
        <v>0.432</v>
      </c>
      <c r="Z573" s="15">
        <v>0.56000000000000005</v>
      </c>
      <c r="AA573" s="15">
        <v>0.70599999999999996</v>
      </c>
      <c r="AB573" s="15">
        <v>0.81899999999999995</v>
      </c>
      <c r="AC573" s="3">
        <f t="shared" si="105"/>
        <v>-0.15806738547151727</v>
      </c>
      <c r="AD573" s="3">
        <f t="shared" si="106"/>
        <v>-8.0093241740404497E-2</v>
      </c>
      <c r="AE573" s="3">
        <f t="shared" si="107"/>
        <v>0.21961862056137432</v>
      </c>
      <c r="AF573" s="3">
        <f t="shared" si="108"/>
        <v>0.34769197687249559</v>
      </c>
    </row>
    <row r="574" spans="1:32" x14ac:dyDescent="0.2">
      <c r="A574" s="30">
        <v>572</v>
      </c>
      <c r="B574" s="9" t="s">
        <v>1182</v>
      </c>
      <c r="C574" s="12">
        <v>902857</v>
      </c>
      <c r="D574" s="13" t="s">
        <v>573</v>
      </c>
      <c r="E574" s="17">
        <v>3.0320981424900002</v>
      </c>
      <c r="F574" s="17">
        <v>43.0669441971</v>
      </c>
      <c r="G574" s="14">
        <v>153</v>
      </c>
      <c r="H574" s="17">
        <v>15.4</v>
      </c>
      <c r="I574" s="17">
        <v>15.58</v>
      </c>
      <c r="J574" s="17">
        <v>17.309999999999999</v>
      </c>
      <c r="K574" s="17">
        <v>18.89</v>
      </c>
      <c r="L574" s="17">
        <v>20.53</v>
      </c>
      <c r="M574" s="17">
        <f t="shared" si="100"/>
        <v>0.17999999999999972</v>
      </c>
      <c r="N574" s="17">
        <f t="shared" si="101"/>
        <v>1.9099999999999984</v>
      </c>
      <c r="O574" s="17">
        <f t="shared" si="102"/>
        <v>3.49</v>
      </c>
      <c r="P574" s="17">
        <f t="shared" si="103"/>
        <v>5.1300000000000008</v>
      </c>
      <c r="Q574" s="17">
        <f t="shared" si="104"/>
        <v>-0.82985951384955725</v>
      </c>
      <c r="R574" s="17">
        <f t="shared" si="97"/>
        <v>-0.27496809895637714</v>
      </c>
      <c r="S574" s="17">
        <f t="shared" si="98"/>
        <v>1.2308139790058672E-2</v>
      </c>
      <c r="T574" s="17">
        <f t="shared" si="99"/>
        <v>0.39791490363865784</v>
      </c>
      <c r="U574" s="16">
        <v>16</v>
      </c>
      <c r="V574" s="16">
        <v>21</v>
      </c>
      <c r="W574" s="16">
        <v>23</v>
      </c>
      <c r="X574" s="16">
        <v>26</v>
      </c>
      <c r="Y574" s="15">
        <v>0.43099999999999999</v>
      </c>
      <c r="Z574" s="15">
        <v>0.54700000000000004</v>
      </c>
      <c r="AA574" s="15">
        <v>0.64700000000000002</v>
      </c>
      <c r="AB574" s="15">
        <v>0.73750000000000004</v>
      </c>
      <c r="AC574" s="3">
        <f t="shared" si="105"/>
        <v>-0.16730806159467868</v>
      </c>
      <c r="AD574" s="3">
        <f t="shared" si="106"/>
        <v>-0.1967476310258626</v>
      </c>
      <c r="AE574" s="3">
        <f t="shared" si="107"/>
        <v>-0.26614301501407794</v>
      </c>
      <c r="AF574" s="3">
        <f t="shared" si="108"/>
        <v>-0.32179417453497838</v>
      </c>
    </row>
    <row r="575" spans="1:32" x14ac:dyDescent="0.2">
      <c r="A575" s="30">
        <v>573</v>
      </c>
      <c r="B575" s="9" t="s">
        <v>878</v>
      </c>
      <c r="C575" s="12">
        <v>902859</v>
      </c>
      <c r="D575" s="13" t="s">
        <v>574</v>
      </c>
      <c r="E575" s="17">
        <v>-77.097570913400006</v>
      </c>
      <c r="F575" s="17">
        <v>17.769686348899999</v>
      </c>
      <c r="G575" s="14">
        <v>994</v>
      </c>
      <c r="H575" s="17">
        <v>25.07</v>
      </c>
      <c r="I575" s="17">
        <v>25.99</v>
      </c>
      <c r="J575" s="17">
        <v>27.03</v>
      </c>
      <c r="K575" s="17">
        <v>28.39</v>
      </c>
      <c r="L575" s="17">
        <v>29.56</v>
      </c>
      <c r="M575" s="17">
        <f t="shared" si="100"/>
        <v>0.91999999999999815</v>
      </c>
      <c r="N575" s="17">
        <f t="shared" si="101"/>
        <v>1.9600000000000009</v>
      </c>
      <c r="O575" s="17">
        <f t="shared" si="102"/>
        <v>3.3200000000000003</v>
      </c>
      <c r="P575" s="17">
        <f t="shared" si="103"/>
        <v>4.4899999999999984</v>
      </c>
      <c r="Q575" s="17">
        <f t="shared" si="104"/>
        <v>7.1733944943376204E-2</v>
      </c>
      <c r="R575" s="17">
        <f t="shared" si="97"/>
        <v>-0.20457513300164534</v>
      </c>
      <c r="S575" s="17">
        <f t="shared" si="98"/>
        <v>-0.18510510542843595</v>
      </c>
      <c r="T575" s="17">
        <f t="shared" si="99"/>
        <v>-0.24987721487166811</v>
      </c>
      <c r="U575" s="16">
        <v>13</v>
      </c>
      <c r="V575" s="16">
        <v>16</v>
      </c>
      <c r="W575" s="16">
        <v>19</v>
      </c>
      <c r="X575" s="16">
        <v>20</v>
      </c>
      <c r="Y575" s="15">
        <v>0.48799999999999999</v>
      </c>
      <c r="Z575" s="15">
        <v>0.62</v>
      </c>
      <c r="AA575" s="15">
        <v>0.73</v>
      </c>
      <c r="AB575" s="15">
        <v>0.82399999999999995</v>
      </c>
      <c r="AC575" s="3">
        <f t="shared" si="105"/>
        <v>0.35941047742552107</v>
      </c>
      <c r="AD575" s="3">
        <f t="shared" si="106"/>
        <v>0.45831163188478569</v>
      </c>
      <c r="AE575" s="3">
        <f t="shared" si="107"/>
        <v>0.41721657401579598</v>
      </c>
      <c r="AF575" s="3">
        <f t="shared" si="108"/>
        <v>0.38876474689749407</v>
      </c>
    </row>
    <row r="576" spans="1:32" x14ac:dyDescent="0.2">
      <c r="A576" s="30">
        <v>574</v>
      </c>
      <c r="B576" s="9" t="s">
        <v>879</v>
      </c>
      <c r="C576" s="12">
        <v>902864</v>
      </c>
      <c r="D576" s="13" t="s">
        <v>575</v>
      </c>
      <c r="E576" s="17">
        <v>-97.353432469799998</v>
      </c>
      <c r="F576" s="17">
        <v>21.005154210499999</v>
      </c>
      <c r="G576" s="14">
        <v>47</v>
      </c>
      <c r="H576" s="17">
        <v>22.39</v>
      </c>
      <c r="I576" s="17">
        <v>23.29</v>
      </c>
      <c r="J576" s="17">
        <v>24.67</v>
      </c>
      <c r="K576" s="17">
        <v>25.65</v>
      </c>
      <c r="L576" s="17">
        <v>26.97</v>
      </c>
      <c r="M576" s="17">
        <f t="shared" si="100"/>
        <v>0.89999999999999858</v>
      </c>
      <c r="N576" s="17">
        <f t="shared" si="101"/>
        <v>2.2800000000000011</v>
      </c>
      <c r="O576" s="17">
        <f t="shared" si="102"/>
        <v>3.259999999999998</v>
      </c>
      <c r="P576" s="17">
        <f t="shared" si="103"/>
        <v>4.5799999999999983</v>
      </c>
      <c r="Q576" s="17">
        <f t="shared" si="104"/>
        <v>4.7366554165189284E-2</v>
      </c>
      <c r="R576" s="17">
        <f t="shared" si="97"/>
        <v>0.24593984910861622</v>
      </c>
      <c r="S576" s="17">
        <f t="shared" si="98"/>
        <v>-0.25478036844673085</v>
      </c>
      <c r="T576" s="17">
        <f t="shared" si="99"/>
        <v>-0.158781448206154</v>
      </c>
      <c r="U576" s="16">
        <v>12</v>
      </c>
      <c r="V576" s="16">
        <v>15</v>
      </c>
      <c r="W576" s="16">
        <v>19</v>
      </c>
      <c r="X576" s="16">
        <v>20</v>
      </c>
      <c r="Y576" s="15">
        <v>0.64700000000000002</v>
      </c>
      <c r="Z576" s="15">
        <v>0.76300000000000001</v>
      </c>
      <c r="AA576" s="15">
        <v>0.88800000000000001</v>
      </c>
      <c r="AB576" s="15">
        <v>0.98199999999999998</v>
      </c>
      <c r="AC576" s="3">
        <f t="shared" si="105"/>
        <v>1.8286779810081839</v>
      </c>
      <c r="AD576" s="3">
        <f t="shared" si="106"/>
        <v>1.7415099140248238</v>
      </c>
      <c r="AE576" s="3">
        <f t="shared" si="107"/>
        <v>1.7180697675907375</v>
      </c>
      <c r="AF576" s="3">
        <f t="shared" si="108"/>
        <v>1.6866642796874454</v>
      </c>
    </row>
    <row r="577" spans="1:32" x14ac:dyDescent="0.2">
      <c r="A577" s="30">
        <v>575</v>
      </c>
      <c r="B577" s="9" t="s">
        <v>880</v>
      </c>
      <c r="C577" s="12">
        <v>902866</v>
      </c>
      <c r="D577" s="13" t="s">
        <v>576</v>
      </c>
      <c r="E577" s="17">
        <v>-116.62373090200001</v>
      </c>
      <c r="F577" s="17">
        <v>31.737154982500002</v>
      </c>
      <c r="G577" s="14">
        <v>20</v>
      </c>
      <c r="H577" s="17">
        <v>18.649999999999999</v>
      </c>
      <c r="I577" s="17">
        <v>20.87</v>
      </c>
      <c r="J577" s="17">
        <v>21.3</v>
      </c>
      <c r="K577" s="17">
        <v>23.02</v>
      </c>
      <c r="L577" s="17">
        <v>23.6</v>
      </c>
      <c r="M577" s="17">
        <f t="shared" si="100"/>
        <v>2.2200000000000024</v>
      </c>
      <c r="N577" s="17">
        <f t="shared" si="101"/>
        <v>2.6500000000000021</v>
      </c>
      <c r="O577" s="17">
        <f t="shared" si="102"/>
        <v>4.370000000000001</v>
      </c>
      <c r="P577" s="17">
        <f t="shared" si="103"/>
        <v>4.9500000000000028</v>
      </c>
      <c r="Q577" s="17">
        <f t="shared" si="104"/>
        <v>1.6556143455255652</v>
      </c>
      <c r="R577" s="17">
        <f t="shared" si="97"/>
        <v>0.76684779717360707</v>
      </c>
      <c r="S577" s="17">
        <f t="shared" si="98"/>
        <v>1.0342119973916792</v>
      </c>
      <c r="T577" s="17">
        <f t="shared" si="99"/>
        <v>0.21572337030763145</v>
      </c>
      <c r="U577" s="16">
        <v>2</v>
      </c>
      <c r="V577" s="16">
        <v>2</v>
      </c>
      <c r="W577" s="16">
        <v>2</v>
      </c>
      <c r="X577" s="16">
        <v>3</v>
      </c>
      <c r="Y577" s="15">
        <v>0.41699999999999998</v>
      </c>
      <c r="Z577" s="15">
        <v>0.51700000000000002</v>
      </c>
      <c r="AA577" s="15">
        <v>0.62450000000000006</v>
      </c>
      <c r="AB577" s="15">
        <v>0.71699999999999997</v>
      </c>
      <c r="AC577" s="3">
        <f t="shared" si="105"/>
        <v>-0.29667752731893843</v>
      </c>
      <c r="AD577" s="3">
        <f t="shared" si="106"/>
        <v>-0.46595006783845816</v>
      </c>
      <c r="AE577" s="3">
        <f t="shared" si="107"/>
        <v>-0.45139109637759772</v>
      </c>
      <c r="AF577" s="3">
        <f t="shared" si="108"/>
        <v>-0.49019253163747262</v>
      </c>
    </row>
    <row r="578" spans="1:32" x14ac:dyDescent="0.2">
      <c r="A578" s="30">
        <v>576</v>
      </c>
      <c r="B578" s="9" t="s">
        <v>1492</v>
      </c>
      <c r="C578" s="12">
        <v>902870</v>
      </c>
      <c r="D578" s="13" t="s">
        <v>577</v>
      </c>
      <c r="E578" s="17">
        <v>-2.6618007335699998</v>
      </c>
      <c r="F578" s="17">
        <v>49.460177551500003</v>
      </c>
      <c r="G578" s="14">
        <v>14</v>
      </c>
      <c r="H578" s="17">
        <v>13.09</v>
      </c>
      <c r="I578" s="17">
        <v>12.5</v>
      </c>
      <c r="J578" s="17">
        <v>13.96</v>
      </c>
      <c r="K578" s="17">
        <v>15.35</v>
      </c>
      <c r="L578" s="17">
        <v>16.73</v>
      </c>
      <c r="M578" s="17">
        <f t="shared" si="100"/>
        <v>-0.58999999999999986</v>
      </c>
      <c r="N578" s="17">
        <f t="shared" si="101"/>
        <v>0.87000000000000099</v>
      </c>
      <c r="O578" s="17">
        <f t="shared" si="102"/>
        <v>2.2599999999999998</v>
      </c>
      <c r="P578" s="17">
        <f t="shared" si="103"/>
        <v>3.6400000000000006</v>
      </c>
      <c r="Q578" s="17">
        <f t="shared" si="104"/>
        <v>-1.7680040588097734</v>
      </c>
      <c r="R578" s="17">
        <f t="shared" si="97"/>
        <v>-1.7391417908147222</v>
      </c>
      <c r="S578" s="17">
        <f t="shared" si="98"/>
        <v>-1.4160347520849328</v>
      </c>
      <c r="T578" s="17">
        <f t="shared" si="99"/>
        <v>-1.1102261222681895</v>
      </c>
      <c r="U578" s="16">
        <v>0</v>
      </c>
      <c r="V578" s="16">
        <v>0</v>
      </c>
      <c r="W578" s="16">
        <v>0</v>
      </c>
      <c r="X578" s="16">
        <v>0</v>
      </c>
      <c r="Y578" s="15">
        <v>0.41</v>
      </c>
      <c r="Z578" s="15">
        <v>0.52600000000000002</v>
      </c>
      <c r="AA578" s="15">
        <v>0.622</v>
      </c>
      <c r="AB578" s="15">
        <v>0.72199999999999998</v>
      </c>
      <c r="AC578" s="3">
        <f t="shared" si="105"/>
        <v>-0.36136226018106826</v>
      </c>
      <c r="AD578" s="3">
        <f t="shared" si="106"/>
        <v>-0.38518933679467948</v>
      </c>
      <c r="AE578" s="3">
        <f t="shared" si="107"/>
        <v>-0.47197421652910043</v>
      </c>
      <c r="AF578" s="3">
        <f t="shared" si="108"/>
        <v>-0.44911976161247413</v>
      </c>
    </row>
    <row r="579" spans="1:32" x14ac:dyDescent="0.2">
      <c r="A579" s="30">
        <v>577</v>
      </c>
      <c r="B579" s="9" t="s">
        <v>1363</v>
      </c>
      <c r="C579" s="12">
        <v>902873</v>
      </c>
      <c r="D579" s="13" t="s">
        <v>578</v>
      </c>
      <c r="E579" s="17">
        <v>140.81604167699999</v>
      </c>
      <c r="F579" s="17">
        <v>-8.5920876275599998</v>
      </c>
      <c r="G579" s="14">
        <v>195</v>
      </c>
      <c r="H579" s="17">
        <v>25.73</v>
      </c>
      <c r="I579" s="17">
        <v>26.37</v>
      </c>
      <c r="J579" s="17">
        <v>27.98</v>
      </c>
      <c r="K579" s="17">
        <v>28.82</v>
      </c>
      <c r="L579" s="17">
        <v>29.66</v>
      </c>
      <c r="M579" s="17">
        <f t="shared" si="100"/>
        <v>0.64000000000000057</v>
      </c>
      <c r="N579" s="17">
        <f t="shared" si="101"/>
        <v>2.25</v>
      </c>
      <c r="O579" s="17">
        <f t="shared" si="102"/>
        <v>3.09</v>
      </c>
      <c r="P579" s="17">
        <f t="shared" si="103"/>
        <v>3.9299999999999997</v>
      </c>
      <c r="Q579" s="17">
        <f t="shared" si="104"/>
        <v>-0.26940952595124507</v>
      </c>
      <c r="R579" s="17">
        <f t="shared" ref="R579:R642" si="109">(N579-N$764)/N$767</f>
        <v>0.20370406953577763</v>
      </c>
      <c r="S579" s="17">
        <f t="shared" ref="S579:S642" si="110">(O579-O$764)/O$767</f>
        <v>-0.45219361366522337</v>
      </c>
      <c r="T579" s="17">
        <f t="shared" ref="T579:T642" si="111">(P579-P$764)/P$767</f>
        <v>-0.81669531856819999</v>
      </c>
      <c r="U579" s="16">
        <v>0</v>
      </c>
      <c r="V579" s="16">
        <v>0</v>
      </c>
      <c r="W579" s="16">
        <v>0</v>
      </c>
      <c r="X579" s="16">
        <v>0</v>
      </c>
      <c r="Y579" s="15">
        <v>0.252</v>
      </c>
      <c r="Z579" s="15">
        <v>0.36199999999999999</v>
      </c>
      <c r="AA579" s="15">
        <v>0.48099999999999998</v>
      </c>
      <c r="AB579" s="15">
        <v>0.59199999999999997</v>
      </c>
      <c r="AC579" s="3">
        <f t="shared" si="105"/>
        <v>-1.8213890876405692</v>
      </c>
      <c r="AD579" s="3">
        <f t="shared" si="106"/>
        <v>-1.8568293247035343</v>
      </c>
      <c r="AE579" s="3">
        <f t="shared" si="107"/>
        <v>-1.6328621930738265</v>
      </c>
      <c r="AF579" s="3">
        <f t="shared" si="108"/>
        <v>-1.5170117822624338</v>
      </c>
    </row>
    <row r="580" spans="1:32" x14ac:dyDescent="0.2">
      <c r="A580" s="30">
        <v>578</v>
      </c>
      <c r="B580" s="9" t="s">
        <v>1183</v>
      </c>
      <c r="C580" s="12">
        <v>902883</v>
      </c>
      <c r="D580" s="13" t="s">
        <v>579</v>
      </c>
      <c r="E580" s="17">
        <v>-8.8237181676100001</v>
      </c>
      <c r="F580" s="17">
        <v>40.125343337300002</v>
      </c>
      <c r="G580" s="14">
        <v>15</v>
      </c>
      <c r="H580" s="17">
        <v>15.96</v>
      </c>
      <c r="I580" s="17">
        <v>15.77</v>
      </c>
      <c r="J580" s="17">
        <v>16.78</v>
      </c>
      <c r="K580" s="17">
        <v>17.18</v>
      </c>
      <c r="L580" s="17">
        <v>18.940000000000001</v>
      </c>
      <c r="M580" s="17">
        <f t="shared" ref="M580:M643" si="112">I580-H580</f>
        <v>-0.19000000000000128</v>
      </c>
      <c r="N580" s="17">
        <f t="shared" ref="N580:N643" si="113">J580-H580</f>
        <v>0.82000000000000028</v>
      </c>
      <c r="O580" s="17">
        <f t="shared" ref="O580:O643" si="114">K580-H580</f>
        <v>1.2199999999999989</v>
      </c>
      <c r="P580" s="17">
        <f t="shared" ref="P580:P643" si="115">L580-H580</f>
        <v>2.9800000000000004</v>
      </c>
      <c r="Q580" s="17">
        <f t="shared" ref="Q580:Q643" si="116">(M580-M$764)/M$767</f>
        <v>-1.2806562432460262</v>
      </c>
      <c r="R580" s="17">
        <f t="shared" si="109"/>
        <v>-1.8095347567694515</v>
      </c>
      <c r="S580" s="17">
        <f t="shared" si="110"/>
        <v>-2.6237393110686664</v>
      </c>
      <c r="T580" s="17">
        <f t="shared" si="111"/>
        <v>-1.7782617444819608</v>
      </c>
      <c r="U580" s="16">
        <v>0</v>
      </c>
      <c r="V580" s="16">
        <v>3</v>
      </c>
      <c r="W580" s="16">
        <v>4</v>
      </c>
      <c r="X580" s="16">
        <v>4</v>
      </c>
      <c r="Y580" s="15">
        <v>0.44800000000000001</v>
      </c>
      <c r="Z580" s="15">
        <v>0.56399999999999995</v>
      </c>
      <c r="AA580" s="15">
        <v>0.66900000000000004</v>
      </c>
      <c r="AB580" s="15">
        <v>0.76300000000000001</v>
      </c>
      <c r="AC580" s="3">
        <f t="shared" ref="AC580:AC643" si="117">(Y580-Y$764)/Y$767</f>
        <v>-1.0216567500934746E-2</v>
      </c>
      <c r="AD580" s="3">
        <f t="shared" ref="AD580:AD643" si="118">(Z580-Z$764)/Z$767</f>
        <v>-4.4199583498726082E-2</v>
      </c>
      <c r="AE580" s="3">
        <f t="shared" ref="AE580:AE643" si="119">(AA580-AA$764)/AA$767</f>
        <v>-8.5011557680858094E-2</v>
      </c>
      <c r="AF580" s="3">
        <f t="shared" ref="AF580:AF643" si="120">(AB580-AB$764)/AB$767</f>
        <v>-0.11232304740748654</v>
      </c>
    </row>
    <row r="581" spans="1:32" x14ac:dyDescent="0.2">
      <c r="A581" s="30">
        <v>579</v>
      </c>
      <c r="B581" s="9" t="s">
        <v>881</v>
      </c>
      <c r="C581" s="12">
        <v>903005</v>
      </c>
      <c r="D581" s="13" t="s">
        <v>580</v>
      </c>
      <c r="E581" s="17">
        <v>-105.013752127</v>
      </c>
      <c r="F581" s="17">
        <v>19.443764577300001</v>
      </c>
      <c r="G581" s="14">
        <v>379</v>
      </c>
      <c r="H581" s="17">
        <v>25.54</v>
      </c>
      <c r="I581" s="17">
        <v>26.75</v>
      </c>
      <c r="J581" s="17">
        <v>27.32</v>
      </c>
      <c r="K581" s="17">
        <v>28.99</v>
      </c>
      <c r="L581" s="17">
        <v>30</v>
      </c>
      <c r="M581" s="17">
        <f t="shared" si="112"/>
        <v>1.2100000000000009</v>
      </c>
      <c r="N581" s="17">
        <f t="shared" si="113"/>
        <v>1.7800000000000011</v>
      </c>
      <c r="O581" s="17">
        <f t="shared" si="114"/>
        <v>3.4499999999999993</v>
      </c>
      <c r="P581" s="17">
        <f t="shared" si="115"/>
        <v>4.4600000000000009</v>
      </c>
      <c r="Q581" s="17">
        <f t="shared" si="116"/>
        <v>0.42506111122709744</v>
      </c>
      <c r="R581" s="17">
        <f t="shared" si="109"/>
        <v>-0.45798981043866682</v>
      </c>
      <c r="S581" s="17">
        <f t="shared" si="110"/>
        <v>-3.4142035555470567E-2</v>
      </c>
      <c r="T581" s="17">
        <f t="shared" si="111"/>
        <v>-0.28024247042683709</v>
      </c>
      <c r="U581" s="16">
        <v>0</v>
      </c>
      <c r="V581" s="16">
        <v>0</v>
      </c>
      <c r="W581" s="16">
        <v>1</v>
      </c>
      <c r="X581" s="16">
        <v>1</v>
      </c>
      <c r="Y581" s="15">
        <v>0.63900000000000001</v>
      </c>
      <c r="Z581" s="15">
        <v>0.745</v>
      </c>
      <c r="AA581" s="15">
        <v>0.86799999999999999</v>
      </c>
      <c r="AB581" s="15">
        <v>0.94399999999999995</v>
      </c>
      <c r="AC581" s="3">
        <f t="shared" si="117"/>
        <v>1.7547525720228927</v>
      </c>
      <c r="AD581" s="3">
        <f t="shared" si="118"/>
        <v>1.5799884519372664</v>
      </c>
      <c r="AE581" s="3">
        <f t="shared" si="119"/>
        <v>1.5534048063787194</v>
      </c>
      <c r="AF581" s="3">
        <f t="shared" si="120"/>
        <v>1.3745112274974569</v>
      </c>
    </row>
    <row r="582" spans="1:32" x14ac:dyDescent="0.2">
      <c r="A582" s="30">
        <v>580</v>
      </c>
      <c r="B582" s="9" t="s">
        <v>1493</v>
      </c>
      <c r="C582" s="12">
        <v>903012</v>
      </c>
      <c r="D582" s="13" t="s">
        <v>581</v>
      </c>
      <c r="E582" s="17">
        <v>-97.6223730862</v>
      </c>
      <c r="F582" s="17">
        <v>24.933251002199999</v>
      </c>
      <c r="G582" s="14">
        <v>4263</v>
      </c>
      <c r="H582" s="17">
        <v>22.46</v>
      </c>
      <c r="I582" s="17">
        <v>23.13</v>
      </c>
      <c r="J582" s="17">
        <v>24.43</v>
      </c>
      <c r="K582" s="17">
        <v>24.9</v>
      </c>
      <c r="L582" s="17">
        <v>25.8</v>
      </c>
      <c r="M582" s="17">
        <f t="shared" si="112"/>
        <v>0.66999999999999815</v>
      </c>
      <c r="N582" s="17">
        <f t="shared" si="113"/>
        <v>1.9699999999999989</v>
      </c>
      <c r="O582" s="17">
        <f t="shared" si="114"/>
        <v>2.4399999999999977</v>
      </c>
      <c r="P582" s="17">
        <f t="shared" si="115"/>
        <v>3.34</v>
      </c>
      <c r="Q582" s="17">
        <f t="shared" si="116"/>
        <v>-0.23285843978396684</v>
      </c>
      <c r="R582" s="17">
        <f t="shared" si="109"/>
        <v>-0.1904965398107025</v>
      </c>
      <c r="S582" s="17">
        <f t="shared" si="110"/>
        <v>-1.2070089630300584</v>
      </c>
      <c r="T582" s="17">
        <f t="shared" si="111"/>
        <v>-1.4138786778199044</v>
      </c>
      <c r="U582" s="16">
        <v>646</v>
      </c>
      <c r="V582" s="16">
        <v>723</v>
      </c>
      <c r="W582" s="16">
        <v>786</v>
      </c>
      <c r="X582" s="16">
        <v>836</v>
      </c>
      <c r="Y582" s="15">
        <v>0.64100000000000001</v>
      </c>
      <c r="Z582" s="15">
        <v>0.754</v>
      </c>
      <c r="AA582" s="15">
        <v>0.878</v>
      </c>
      <c r="AB582" s="15">
        <v>0.97199999999999998</v>
      </c>
      <c r="AC582" s="3">
        <f t="shared" si="117"/>
        <v>1.7732339242692154</v>
      </c>
      <c r="AD582" s="3">
        <f t="shared" si="118"/>
        <v>1.660749182981045</v>
      </c>
      <c r="AE582" s="3">
        <f t="shared" si="119"/>
        <v>1.6357372869847284</v>
      </c>
      <c r="AF582" s="3">
        <f t="shared" si="120"/>
        <v>1.6045187396374483</v>
      </c>
    </row>
    <row r="583" spans="1:32" x14ac:dyDescent="0.2">
      <c r="A583" s="30">
        <v>581</v>
      </c>
      <c r="B583" s="9" t="s">
        <v>882</v>
      </c>
      <c r="C583" s="12">
        <v>903013</v>
      </c>
      <c r="D583" s="13" t="s">
        <v>582</v>
      </c>
      <c r="E583" s="17">
        <v>-94.986342243500005</v>
      </c>
      <c r="F583" s="17">
        <v>18.464961444</v>
      </c>
      <c r="G583" s="14">
        <v>93</v>
      </c>
      <c r="H583" s="17">
        <v>23.71</v>
      </c>
      <c r="I583" s="17">
        <v>24.57</v>
      </c>
      <c r="J583" s="17">
        <v>25.75</v>
      </c>
      <c r="K583" s="17">
        <v>26.74</v>
      </c>
      <c r="L583" s="17">
        <v>28.16</v>
      </c>
      <c r="M583" s="17">
        <f t="shared" si="112"/>
        <v>0.85999999999999943</v>
      </c>
      <c r="N583" s="17">
        <f t="shared" si="113"/>
        <v>2.0399999999999991</v>
      </c>
      <c r="O583" s="17">
        <f t="shared" si="114"/>
        <v>3.0299999999999976</v>
      </c>
      <c r="P583" s="17">
        <f t="shared" si="115"/>
        <v>4.4499999999999993</v>
      </c>
      <c r="Q583" s="17">
        <f t="shared" si="116"/>
        <v>-1.3682273911845646E-3</v>
      </c>
      <c r="R583" s="17">
        <f t="shared" si="109"/>
        <v>-9.1946387474082458E-2</v>
      </c>
      <c r="S583" s="17">
        <f t="shared" si="110"/>
        <v>-0.52186887668351822</v>
      </c>
      <c r="T583" s="17">
        <f t="shared" si="111"/>
        <v>-0.29036422227856246</v>
      </c>
      <c r="U583" s="16">
        <v>0</v>
      </c>
      <c r="V583" s="16">
        <v>0</v>
      </c>
      <c r="W583" s="16">
        <v>0</v>
      </c>
      <c r="X583" s="16">
        <v>0</v>
      </c>
      <c r="Y583" s="15">
        <v>0.49399999999999999</v>
      </c>
      <c r="Z583" s="15">
        <v>0.60899999999999999</v>
      </c>
      <c r="AA583" s="15">
        <v>0.73399999999999999</v>
      </c>
      <c r="AB583" s="15">
        <v>0.82599999999999996</v>
      </c>
      <c r="AC583" s="3">
        <f t="shared" si="117"/>
        <v>0.41485453416448953</v>
      </c>
      <c r="AD583" s="3">
        <f t="shared" si="118"/>
        <v>0.35960407172016728</v>
      </c>
      <c r="AE583" s="3">
        <f t="shared" si="119"/>
        <v>0.45014956625819957</v>
      </c>
      <c r="AF583" s="3">
        <f t="shared" si="120"/>
        <v>0.40519385490749349</v>
      </c>
    </row>
    <row r="584" spans="1:32" x14ac:dyDescent="0.2">
      <c r="A584" s="30">
        <v>582</v>
      </c>
      <c r="B584" s="9" t="s">
        <v>883</v>
      </c>
      <c r="C584" s="12">
        <v>903019</v>
      </c>
      <c r="D584" s="13" t="s">
        <v>583</v>
      </c>
      <c r="E584" s="17">
        <v>-95.952916184299994</v>
      </c>
      <c r="F584" s="17">
        <v>19.145094763500001</v>
      </c>
      <c r="G584" s="14">
        <v>1015</v>
      </c>
      <c r="H584" s="17">
        <v>25.02</v>
      </c>
      <c r="I584" s="17">
        <v>25.89</v>
      </c>
      <c r="J584" s="17">
        <v>26.76</v>
      </c>
      <c r="K584" s="17">
        <v>28.15</v>
      </c>
      <c r="L584" s="17">
        <v>29.26</v>
      </c>
      <c r="M584" s="17">
        <f t="shared" si="112"/>
        <v>0.87000000000000099</v>
      </c>
      <c r="N584" s="17">
        <f t="shared" si="113"/>
        <v>1.740000000000002</v>
      </c>
      <c r="O584" s="17">
        <f t="shared" si="114"/>
        <v>3.129999999999999</v>
      </c>
      <c r="P584" s="17">
        <f t="shared" si="115"/>
        <v>4.240000000000002</v>
      </c>
      <c r="Q584" s="17">
        <f t="shared" si="116"/>
        <v>1.0815467997911062E-2</v>
      </c>
      <c r="R584" s="17">
        <f t="shared" si="109"/>
        <v>-0.51430418320244831</v>
      </c>
      <c r="S584" s="17">
        <f t="shared" si="110"/>
        <v>-0.40574343831969623</v>
      </c>
      <c r="T584" s="17">
        <f t="shared" si="111"/>
        <v>-0.50292101116475973</v>
      </c>
      <c r="U584" s="16">
        <v>10</v>
      </c>
      <c r="V584" s="16">
        <v>13</v>
      </c>
      <c r="W584" s="16">
        <v>13</v>
      </c>
      <c r="X584" s="16">
        <v>19</v>
      </c>
      <c r="Y584" s="15">
        <v>0.49</v>
      </c>
      <c r="Z584" s="15">
        <v>0.60550000000000004</v>
      </c>
      <c r="AA584" s="15">
        <v>0.73050000000000004</v>
      </c>
      <c r="AB584" s="15">
        <v>0.82499999999999996</v>
      </c>
      <c r="AC584" s="3">
        <f t="shared" si="117"/>
        <v>0.37789182967184387</v>
      </c>
      <c r="AD584" s="3">
        <f t="shared" si="118"/>
        <v>0.32819712075869834</v>
      </c>
      <c r="AE584" s="3">
        <f t="shared" si="119"/>
        <v>0.42133319804609687</v>
      </c>
      <c r="AF584" s="3">
        <f t="shared" si="120"/>
        <v>0.39697930090249378</v>
      </c>
    </row>
    <row r="585" spans="1:32" x14ac:dyDescent="0.2">
      <c r="A585" s="30">
        <v>583</v>
      </c>
      <c r="B585" s="9" t="s">
        <v>1184</v>
      </c>
      <c r="C585" s="12">
        <v>903024</v>
      </c>
      <c r="D585" s="13" t="s">
        <v>584</v>
      </c>
      <c r="E585" s="17">
        <v>-16.623123952099998</v>
      </c>
      <c r="F585" s="17">
        <v>13.426145396700001</v>
      </c>
      <c r="G585" s="14">
        <v>30</v>
      </c>
      <c r="H585" s="17">
        <v>24.55</v>
      </c>
      <c r="I585" s="17">
        <v>25.69</v>
      </c>
      <c r="J585" s="17">
        <v>26.69</v>
      </c>
      <c r="K585" s="17">
        <v>26.77</v>
      </c>
      <c r="L585" s="17">
        <v>27.76</v>
      </c>
      <c r="M585" s="17">
        <f t="shared" si="112"/>
        <v>1.1400000000000006</v>
      </c>
      <c r="N585" s="17">
        <f t="shared" si="113"/>
        <v>2.1400000000000006</v>
      </c>
      <c r="O585" s="17">
        <f t="shared" si="114"/>
        <v>2.2199999999999989</v>
      </c>
      <c r="P585" s="17">
        <f t="shared" si="115"/>
        <v>3.2100000000000009</v>
      </c>
      <c r="Q585" s="17">
        <f t="shared" si="116"/>
        <v>0.33977524350344102</v>
      </c>
      <c r="R585" s="17">
        <f t="shared" si="109"/>
        <v>4.883954443537615E-2</v>
      </c>
      <c r="S585" s="17">
        <f t="shared" si="110"/>
        <v>-1.4624849274304621</v>
      </c>
      <c r="T585" s="17">
        <f t="shared" si="111"/>
        <v>-1.5454614518923129</v>
      </c>
      <c r="U585" s="16">
        <v>3</v>
      </c>
      <c r="V585" s="16">
        <v>10</v>
      </c>
      <c r="W585" s="16">
        <v>11</v>
      </c>
      <c r="X585" s="16">
        <v>11</v>
      </c>
      <c r="Y585" s="15">
        <v>0.46500000000000002</v>
      </c>
      <c r="Z585" s="15">
        <v>0.59</v>
      </c>
      <c r="AA585" s="15">
        <v>0.70199999999999996</v>
      </c>
      <c r="AB585" s="15">
        <v>0.79600000000000004</v>
      </c>
      <c r="AC585" s="3">
        <f t="shared" si="117"/>
        <v>0.14687492659280921</v>
      </c>
      <c r="AD585" s="3">
        <f t="shared" si="118"/>
        <v>0.18910919507219009</v>
      </c>
      <c r="AE585" s="3">
        <f t="shared" si="119"/>
        <v>0.18668562831897073</v>
      </c>
      <c r="AF585" s="3">
        <f t="shared" si="120"/>
        <v>0.15875723475750347</v>
      </c>
    </row>
    <row r="586" spans="1:32" x14ac:dyDescent="0.2">
      <c r="A586" s="30">
        <v>584</v>
      </c>
      <c r="B586" s="9" t="s">
        <v>1185</v>
      </c>
      <c r="C586" s="12">
        <v>903025</v>
      </c>
      <c r="D586" s="13" t="s">
        <v>585</v>
      </c>
      <c r="E586" s="17">
        <v>9.5543206894200008</v>
      </c>
      <c r="F586" s="17">
        <v>0.58767727469099995</v>
      </c>
      <c r="G586" s="14">
        <v>259</v>
      </c>
      <c r="H586" s="17">
        <v>25.88</v>
      </c>
      <c r="I586" s="17">
        <v>27.13</v>
      </c>
      <c r="J586" s="17">
        <v>28.15</v>
      </c>
      <c r="K586" s="17">
        <v>29.46</v>
      </c>
      <c r="L586" s="17">
        <v>30.51</v>
      </c>
      <c r="M586" s="17">
        <f t="shared" si="112"/>
        <v>1.25</v>
      </c>
      <c r="N586" s="17">
        <f t="shared" si="113"/>
        <v>2.2699999999999996</v>
      </c>
      <c r="O586" s="17">
        <f t="shared" si="114"/>
        <v>3.5800000000000018</v>
      </c>
      <c r="P586" s="17">
        <f t="shared" si="115"/>
        <v>4.6300000000000026</v>
      </c>
      <c r="Q586" s="17">
        <f t="shared" si="116"/>
        <v>0.47379589278347128</v>
      </c>
      <c r="R586" s="17">
        <f t="shared" si="109"/>
        <v>0.23186125591766835</v>
      </c>
      <c r="S586" s="17">
        <f t="shared" si="110"/>
        <v>0.11682103431749893</v>
      </c>
      <c r="T586" s="17">
        <f t="shared" si="111"/>
        <v>-0.10817268894753065</v>
      </c>
      <c r="U586" s="16">
        <v>2</v>
      </c>
      <c r="V586" s="16">
        <v>2</v>
      </c>
      <c r="W586" s="16">
        <v>2</v>
      </c>
      <c r="X586" s="16">
        <v>3</v>
      </c>
      <c r="Y586" s="15">
        <v>0.46</v>
      </c>
      <c r="Z586" s="15">
        <v>0.59299999999999997</v>
      </c>
      <c r="AA586" s="15">
        <v>0.73799999999999999</v>
      </c>
      <c r="AB586" s="15">
        <v>0.83699999999999997</v>
      </c>
      <c r="AC586" s="3">
        <f t="shared" si="117"/>
        <v>0.10067154597700216</v>
      </c>
      <c r="AD586" s="3">
        <f t="shared" si="118"/>
        <v>0.21602943875344965</v>
      </c>
      <c r="AE586" s="3">
        <f t="shared" si="119"/>
        <v>0.48308255850060317</v>
      </c>
      <c r="AF586" s="3">
        <f t="shared" si="120"/>
        <v>0.49555394896249017</v>
      </c>
    </row>
    <row r="587" spans="1:32" x14ac:dyDescent="0.2">
      <c r="A587" s="30">
        <v>585</v>
      </c>
      <c r="B587" s="9" t="s">
        <v>1186</v>
      </c>
      <c r="C587" s="12">
        <v>903026</v>
      </c>
      <c r="D587" s="13" t="s">
        <v>586</v>
      </c>
      <c r="E587" s="17">
        <v>9.6306512628499998</v>
      </c>
      <c r="F587" s="17">
        <v>0.12208361478300001</v>
      </c>
      <c r="G587" s="14">
        <v>256</v>
      </c>
      <c r="H587" s="17">
        <v>25.47</v>
      </c>
      <c r="I587" s="17">
        <v>26.76</v>
      </c>
      <c r="J587" s="17">
        <v>27.82</v>
      </c>
      <c r="K587" s="17">
        <v>29.19</v>
      </c>
      <c r="L587" s="17">
        <v>30.35</v>
      </c>
      <c r="M587" s="17">
        <f t="shared" si="112"/>
        <v>1.2900000000000027</v>
      </c>
      <c r="N587" s="17">
        <f t="shared" si="113"/>
        <v>2.3500000000000014</v>
      </c>
      <c r="O587" s="17">
        <f t="shared" si="114"/>
        <v>3.7200000000000024</v>
      </c>
      <c r="P587" s="17">
        <f t="shared" si="115"/>
        <v>4.8800000000000026</v>
      </c>
      <c r="Q587" s="17">
        <f t="shared" si="116"/>
        <v>0.52253067433984945</v>
      </c>
      <c r="R587" s="17">
        <f t="shared" si="109"/>
        <v>0.34449000144523623</v>
      </c>
      <c r="S587" s="17">
        <f t="shared" si="110"/>
        <v>0.27939664802684816</v>
      </c>
      <c r="T587" s="17">
        <f t="shared" si="111"/>
        <v>0.14487110734556449</v>
      </c>
      <c r="U587" s="16">
        <v>4</v>
      </c>
      <c r="V587" s="16">
        <v>15</v>
      </c>
      <c r="W587" s="16">
        <v>16</v>
      </c>
      <c r="X587" s="16">
        <v>20</v>
      </c>
      <c r="Y587" s="15">
        <v>0.45800000000000002</v>
      </c>
      <c r="Z587" s="15">
        <v>0.59199999999999997</v>
      </c>
      <c r="AA587" s="15">
        <v>0.73799999999999999</v>
      </c>
      <c r="AB587" s="15">
        <v>0.83799999999999997</v>
      </c>
      <c r="AC587" s="3">
        <f t="shared" si="117"/>
        <v>8.2190193730679345E-2</v>
      </c>
      <c r="AD587" s="3">
        <f t="shared" si="118"/>
        <v>0.20705602419302982</v>
      </c>
      <c r="AE587" s="3">
        <f t="shared" si="119"/>
        <v>0.48308255850060317</v>
      </c>
      <c r="AF587" s="3">
        <f t="shared" si="120"/>
        <v>0.50376850296748987</v>
      </c>
    </row>
    <row r="588" spans="1:32" x14ac:dyDescent="0.2">
      <c r="A588" s="30">
        <v>586</v>
      </c>
      <c r="B588" s="9" t="s">
        <v>1187</v>
      </c>
      <c r="C588" s="12">
        <v>903046</v>
      </c>
      <c r="D588" s="13" t="s">
        <v>587</v>
      </c>
      <c r="E588" s="17">
        <v>-6.8669486302399996</v>
      </c>
      <c r="F588" s="17">
        <v>37.162075467699999</v>
      </c>
      <c r="G588" s="14">
        <v>1</v>
      </c>
      <c r="H588" s="17">
        <v>17.72</v>
      </c>
      <c r="I588" s="17">
        <v>17.86</v>
      </c>
      <c r="J588" s="17">
        <v>19.39</v>
      </c>
      <c r="K588" s="17">
        <v>20.58</v>
      </c>
      <c r="L588" s="17">
        <v>21.76</v>
      </c>
      <c r="M588" s="17">
        <f t="shared" si="112"/>
        <v>0.14000000000000057</v>
      </c>
      <c r="N588" s="17">
        <f t="shared" si="113"/>
        <v>1.6700000000000017</v>
      </c>
      <c r="O588" s="17">
        <f t="shared" si="114"/>
        <v>2.8599999999999994</v>
      </c>
      <c r="P588" s="17">
        <f t="shared" si="115"/>
        <v>4.0400000000000027</v>
      </c>
      <c r="Q588" s="17">
        <f t="shared" si="116"/>
        <v>-0.87859429540593115</v>
      </c>
      <c r="R588" s="17">
        <f t="shared" si="109"/>
        <v>-0.61285433553906832</v>
      </c>
      <c r="S588" s="17">
        <f t="shared" si="110"/>
        <v>-0.7192821219020108</v>
      </c>
      <c r="T588" s="17">
        <f t="shared" si="111"/>
        <v>-0.70535604819923514</v>
      </c>
      <c r="U588" s="16">
        <v>0</v>
      </c>
      <c r="V588" s="16">
        <v>0</v>
      </c>
      <c r="W588" s="16">
        <v>0</v>
      </c>
      <c r="X588" s="16">
        <v>0</v>
      </c>
      <c r="Y588" s="15">
        <v>0.46200000000000002</v>
      </c>
      <c r="Z588" s="15">
        <v>0.58099999999999996</v>
      </c>
      <c r="AA588" s="15">
        <v>0.69199999999999995</v>
      </c>
      <c r="AB588" s="15">
        <v>0.78449999999999998</v>
      </c>
      <c r="AC588" s="3">
        <f t="shared" si="117"/>
        <v>0.11915289822332498</v>
      </c>
      <c r="AD588" s="3">
        <f t="shared" si="118"/>
        <v>0.10834846402841142</v>
      </c>
      <c r="AE588" s="3">
        <f t="shared" si="119"/>
        <v>0.10435314771296171</v>
      </c>
      <c r="AF588" s="3">
        <f t="shared" si="120"/>
        <v>6.42898637000065E-2</v>
      </c>
    </row>
    <row r="589" spans="1:32" x14ac:dyDescent="0.2">
      <c r="A589" s="30">
        <v>587</v>
      </c>
      <c r="B589" s="9" t="s">
        <v>1188</v>
      </c>
      <c r="C589" s="12">
        <v>903047</v>
      </c>
      <c r="D589" s="13" t="s">
        <v>588</v>
      </c>
      <c r="E589" s="17">
        <v>-2.6992440044000001</v>
      </c>
      <c r="F589" s="17">
        <v>36.6990400898</v>
      </c>
      <c r="G589" s="14">
        <v>23</v>
      </c>
      <c r="H589" s="17">
        <v>17.09</v>
      </c>
      <c r="I589" s="17">
        <v>17.14</v>
      </c>
      <c r="J589" s="17">
        <v>19.25</v>
      </c>
      <c r="K589" s="17">
        <v>20.190000000000001</v>
      </c>
      <c r="L589" s="17">
        <v>21.8</v>
      </c>
      <c r="M589" s="17">
        <f t="shared" si="112"/>
        <v>5.0000000000000711E-2</v>
      </c>
      <c r="N589" s="17">
        <f t="shared" si="113"/>
        <v>2.16</v>
      </c>
      <c r="O589" s="17">
        <f t="shared" si="114"/>
        <v>3.1000000000000014</v>
      </c>
      <c r="P589" s="17">
        <f t="shared" si="115"/>
        <v>4.7100000000000009</v>
      </c>
      <c r="Q589" s="17">
        <f t="shared" si="116"/>
        <v>-0.98824755390777441</v>
      </c>
      <c r="R589" s="17">
        <f t="shared" si="109"/>
        <v>7.6996730817266879E-2</v>
      </c>
      <c r="S589" s="17">
        <f t="shared" si="110"/>
        <v>-0.44058106982883954</v>
      </c>
      <c r="T589" s="17">
        <f t="shared" si="111"/>
        <v>-2.7198674133741933E-2</v>
      </c>
      <c r="U589" s="16">
        <v>5</v>
      </c>
      <c r="V589" s="16">
        <v>5</v>
      </c>
      <c r="W589" s="16">
        <v>7</v>
      </c>
      <c r="X589" s="16">
        <v>7</v>
      </c>
      <c r="Y589" s="15">
        <v>0.41</v>
      </c>
      <c r="Z589" s="15">
        <v>0.53</v>
      </c>
      <c r="AA589" s="15">
        <v>0.63800000000000001</v>
      </c>
      <c r="AB589" s="15">
        <v>0.72799999999999998</v>
      </c>
      <c r="AC589" s="3">
        <f t="shared" si="117"/>
        <v>-0.36136226018106826</v>
      </c>
      <c r="AD589" s="3">
        <f t="shared" si="118"/>
        <v>-0.34929567855300009</v>
      </c>
      <c r="AE589" s="3">
        <f t="shared" si="119"/>
        <v>-0.34024224755948601</v>
      </c>
      <c r="AF589" s="3">
        <f t="shared" si="120"/>
        <v>-0.39983243758247594</v>
      </c>
    </row>
    <row r="590" spans="1:32" x14ac:dyDescent="0.2">
      <c r="A590" s="30">
        <v>588</v>
      </c>
      <c r="B590" s="9" t="s">
        <v>884</v>
      </c>
      <c r="C590" s="12">
        <v>903057</v>
      </c>
      <c r="D590" s="13" t="s">
        <v>589</v>
      </c>
      <c r="E590" s="17">
        <v>-106.103381888</v>
      </c>
      <c r="F590" s="17">
        <v>22.981226117599999</v>
      </c>
      <c r="G590" s="14">
        <v>323</v>
      </c>
      <c r="H590" s="17">
        <v>24.29</v>
      </c>
      <c r="I590" s="17">
        <v>25.65</v>
      </c>
      <c r="J590" s="17">
        <v>26.21</v>
      </c>
      <c r="K590" s="17">
        <v>27.76</v>
      </c>
      <c r="L590" s="17">
        <v>28.98</v>
      </c>
      <c r="M590" s="17">
        <f t="shared" si="112"/>
        <v>1.3599999999999994</v>
      </c>
      <c r="N590" s="17">
        <f t="shared" si="113"/>
        <v>1.9200000000000017</v>
      </c>
      <c r="O590" s="17">
        <f t="shared" si="114"/>
        <v>3.4700000000000024</v>
      </c>
      <c r="P590" s="17">
        <f t="shared" si="115"/>
        <v>4.6900000000000013</v>
      </c>
      <c r="Q590" s="17">
        <f t="shared" si="116"/>
        <v>0.60781654206350155</v>
      </c>
      <c r="R590" s="17">
        <f t="shared" si="109"/>
        <v>-0.2608895057654268</v>
      </c>
      <c r="S590" s="17">
        <f t="shared" si="110"/>
        <v>-1.0916947882702852E-2</v>
      </c>
      <c r="T590" s="17">
        <f t="shared" si="111"/>
        <v>-4.7442177837189112E-2</v>
      </c>
      <c r="U590" s="16">
        <v>4</v>
      </c>
      <c r="V590" s="16">
        <v>7</v>
      </c>
      <c r="W590" s="16">
        <v>10</v>
      </c>
      <c r="X590" s="16">
        <v>11</v>
      </c>
      <c r="Y590" s="15">
        <v>0.53</v>
      </c>
      <c r="Z590" s="15">
        <v>0.629</v>
      </c>
      <c r="AA590" s="15">
        <v>0.745</v>
      </c>
      <c r="AB590" s="15">
        <v>0.82</v>
      </c>
      <c r="AC590" s="3">
        <f t="shared" si="117"/>
        <v>0.74751887459830024</v>
      </c>
      <c r="AD590" s="3">
        <f t="shared" si="118"/>
        <v>0.53907236292856442</v>
      </c>
      <c r="AE590" s="3">
        <f t="shared" si="119"/>
        <v>0.54071529492480952</v>
      </c>
      <c r="AF590" s="3">
        <f t="shared" si="120"/>
        <v>0.3559065308774953</v>
      </c>
    </row>
    <row r="591" spans="1:32" x14ac:dyDescent="0.2">
      <c r="A591" s="30">
        <v>589</v>
      </c>
      <c r="B591" s="9" t="s">
        <v>1189</v>
      </c>
      <c r="C591" s="12">
        <v>903062</v>
      </c>
      <c r="D591" s="13" t="s">
        <v>590</v>
      </c>
      <c r="E591" s="17">
        <v>48.910887325799997</v>
      </c>
      <c r="F591" s="17">
        <v>-18.082023880400001</v>
      </c>
      <c r="G591" s="14">
        <v>11</v>
      </c>
      <c r="H591" s="17">
        <v>22.93</v>
      </c>
      <c r="I591" s="17">
        <v>23.82</v>
      </c>
      <c r="J591" s="17">
        <v>24.87</v>
      </c>
      <c r="K591" s="17">
        <v>26.17</v>
      </c>
      <c r="L591" s="17">
        <v>27.52</v>
      </c>
      <c r="M591" s="17">
        <f t="shared" si="112"/>
        <v>0.89000000000000057</v>
      </c>
      <c r="N591" s="17">
        <f t="shared" si="113"/>
        <v>1.9400000000000013</v>
      </c>
      <c r="O591" s="17">
        <f t="shared" si="114"/>
        <v>3.240000000000002</v>
      </c>
      <c r="P591" s="17">
        <f t="shared" si="115"/>
        <v>4.59</v>
      </c>
      <c r="Q591" s="17">
        <f t="shared" si="116"/>
        <v>3.5182858776097982E-2</v>
      </c>
      <c r="R591" s="17">
        <f t="shared" si="109"/>
        <v>-0.23273231938353606</v>
      </c>
      <c r="S591" s="17">
        <f t="shared" si="110"/>
        <v>-0.27800545611949029</v>
      </c>
      <c r="T591" s="17">
        <f t="shared" si="111"/>
        <v>-0.14865969635442861</v>
      </c>
      <c r="U591" s="16">
        <v>0</v>
      </c>
      <c r="V591" s="16">
        <v>0</v>
      </c>
      <c r="W591" s="16">
        <v>0</v>
      </c>
      <c r="X591" s="16">
        <v>0</v>
      </c>
      <c r="Y591" s="15">
        <v>0.438</v>
      </c>
      <c r="Z591" s="15">
        <v>0.54700000000000004</v>
      </c>
      <c r="AA591" s="15">
        <v>0.67</v>
      </c>
      <c r="AB591" s="15">
        <v>0.746</v>
      </c>
      <c r="AC591" s="3">
        <f t="shared" si="117"/>
        <v>-0.10262332873254883</v>
      </c>
      <c r="AD591" s="3">
        <f t="shared" si="118"/>
        <v>-0.1967476310258626</v>
      </c>
      <c r="AE591" s="3">
        <f t="shared" si="119"/>
        <v>-7.6778309620257196E-2</v>
      </c>
      <c r="AF591" s="3">
        <f t="shared" si="120"/>
        <v>-0.25197046549248142</v>
      </c>
    </row>
    <row r="592" spans="1:32" x14ac:dyDescent="0.2">
      <c r="A592" s="30">
        <v>590</v>
      </c>
      <c r="B592" s="9" t="s">
        <v>1190</v>
      </c>
      <c r="C592" s="12">
        <v>903071</v>
      </c>
      <c r="D592" s="13" t="s">
        <v>591</v>
      </c>
      <c r="E592" s="17">
        <v>11.233580384</v>
      </c>
      <c r="F592" s="17">
        <v>33.244014084900002</v>
      </c>
      <c r="G592" s="14">
        <v>343</v>
      </c>
      <c r="H592" s="17">
        <v>19.59</v>
      </c>
      <c r="I592" s="17">
        <v>21.13</v>
      </c>
      <c r="J592" s="17">
        <v>22.74</v>
      </c>
      <c r="K592" s="17">
        <v>23.75</v>
      </c>
      <c r="L592" s="17">
        <v>25.58</v>
      </c>
      <c r="M592" s="17">
        <f t="shared" si="112"/>
        <v>1.5399999999999991</v>
      </c>
      <c r="N592" s="17">
        <f t="shared" si="113"/>
        <v>3.1499999999999986</v>
      </c>
      <c r="O592" s="17">
        <f t="shared" si="114"/>
        <v>4.16</v>
      </c>
      <c r="P592" s="17">
        <f t="shared" si="115"/>
        <v>5.9899999999999984</v>
      </c>
      <c r="Q592" s="17">
        <f t="shared" si="116"/>
        <v>0.82712305906718819</v>
      </c>
      <c r="R592" s="17">
        <f t="shared" si="109"/>
        <v>1.4707774567208851</v>
      </c>
      <c r="S592" s="17">
        <f t="shared" si="110"/>
        <v>0.79034857682765536</v>
      </c>
      <c r="T592" s="17">
        <f t="shared" si="111"/>
        <v>1.2683855628869027</v>
      </c>
      <c r="U592" s="16">
        <v>7</v>
      </c>
      <c r="V592" s="16">
        <v>8</v>
      </c>
      <c r="W592" s="16">
        <v>8</v>
      </c>
      <c r="X592" s="16">
        <v>10</v>
      </c>
      <c r="Y592" s="15">
        <v>0.42399999999999999</v>
      </c>
      <c r="Z592" s="15">
        <v>0.54300000000000004</v>
      </c>
      <c r="AA592" s="15">
        <v>0.65400000000000003</v>
      </c>
      <c r="AB592" s="15">
        <v>0.753</v>
      </c>
      <c r="AC592" s="3">
        <f t="shared" si="117"/>
        <v>-0.23199279445680854</v>
      </c>
      <c r="AD592" s="3">
        <f t="shared" si="118"/>
        <v>-0.23264128926754199</v>
      </c>
      <c r="AE592" s="3">
        <f t="shared" si="119"/>
        <v>-0.20851027858987162</v>
      </c>
      <c r="AF592" s="3">
        <f t="shared" si="120"/>
        <v>-0.19446858745748352</v>
      </c>
    </row>
    <row r="593" spans="1:32" x14ac:dyDescent="0.2">
      <c r="A593" s="30">
        <v>591</v>
      </c>
      <c r="B593" s="9" t="s">
        <v>1191</v>
      </c>
      <c r="C593" s="12">
        <v>903072</v>
      </c>
      <c r="D593" s="13" t="s">
        <v>592</v>
      </c>
      <c r="E593" s="17">
        <v>10.900415638</v>
      </c>
      <c r="F593" s="17">
        <v>36.753424569300002</v>
      </c>
      <c r="G593" s="14">
        <v>20</v>
      </c>
      <c r="H593" s="17">
        <v>17.89</v>
      </c>
      <c r="I593" s="17">
        <v>19.13</v>
      </c>
      <c r="J593" s="17">
        <v>20.86</v>
      </c>
      <c r="K593" s="17">
        <v>22.1</v>
      </c>
      <c r="L593" s="17">
        <v>23.48</v>
      </c>
      <c r="M593" s="17">
        <f t="shared" si="112"/>
        <v>1.2399999999999984</v>
      </c>
      <c r="N593" s="17">
        <f t="shared" si="113"/>
        <v>2.9699999999999989</v>
      </c>
      <c r="O593" s="17">
        <f t="shared" si="114"/>
        <v>4.2100000000000009</v>
      </c>
      <c r="P593" s="17">
        <f t="shared" si="115"/>
        <v>5.59</v>
      </c>
      <c r="Q593" s="17">
        <f t="shared" si="116"/>
        <v>0.46161219739437565</v>
      </c>
      <c r="R593" s="17">
        <f t="shared" si="109"/>
        <v>1.2173627792838637</v>
      </c>
      <c r="S593" s="17">
        <f t="shared" si="110"/>
        <v>0.84841129600956633</v>
      </c>
      <c r="T593" s="17">
        <f t="shared" si="111"/>
        <v>0.86351548881795204</v>
      </c>
      <c r="U593" s="16">
        <v>0</v>
      </c>
      <c r="V593" s="16">
        <v>0</v>
      </c>
      <c r="W593" s="16">
        <v>0</v>
      </c>
      <c r="X593" s="16">
        <v>0</v>
      </c>
      <c r="Y593" s="15">
        <v>0.45400000000000001</v>
      </c>
      <c r="Z593" s="15">
        <v>0.56999999999999995</v>
      </c>
      <c r="AA593" s="15">
        <v>0.67800000000000005</v>
      </c>
      <c r="AB593" s="15">
        <v>0.77600000000000002</v>
      </c>
      <c r="AC593" s="3">
        <f t="shared" si="117"/>
        <v>4.5227489238033707E-2</v>
      </c>
      <c r="AD593" s="3">
        <f t="shared" si="118"/>
        <v>9.6409038637930381E-3</v>
      </c>
      <c r="AE593" s="3">
        <f t="shared" si="119"/>
        <v>-1.0912325135449989E-2</v>
      </c>
      <c r="AF593" s="3">
        <f t="shared" si="120"/>
        <v>-5.5338453424904786E-3</v>
      </c>
    </row>
    <row r="594" spans="1:32" x14ac:dyDescent="0.2">
      <c r="A594" s="30">
        <v>592</v>
      </c>
      <c r="B594" s="9" t="s">
        <v>1192</v>
      </c>
      <c r="C594" s="12">
        <v>903074</v>
      </c>
      <c r="D594" s="13" t="s">
        <v>593</v>
      </c>
      <c r="E594" s="17">
        <v>10.9362241962</v>
      </c>
      <c r="F594" s="17">
        <v>33.654742343899997</v>
      </c>
      <c r="G594" s="14">
        <v>148</v>
      </c>
      <c r="H594" s="17">
        <v>19.36</v>
      </c>
      <c r="I594" s="17">
        <v>20.88</v>
      </c>
      <c r="J594" s="17">
        <v>22.37</v>
      </c>
      <c r="K594" s="17">
        <v>23.35</v>
      </c>
      <c r="L594" s="17">
        <v>25.09</v>
      </c>
      <c r="M594" s="17">
        <f t="shared" si="112"/>
        <v>1.5199999999999996</v>
      </c>
      <c r="N594" s="17">
        <f t="shared" si="113"/>
        <v>3.0100000000000016</v>
      </c>
      <c r="O594" s="17">
        <f t="shared" si="114"/>
        <v>3.990000000000002</v>
      </c>
      <c r="P594" s="17">
        <f t="shared" si="115"/>
        <v>5.73</v>
      </c>
      <c r="Q594" s="17">
        <f t="shared" si="116"/>
        <v>0.80275566828900125</v>
      </c>
      <c r="R594" s="17">
        <f t="shared" si="109"/>
        <v>1.27367715204765</v>
      </c>
      <c r="S594" s="17">
        <f t="shared" si="110"/>
        <v>0.59293533160916279</v>
      </c>
      <c r="T594" s="17">
        <f t="shared" si="111"/>
        <v>1.0052200147420858</v>
      </c>
      <c r="U594" s="16">
        <v>10</v>
      </c>
      <c r="V594" s="16">
        <v>11</v>
      </c>
      <c r="W594" s="16">
        <v>14</v>
      </c>
      <c r="X594" s="16">
        <v>16</v>
      </c>
      <c r="Y594" s="15">
        <v>0.432</v>
      </c>
      <c r="Z594" s="15">
        <v>0.55000000000000004</v>
      </c>
      <c r="AA594" s="15">
        <v>0.66</v>
      </c>
      <c r="AB594" s="15">
        <v>0.76</v>
      </c>
      <c r="AC594" s="3">
        <f t="shared" si="117"/>
        <v>-0.15806738547151727</v>
      </c>
      <c r="AD594" s="3">
        <f t="shared" si="118"/>
        <v>-0.16982738734460304</v>
      </c>
      <c r="AE594" s="3">
        <f t="shared" si="119"/>
        <v>-0.1591107902262662</v>
      </c>
      <c r="AF594" s="3">
        <f t="shared" si="120"/>
        <v>-0.13696670942248565</v>
      </c>
    </row>
    <row r="595" spans="1:32" x14ac:dyDescent="0.2">
      <c r="A595" s="30">
        <v>593</v>
      </c>
      <c r="B595" s="9" t="s">
        <v>1193</v>
      </c>
      <c r="C595" s="12">
        <v>903075</v>
      </c>
      <c r="D595" s="13" t="s">
        <v>594</v>
      </c>
      <c r="E595" s="17">
        <v>10.756211333</v>
      </c>
      <c r="F595" s="17">
        <v>33.722661921099998</v>
      </c>
      <c r="G595" s="14">
        <v>57</v>
      </c>
      <c r="H595" s="17">
        <v>19.29</v>
      </c>
      <c r="I595" s="17">
        <v>20.88</v>
      </c>
      <c r="J595" s="17">
        <v>22.37</v>
      </c>
      <c r="K595" s="17">
        <v>23.37</v>
      </c>
      <c r="L595" s="17">
        <v>25.14</v>
      </c>
      <c r="M595" s="17">
        <f t="shared" si="112"/>
        <v>1.5899999999999999</v>
      </c>
      <c r="N595" s="17">
        <f t="shared" si="113"/>
        <v>3.0800000000000018</v>
      </c>
      <c r="O595" s="17">
        <f t="shared" si="114"/>
        <v>4.0800000000000018</v>
      </c>
      <c r="P595" s="17">
        <f t="shared" si="115"/>
        <v>5.8500000000000014</v>
      </c>
      <c r="Q595" s="17">
        <f t="shared" si="116"/>
        <v>0.88804153601265767</v>
      </c>
      <c r="R595" s="17">
        <f t="shared" si="109"/>
        <v>1.3722273043842701</v>
      </c>
      <c r="S595" s="17">
        <f t="shared" si="110"/>
        <v>0.69744822613660096</v>
      </c>
      <c r="T595" s="17">
        <f t="shared" si="111"/>
        <v>1.1266810369627727</v>
      </c>
      <c r="U595" s="16">
        <v>10</v>
      </c>
      <c r="V595" s="16">
        <v>12</v>
      </c>
      <c r="W595" s="16">
        <v>13</v>
      </c>
      <c r="X595" s="16">
        <v>13</v>
      </c>
      <c r="Y595" s="15">
        <v>0.432</v>
      </c>
      <c r="Z595" s="15">
        <v>0.55000000000000004</v>
      </c>
      <c r="AA595" s="15">
        <v>0.66</v>
      </c>
      <c r="AB595" s="15">
        <v>0.76</v>
      </c>
      <c r="AC595" s="3">
        <f t="shared" si="117"/>
        <v>-0.15806738547151727</v>
      </c>
      <c r="AD595" s="3">
        <f t="shared" si="118"/>
        <v>-0.16982738734460304</v>
      </c>
      <c r="AE595" s="3">
        <f t="shared" si="119"/>
        <v>-0.1591107902262662</v>
      </c>
      <c r="AF595" s="3">
        <f t="shared" si="120"/>
        <v>-0.13696670942248565</v>
      </c>
    </row>
    <row r="596" spans="1:32" x14ac:dyDescent="0.2">
      <c r="A596" s="30">
        <v>594</v>
      </c>
      <c r="B596" s="9" t="s">
        <v>1194</v>
      </c>
      <c r="C596" s="12">
        <v>903076</v>
      </c>
      <c r="D596" s="13" t="s">
        <v>595</v>
      </c>
      <c r="E596" s="17">
        <v>10.9138459868</v>
      </c>
      <c r="F596" s="17">
        <v>33.888921202200002</v>
      </c>
      <c r="G596" s="14">
        <v>31</v>
      </c>
      <c r="H596" s="17">
        <v>19.29</v>
      </c>
      <c r="I596" s="17">
        <v>20.69</v>
      </c>
      <c r="J596" s="17">
        <v>22.12</v>
      </c>
      <c r="K596" s="17">
        <v>23.08</v>
      </c>
      <c r="L596" s="17">
        <v>24.7</v>
      </c>
      <c r="M596" s="17">
        <f t="shared" si="112"/>
        <v>1.4000000000000021</v>
      </c>
      <c r="N596" s="17">
        <f t="shared" si="113"/>
        <v>2.8300000000000018</v>
      </c>
      <c r="O596" s="17">
        <f t="shared" si="114"/>
        <v>3.7899999999999991</v>
      </c>
      <c r="P596" s="17">
        <f t="shared" si="115"/>
        <v>5.41</v>
      </c>
      <c r="Q596" s="17">
        <f t="shared" si="116"/>
        <v>0.65655132361987967</v>
      </c>
      <c r="R596" s="17">
        <f t="shared" si="109"/>
        <v>1.0202624746106286</v>
      </c>
      <c r="S596" s="17">
        <f t="shared" si="110"/>
        <v>0.36068445488151868</v>
      </c>
      <c r="T596" s="17">
        <f t="shared" si="111"/>
        <v>0.68132395548692382</v>
      </c>
      <c r="U596" s="16">
        <v>4</v>
      </c>
      <c r="V596" s="16">
        <v>4</v>
      </c>
      <c r="W596" s="16">
        <v>4</v>
      </c>
      <c r="X596" s="16">
        <v>4</v>
      </c>
      <c r="Y596" s="15">
        <v>0.432</v>
      </c>
      <c r="Z596" s="15">
        <v>0.55000000000000004</v>
      </c>
      <c r="AA596" s="15">
        <v>0.66</v>
      </c>
      <c r="AB596" s="15">
        <v>0.76</v>
      </c>
      <c r="AC596" s="3">
        <f t="shared" si="117"/>
        <v>-0.15806738547151727</v>
      </c>
      <c r="AD596" s="3">
        <f t="shared" si="118"/>
        <v>-0.16982738734460304</v>
      </c>
      <c r="AE596" s="3">
        <f t="shared" si="119"/>
        <v>-0.1591107902262662</v>
      </c>
      <c r="AF596" s="3">
        <f t="shared" si="120"/>
        <v>-0.13696670942248565</v>
      </c>
    </row>
    <row r="597" spans="1:32" x14ac:dyDescent="0.2">
      <c r="A597" s="30">
        <v>595</v>
      </c>
      <c r="B597" s="9" t="s">
        <v>1195</v>
      </c>
      <c r="C597" s="12">
        <v>903078</v>
      </c>
      <c r="D597" s="13" t="s">
        <v>596</v>
      </c>
      <c r="E597" s="17">
        <v>10.285096300099999</v>
      </c>
      <c r="F597" s="17">
        <v>34.353864525600002</v>
      </c>
      <c r="G597" s="14">
        <v>98</v>
      </c>
      <c r="H597" s="17">
        <v>19.3</v>
      </c>
      <c r="I597" s="17">
        <v>20.85</v>
      </c>
      <c r="J597" s="17">
        <v>22.38</v>
      </c>
      <c r="K597" s="17">
        <v>23.33</v>
      </c>
      <c r="L597" s="17">
        <v>24.91</v>
      </c>
      <c r="M597" s="17">
        <f t="shared" si="112"/>
        <v>1.5500000000000007</v>
      </c>
      <c r="N597" s="17">
        <f t="shared" si="113"/>
        <v>3.0799999999999983</v>
      </c>
      <c r="O597" s="17">
        <f t="shared" si="114"/>
        <v>4.0299999999999976</v>
      </c>
      <c r="P597" s="17">
        <f t="shared" si="115"/>
        <v>5.6099999999999994</v>
      </c>
      <c r="Q597" s="17">
        <f t="shared" si="116"/>
        <v>0.83930675445628378</v>
      </c>
      <c r="R597" s="17">
        <f t="shared" si="109"/>
        <v>1.372227304384265</v>
      </c>
      <c r="S597" s="17">
        <f t="shared" si="110"/>
        <v>0.63938550695468588</v>
      </c>
      <c r="T597" s="17">
        <f t="shared" si="111"/>
        <v>0.88375899252139922</v>
      </c>
      <c r="U597" s="16">
        <v>7</v>
      </c>
      <c r="V597" s="16">
        <v>11</v>
      </c>
      <c r="W597" s="16">
        <v>13</v>
      </c>
      <c r="X597" s="16">
        <v>15</v>
      </c>
      <c r="Y597" s="15">
        <v>0.42199999999999999</v>
      </c>
      <c r="Z597" s="15">
        <v>0.54</v>
      </c>
      <c r="AA597" s="15">
        <v>0.65</v>
      </c>
      <c r="AB597" s="15">
        <v>0.749</v>
      </c>
      <c r="AC597" s="3">
        <f t="shared" si="117"/>
        <v>-0.25047414670313134</v>
      </c>
      <c r="AD597" s="3">
        <f t="shared" si="118"/>
        <v>-0.25956153294880158</v>
      </c>
      <c r="AE597" s="3">
        <f t="shared" si="119"/>
        <v>-0.24144327083227521</v>
      </c>
      <c r="AF597" s="3">
        <f t="shared" si="120"/>
        <v>-0.2273268034774823</v>
      </c>
    </row>
    <row r="598" spans="1:32" x14ac:dyDescent="0.2">
      <c r="A598" s="30">
        <v>596</v>
      </c>
      <c r="B598" s="9" t="s">
        <v>1196</v>
      </c>
      <c r="C598" s="12">
        <v>903080</v>
      </c>
      <c r="D598" s="13" t="s">
        <v>597</v>
      </c>
      <c r="E598" s="17">
        <v>10.1841430178</v>
      </c>
      <c r="F598" s="17">
        <v>37.144174707600001</v>
      </c>
      <c r="G598" s="14">
        <v>65</v>
      </c>
      <c r="H598" s="17">
        <v>17.93</v>
      </c>
      <c r="I598" s="17">
        <v>19.190000000000001</v>
      </c>
      <c r="J598" s="17">
        <v>20.87</v>
      </c>
      <c r="K598" s="17">
        <v>22.26</v>
      </c>
      <c r="L598" s="17">
        <v>23.77</v>
      </c>
      <c r="M598" s="17">
        <f t="shared" si="112"/>
        <v>1.2600000000000016</v>
      </c>
      <c r="N598" s="17">
        <f t="shared" si="113"/>
        <v>2.9400000000000013</v>
      </c>
      <c r="O598" s="17">
        <f t="shared" si="114"/>
        <v>4.3300000000000018</v>
      </c>
      <c r="P598" s="17">
        <f t="shared" si="115"/>
        <v>5.84</v>
      </c>
      <c r="Q598" s="17">
        <f t="shared" si="116"/>
        <v>0.48597958817256687</v>
      </c>
      <c r="R598" s="17">
        <f t="shared" si="109"/>
        <v>1.1751269997110301</v>
      </c>
      <c r="S598" s="17">
        <f t="shared" si="110"/>
        <v>0.98776182204615204</v>
      </c>
      <c r="T598" s="17">
        <f t="shared" si="111"/>
        <v>1.1165592851110471</v>
      </c>
      <c r="U598" s="16">
        <v>3</v>
      </c>
      <c r="V598" s="16">
        <v>4</v>
      </c>
      <c r="W598" s="16">
        <v>4</v>
      </c>
      <c r="X598" s="16">
        <v>4</v>
      </c>
      <c r="Y598" s="15">
        <v>0.44600000000000001</v>
      </c>
      <c r="Z598" s="15">
        <v>0.56399999999999995</v>
      </c>
      <c r="AA598" s="15">
        <v>0.67300000000000004</v>
      </c>
      <c r="AB598" s="15">
        <v>0.77</v>
      </c>
      <c r="AC598" s="3">
        <f t="shared" si="117"/>
        <v>-2.8697919747257564E-2</v>
      </c>
      <c r="AD598" s="3">
        <f t="shared" si="118"/>
        <v>-4.4199583498726082E-2</v>
      </c>
      <c r="AE598" s="3">
        <f t="shared" si="119"/>
        <v>-5.2078565438454495E-2</v>
      </c>
      <c r="AF598" s="3">
        <f t="shared" si="120"/>
        <v>-5.4821169372488661E-2</v>
      </c>
    </row>
    <row r="599" spans="1:32" x14ac:dyDescent="0.2">
      <c r="A599" s="30">
        <v>597</v>
      </c>
      <c r="B599" s="9" t="s">
        <v>1197</v>
      </c>
      <c r="C599" s="12">
        <v>903081</v>
      </c>
      <c r="D599" s="13" t="s">
        <v>598</v>
      </c>
      <c r="E599" s="17">
        <v>10.8925186947</v>
      </c>
      <c r="F599" s="17">
        <v>36.612173632000001</v>
      </c>
      <c r="G599" s="14">
        <v>19</v>
      </c>
      <c r="H599" s="17">
        <v>18</v>
      </c>
      <c r="I599" s="17">
        <v>19.27</v>
      </c>
      <c r="J599" s="17">
        <v>20.96</v>
      </c>
      <c r="K599" s="17">
        <v>22.18</v>
      </c>
      <c r="L599" s="17">
        <v>23.59</v>
      </c>
      <c r="M599" s="17">
        <f t="shared" si="112"/>
        <v>1.2699999999999996</v>
      </c>
      <c r="N599" s="17">
        <f t="shared" si="113"/>
        <v>2.9600000000000009</v>
      </c>
      <c r="O599" s="17">
        <f t="shared" si="114"/>
        <v>4.18</v>
      </c>
      <c r="P599" s="17">
        <f t="shared" si="115"/>
        <v>5.59</v>
      </c>
      <c r="Q599" s="17">
        <f t="shared" si="116"/>
        <v>0.49816328356165818</v>
      </c>
      <c r="R599" s="17">
        <f t="shared" si="109"/>
        <v>1.2032841860929206</v>
      </c>
      <c r="S599" s="17">
        <f t="shared" si="110"/>
        <v>0.8135736645004189</v>
      </c>
      <c r="T599" s="17">
        <f t="shared" si="111"/>
        <v>0.86351548881795204</v>
      </c>
      <c r="U599" s="16">
        <v>3</v>
      </c>
      <c r="V599" s="16">
        <v>3</v>
      </c>
      <c r="W599" s="16">
        <v>3</v>
      </c>
      <c r="X599" s="16">
        <v>3</v>
      </c>
      <c r="Y599" s="15">
        <v>0.45400000000000001</v>
      </c>
      <c r="Z599" s="15">
        <v>0.56999999999999995</v>
      </c>
      <c r="AA599" s="15">
        <v>0.67800000000000005</v>
      </c>
      <c r="AB599" s="15">
        <v>0.77600000000000002</v>
      </c>
      <c r="AC599" s="3">
        <f t="shared" si="117"/>
        <v>4.5227489238033707E-2</v>
      </c>
      <c r="AD599" s="3">
        <f t="shared" si="118"/>
        <v>9.6409038637930381E-3</v>
      </c>
      <c r="AE599" s="3">
        <f t="shared" si="119"/>
        <v>-1.0912325135449989E-2</v>
      </c>
      <c r="AF599" s="3">
        <f t="shared" si="120"/>
        <v>-5.5338453424904786E-3</v>
      </c>
    </row>
    <row r="600" spans="1:32" x14ac:dyDescent="0.2">
      <c r="A600" s="30">
        <v>598</v>
      </c>
      <c r="B600" s="9" t="s">
        <v>1198</v>
      </c>
      <c r="C600" s="12">
        <v>903083</v>
      </c>
      <c r="D600" s="13" t="s">
        <v>599</v>
      </c>
      <c r="E600" s="17">
        <v>10.715376204</v>
      </c>
      <c r="F600" s="17">
        <v>34.663868057899997</v>
      </c>
      <c r="G600" s="14">
        <v>45</v>
      </c>
      <c r="H600" s="17">
        <v>18.61</v>
      </c>
      <c r="I600" s="17">
        <v>20.29</v>
      </c>
      <c r="J600" s="17">
        <v>21.81</v>
      </c>
      <c r="K600" s="17">
        <v>22.9</v>
      </c>
      <c r="L600" s="17">
        <v>24.42</v>
      </c>
      <c r="M600" s="17">
        <f t="shared" si="112"/>
        <v>1.6799999999999997</v>
      </c>
      <c r="N600" s="17">
        <f t="shared" si="113"/>
        <v>3.1999999999999993</v>
      </c>
      <c r="O600" s="17">
        <f t="shared" si="114"/>
        <v>4.2899999999999991</v>
      </c>
      <c r="P600" s="17">
        <f t="shared" si="115"/>
        <v>5.8100000000000023</v>
      </c>
      <c r="Q600" s="17">
        <f t="shared" si="116"/>
        <v>0.99769479451450094</v>
      </c>
      <c r="R600" s="17">
        <f t="shared" si="109"/>
        <v>1.5411704226756144</v>
      </c>
      <c r="S600" s="17">
        <f t="shared" si="110"/>
        <v>0.94131164670062073</v>
      </c>
      <c r="T600" s="17">
        <f t="shared" si="111"/>
        <v>1.0861940295558783</v>
      </c>
      <c r="U600" s="16">
        <v>2</v>
      </c>
      <c r="V600" s="16">
        <v>5</v>
      </c>
      <c r="W600" s="16">
        <v>6</v>
      </c>
      <c r="X600" s="16">
        <v>6</v>
      </c>
      <c r="Y600" s="15">
        <v>0.436</v>
      </c>
      <c r="Z600" s="15">
        <v>0.55400000000000005</v>
      </c>
      <c r="AA600" s="15">
        <v>0.66300000000000003</v>
      </c>
      <c r="AB600" s="15">
        <v>0.76100000000000001</v>
      </c>
      <c r="AC600" s="3">
        <f t="shared" si="117"/>
        <v>-0.12110468097887164</v>
      </c>
      <c r="AD600" s="3">
        <f t="shared" si="118"/>
        <v>-0.13393372910292362</v>
      </c>
      <c r="AE600" s="3">
        <f t="shared" si="119"/>
        <v>-0.13441104604446349</v>
      </c>
      <c r="AF600" s="3">
        <f t="shared" si="120"/>
        <v>-0.12875215541748594</v>
      </c>
    </row>
    <row r="601" spans="1:32" x14ac:dyDescent="0.2">
      <c r="A601" s="30">
        <v>599</v>
      </c>
      <c r="B601" s="9" t="s">
        <v>1199</v>
      </c>
      <c r="C601" s="12">
        <v>903087</v>
      </c>
      <c r="D601" s="13" t="s">
        <v>600</v>
      </c>
      <c r="E601" s="17">
        <v>10.499694960299999</v>
      </c>
      <c r="F601" s="17">
        <v>36.730465978700003</v>
      </c>
      <c r="G601" s="14">
        <v>4</v>
      </c>
      <c r="H601" s="17">
        <v>17.52</v>
      </c>
      <c r="I601" s="17">
        <v>19</v>
      </c>
      <c r="J601" s="17">
        <v>20.9</v>
      </c>
      <c r="K601" s="17">
        <v>22.22</v>
      </c>
      <c r="L601" s="17">
        <v>23.76</v>
      </c>
      <c r="M601" s="17">
        <f t="shared" si="112"/>
        <v>1.4800000000000004</v>
      </c>
      <c r="N601" s="17">
        <f t="shared" si="113"/>
        <v>3.379999999999999</v>
      </c>
      <c r="O601" s="17">
        <f t="shared" si="114"/>
        <v>4.6999999999999993</v>
      </c>
      <c r="P601" s="17">
        <f t="shared" si="115"/>
        <v>6.240000000000002</v>
      </c>
      <c r="Q601" s="17">
        <f t="shared" si="116"/>
        <v>0.75402088673262735</v>
      </c>
      <c r="R601" s="17">
        <f t="shared" si="109"/>
        <v>1.7945851001126358</v>
      </c>
      <c r="S601" s="17">
        <f t="shared" si="110"/>
        <v>1.4174259439922845</v>
      </c>
      <c r="T601" s="17">
        <f t="shared" si="111"/>
        <v>1.5214293591800017</v>
      </c>
      <c r="U601" s="16">
        <v>0</v>
      </c>
      <c r="V601" s="16">
        <v>2</v>
      </c>
      <c r="W601" s="16">
        <v>2</v>
      </c>
      <c r="X601" s="16">
        <v>2</v>
      </c>
      <c r="Y601" s="15">
        <v>0.44600000000000001</v>
      </c>
      <c r="Z601" s="15">
        <v>0.56399999999999995</v>
      </c>
      <c r="AA601" s="15">
        <v>0.67300000000000004</v>
      </c>
      <c r="AB601" s="15">
        <v>0.77</v>
      </c>
      <c r="AC601" s="3">
        <f t="shared" si="117"/>
        <v>-2.8697919747257564E-2</v>
      </c>
      <c r="AD601" s="3">
        <f t="shared" si="118"/>
        <v>-4.4199583498726082E-2</v>
      </c>
      <c r="AE601" s="3">
        <f t="shared" si="119"/>
        <v>-5.2078565438454495E-2</v>
      </c>
      <c r="AF601" s="3">
        <f t="shared" si="120"/>
        <v>-5.4821169372488661E-2</v>
      </c>
    </row>
    <row r="602" spans="1:32" x14ac:dyDescent="0.2">
      <c r="A602" s="30">
        <v>600</v>
      </c>
      <c r="B602" s="9" t="s">
        <v>1494</v>
      </c>
      <c r="C602" s="12">
        <v>903096</v>
      </c>
      <c r="D602" s="13" t="s">
        <v>601</v>
      </c>
      <c r="E602" s="17">
        <v>-105.26809119000001</v>
      </c>
      <c r="F602" s="17">
        <v>19.729112148799999</v>
      </c>
      <c r="G602" s="14">
        <v>8</v>
      </c>
      <c r="H602" s="17">
        <v>25.79</v>
      </c>
      <c r="I602" s="17">
        <v>26.98</v>
      </c>
      <c r="J602" s="17">
        <v>27.56</v>
      </c>
      <c r="K602" s="17">
        <v>29.22</v>
      </c>
      <c r="L602" s="17">
        <v>30.23</v>
      </c>
      <c r="M602" s="17">
        <f t="shared" si="112"/>
        <v>1.1900000000000013</v>
      </c>
      <c r="N602" s="17">
        <f t="shared" si="113"/>
        <v>1.7699999999999996</v>
      </c>
      <c r="O602" s="17">
        <f t="shared" si="114"/>
        <v>3.4299999999999997</v>
      </c>
      <c r="P602" s="17">
        <f t="shared" si="115"/>
        <v>4.4400000000000013</v>
      </c>
      <c r="Q602" s="17">
        <f t="shared" si="116"/>
        <v>0.4006937204489105</v>
      </c>
      <c r="R602" s="17">
        <f t="shared" si="109"/>
        <v>-0.47206840362961472</v>
      </c>
      <c r="S602" s="17">
        <f t="shared" si="110"/>
        <v>-5.7367123228234153E-2</v>
      </c>
      <c r="T602" s="17">
        <f t="shared" si="111"/>
        <v>-0.30048597413028427</v>
      </c>
      <c r="U602" s="16">
        <v>0</v>
      </c>
      <c r="V602" s="16">
        <v>0</v>
      </c>
      <c r="W602" s="16">
        <v>0</v>
      </c>
      <c r="X602" s="16">
        <v>0</v>
      </c>
      <c r="Y602" s="15">
        <v>0.61</v>
      </c>
      <c r="Z602" s="15">
        <v>0.71399999999999997</v>
      </c>
      <c r="AA602" s="15">
        <v>0.83299999999999996</v>
      </c>
      <c r="AB602" s="15">
        <v>0.90800000000000003</v>
      </c>
      <c r="AC602" s="3">
        <f t="shared" si="117"/>
        <v>1.486772964451212</v>
      </c>
      <c r="AD602" s="3">
        <f t="shared" si="118"/>
        <v>1.301812600564251</v>
      </c>
      <c r="AE602" s="3">
        <f t="shared" si="119"/>
        <v>1.2652411242576878</v>
      </c>
      <c r="AF602" s="3">
        <f t="shared" si="120"/>
        <v>1.0787872833174688</v>
      </c>
    </row>
    <row r="603" spans="1:32" x14ac:dyDescent="0.2">
      <c r="A603" s="30">
        <v>601</v>
      </c>
      <c r="B603" s="9" t="s">
        <v>885</v>
      </c>
      <c r="C603" s="12">
        <v>903098</v>
      </c>
      <c r="D603" s="13" t="s">
        <v>602</v>
      </c>
      <c r="E603" s="17">
        <v>-93.586659625699994</v>
      </c>
      <c r="F603" s="17">
        <v>15.810352030000001</v>
      </c>
      <c r="G603" s="14">
        <v>51</v>
      </c>
      <c r="H603" s="17">
        <v>27.21</v>
      </c>
      <c r="I603" s="17">
        <v>27.94</v>
      </c>
      <c r="J603" s="17">
        <v>29.03</v>
      </c>
      <c r="K603" s="17">
        <v>30.63</v>
      </c>
      <c r="L603" s="17">
        <v>31.27</v>
      </c>
      <c r="M603" s="17">
        <f t="shared" si="112"/>
        <v>0.73000000000000043</v>
      </c>
      <c r="N603" s="17">
        <f t="shared" si="113"/>
        <v>1.8200000000000003</v>
      </c>
      <c r="O603" s="17">
        <f t="shared" si="114"/>
        <v>3.4199999999999982</v>
      </c>
      <c r="P603" s="17">
        <f t="shared" si="115"/>
        <v>4.0599999999999987</v>
      </c>
      <c r="Q603" s="17">
        <f t="shared" si="116"/>
        <v>-0.15975626744940172</v>
      </c>
      <c r="R603" s="17">
        <f t="shared" si="109"/>
        <v>-0.40167543767488539</v>
      </c>
      <c r="S603" s="17">
        <f t="shared" si="110"/>
        <v>-6.8979667064618014E-2</v>
      </c>
      <c r="T603" s="17">
        <f t="shared" si="111"/>
        <v>-0.68511254449579151</v>
      </c>
      <c r="U603" s="16">
        <v>0</v>
      </c>
      <c r="V603" s="16">
        <v>0</v>
      </c>
      <c r="W603" s="16">
        <v>0</v>
      </c>
      <c r="X603" s="16">
        <v>0</v>
      </c>
      <c r="Y603" s="15">
        <v>0.55800000000000005</v>
      </c>
      <c r="Z603" s="15">
        <v>0.66400000000000003</v>
      </c>
      <c r="AA603" s="15">
        <v>0.79400000000000004</v>
      </c>
      <c r="AB603" s="15">
        <v>0.86799999999999999</v>
      </c>
      <c r="AC603" s="3">
        <f t="shared" si="117"/>
        <v>1.0062578060468197</v>
      </c>
      <c r="AD603" s="3">
        <f t="shared" si="118"/>
        <v>0.85314187254325924</v>
      </c>
      <c r="AE603" s="3">
        <f t="shared" si="119"/>
        <v>0.94414444989425361</v>
      </c>
      <c r="AF603" s="3">
        <f t="shared" si="120"/>
        <v>0.75020512311748078</v>
      </c>
    </row>
    <row r="604" spans="1:32" x14ac:dyDescent="0.2">
      <c r="A604" s="30">
        <v>602</v>
      </c>
      <c r="B604" s="9" t="s">
        <v>1495</v>
      </c>
      <c r="C604" s="12">
        <v>903099</v>
      </c>
      <c r="D604" s="13" t="s">
        <v>603</v>
      </c>
      <c r="E604" s="17">
        <v>-92.4617708854</v>
      </c>
      <c r="F604" s="17">
        <v>14.769400771000001</v>
      </c>
      <c r="G604" s="14">
        <v>13</v>
      </c>
      <c r="H604" s="17">
        <v>27.73</v>
      </c>
      <c r="I604" s="17">
        <v>28.55</v>
      </c>
      <c r="J604" s="17">
        <v>29.74</v>
      </c>
      <c r="K604" s="17">
        <v>31.18</v>
      </c>
      <c r="L604" s="17">
        <v>31.77</v>
      </c>
      <c r="M604" s="17">
        <f t="shared" si="112"/>
        <v>0.82000000000000028</v>
      </c>
      <c r="N604" s="17">
        <f t="shared" si="113"/>
        <v>2.009999999999998</v>
      </c>
      <c r="O604" s="17">
        <f t="shared" si="114"/>
        <v>3.4499999999999993</v>
      </c>
      <c r="P604" s="17">
        <f t="shared" si="115"/>
        <v>4.0399999999999991</v>
      </c>
      <c r="Q604" s="17">
        <f t="shared" si="116"/>
        <v>-5.0103008947558411E-2</v>
      </c>
      <c r="R604" s="17">
        <f t="shared" si="109"/>
        <v>-0.13418216704692104</v>
      </c>
      <c r="S604" s="17">
        <f t="shared" si="110"/>
        <v>-3.4142035555470567E-2</v>
      </c>
      <c r="T604" s="17">
        <f t="shared" si="111"/>
        <v>-0.70535604819923869</v>
      </c>
      <c r="U604" s="16">
        <v>0</v>
      </c>
      <c r="V604" s="16">
        <v>0</v>
      </c>
      <c r="W604" s="16">
        <v>0</v>
      </c>
      <c r="X604" s="16">
        <v>0</v>
      </c>
      <c r="Y604" s="15">
        <v>0.47399999999999998</v>
      </c>
      <c r="Z604" s="15">
        <v>0.57399999999999995</v>
      </c>
      <c r="AA604" s="15">
        <v>0.70799999999999996</v>
      </c>
      <c r="AB604" s="15">
        <v>0.78100000000000003</v>
      </c>
      <c r="AC604" s="3">
        <f t="shared" si="117"/>
        <v>0.23004101170126137</v>
      </c>
      <c r="AD604" s="3">
        <f t="shared" si="118"/>
        <v>4.5534562105472451E-2</v>
      </c>
      <c r="AE604" s="3">
        <f t="shared" si="119"/>
        <v>0.23608511668257612</v>
      </c>
      <c r="AF604" s="3">
        <f t="shared" si="120"/>
        <v>3.5538924682508008E-2</v>
      </c>
    </row>
    <row r="605" spans="1:32" x14ac:dyDescent="0.2">
      <c r="A605" s="30">
        <v>603</v>
      </c>
      <c r="B605" s="9" t="s">
        <v>886</v>
      </c>
      <c r="C605" s="12">
        <v>903101</v>
      </c>
      <c r="D605" s="13" t="s">
        <v>604</v>
      </c>
      <c r="E605" s="17">
        <v>-107.593979588</v>
      </c>
      <c r="F605" s="17">
        <v>24.442123986999999</v>
      </c>
      <c r="G605" s="14">
        <v>552</v>
      </c>
      <c r="H605" s="17">
        <v>23.87</v>
      </c>
      <c r="I605" s="17">
        <v>25.31</v>
      </c>
      <c r="J605" s="17">
        <v>25.75</v>
      </c>
      <c r="K605" s="17">
        <v>27.25</v>
      </c>
      <c r="L605" s="17">
        <v>28.52</v>
      </c>
      <c r="M605" s="17">
        <f t="shared" si="112"/>
        <v>1.4399999999999977</v>
      </c>
      <c r="N605" s="17">
        <f t="shared" si="113"/>
        <v>1.879999999999999</v>
      </c>
      <c r="O605" s="17">
        <f t="shared" si="114"/>
        <v>3.379999999999999</v>
      </c>
      <c r="P605" s="17">
        <f t="shared" si="115"/>
        <v>4.6499999999999986</v>
      </c>
      <c r="Q605" s="17">
        <f t="shared" si="116"/>
        <v>0.70528610517624923</v>
      </c>
      <c r="R605" s="17">
        <f t="shared" si="109"/>
        <v>-0.31720387852921322</v>
      </c>
      <c r="S605" s="17">
        <f t="shared" si="110"/>
        <v>-0.11542984241014519</v>
      </c>
      <c r="T605" s="17">
        <f t="shared" si="111"/>
        <v>-8.7929185244087077E-2</v>
      </c>
      <c r="U605" s="16">
        <v>26</v>
      </c>
      <c r="V605" s="16">
        <v>29</v>
      </c>
      <c r="W605" s="16">
        <v>33</v>
      </c>
      <c r="X605" s="16">
        <v>35</v>
      </c>
      <c r="Y605" s="15">
        <v>0.51600000000000001</v>
      </c>
      <c r="Z605" s="15">
        <v>0.61599999999999999</v>
      </c>
      <c r="AA605" s="15">
        <v>0.73</v>
      </c>
      <c r="AB605" s="15">
        <v>0.80600000000000005</v>
      </c>
      <c r="AC605" s="3">
        <f t="shared" si="117"/>
        <v>0.61814940887404046</v>
      </c>
      <c r="AD605" s="3">
        <f t="shared" si="118"/>
        <v>0.42241797364310629</v>
      </c>
      <c r="AE605" s="3">
        <f t="shared" si="119"/>
        <v>0.41721657401579598</v>
      </c>
      <c r="AF605" s="3">
        <f t="shared" si="120"/>
        <v>0.24090277480750044</v>
      </c>
    </row>
    <row r="606" spans="1:32" x14ac:dyDescent="0.2">
      <c r="A606" s="30">
        <v>604</v>
      </c>
      <c r="B606" s="9" t="s">
        <v>1496</v>
      </c>
      <c r="C606" s="12">
        <v>903102</v>
      </c>
      <c r="D606" s="13" t="s">
        <v>605</v>
      </c>
      <c r="E606" s="17">
        <v>-111.799647698</v>
      </c>
      <c r="F606" s="17">
        <v>26.074236884299999</v>
      </c>
      <c r="G606" s="14">
        <v>51</v>
      </c>
      <c r="H606" s="17">
        <v>21.34</v>
      </c>
      <c r="I606" s="17">
        <v>23.22</v>
      </c>
      <c r="J606" s="17">
        <v>24.21</v>
      </c>
      <c r="K606" s="17">
        <v>25.57</v>
      </c>
      <c r="L606" s="17">
        <v>26.6</v>
      </c>
      <c r="M606" s="17">
        <f t="shared" si="112"/>
        <v>1.879999999999999</v>
      </c>
      <c r="N606" s="17">
        <f t="shared" si="113"/>
        <v>2.870000000000001</v>
      </c>
      <c r="O606" s="17">
        <f t="shared" si="114"/>
        <v>4.2300000000000004</v>
      </c>
      <c r="P606" s="17">
        <f t="shared" si="115"/>
        <v>5.2600000000000016</v>
      </c>
      <c r="Q606" s="17">
        <f t="shared" si="116"/>
        <v>1.2413687022963744</v>
      </c>
      <c r="R606" s="17">
        <f t="shared" si="109"/>
        <v>1.07657684737441</v>
      </c>
      <c r="S606" s="17">
        <f t="shared" si="110"/>
        <v>0.87163638368232998</v>
      </c>
      <c r="T606" s="17">
        <f t="shared" si="111"/>
        <v>0.52949767771106815</v>
      </c>
      <c r="U606" s="16">
        <v>0</v>
      </c>
      <c r="V606" s="16">
        <v>0</v>
      </c>
      <c r="W606" s="16">
        <v>0</v>
      </c>
      <c r="X606" s="16">
        <v>0</v>
      </c>
      <c r="Y606" s="15">
        <v>0.52700000000000002</v>
      </c>
      <c r="Z606" s="15">
        <v>0.63</v>
      </c>
      <c r="AA606" s="15">
        <v>0.74199999999999999</v>
      </c>
      <c r="AB606" s="15">
        <v>0.82399999999999995</v>
      </c>
      <c r="AC606" s="3">
        <f t="shared" si="117"/>
        <v>0.71979684622881601</v>
      </c>
      <c r="AD606" s="3">
        <f t="shared" si="118"/>
        <v>0.5480457774889842</v>
      </c>
      <c r="AE606" s="3">
        <f t="shared" si="119"/>
        <v>0.51601555074300676</v>
      </c>
      <c r="AF606" s="3">
        <f t="shared" si="120"/>
        <v>0.38876474689749407</v>
      </c>
    </row>
    <row r="607" spans="1:32" x14ac:dyDescent="0.2">
      <c r="A607" s="30">
        <v>605</v>
      </c>
      <c r="B607" s="9" t="s">
        <v>887</v>
      </c>
      <c r="C607" s="12">
        <v>903116</v>
      </c>
      <c r="D607" s="13" t="s">
        <v>606</v>
      </c>
      <c r="E607" s="17">
        <v>-103.812434529</v>
      </c>
      <c r="F607" s="17">
        <v>18.751637171199999</v>
      </c>
      <c r="G607" s="14">
        <v>22</v>
      </c>
      <c r="H607" s="17">
        <v>25.74</v>
      </c>
      <c r="I607" s="17">
        <v>26.9</v>
      </c>
      <c r="J607" s="17">
        <v>27.61</v>
      </c>
      <c r="K607" s="17">
        <v>29.3</v>
      </c>
      <c r="L607" s="17">
        <v>30.16</v>
      </c>
      <c r="M607" s="17">
        <f t="shared" si="112"/>
        <v>1.1600000000000001</v>
      </c>
      <c r="N607" s="17">
        <f t="shared" si="113"/>
        <v>1.870000000000001</v>
      </c>
      <c r="O607" s="17">
        <f t="shared" si="114"/>
        <v>3.5600000000000023</v>
      </c>
      <c r="P607" s="17">
        <f t="shared" si="115"/>
        <v>4.4200000000000017</v>
      </c>
      <c r="Q607" s="17">
        <f t="shared" si="116"/>
        <v>0.36414263428162796</v>
      </c>
      <c r="R607" s="17">
        <f t="shared" si="109"/>
        <v>-0.33128247172015607</v>
      </c>
      <c r="S607" s="17">
        <f t="shared" si="110"/>
        <v>9.3595946644735348E-2</v>
      </c>
      <c r="T607" s="17">
        <f t="shared" si="111"/>
        <v>-0.32072947783373146</v>
      </c>
      <c r="U607" s="16">
        <v>1</v>
      </c>
      <c r="V607" s="16">
        <v>1</v>
      </c>
      <c r="W607" s="16">
        <v>1</v>
      </c>
      <c r="X607" s="16">
        <v>1</v>
      </c>
      <c r="Y607" s="15">
        <v>0.66800000000000004</v>
      </c>
      <c r="Z607" s="15">
        <v>0.77300000000000002</v>
      </c>
      <c r="AA607" s="15">
        <v>0.89549999999999996</v>
      </c>
      <c r="AB607" s="15">
        <v>0.97099999999999997</v>
      </c>
      <c r="AC607" s="3">
        <f t="shared" si="117"/>
        <v>2.0227321795945734</v>
      </c>
      <c r="AD607" s="3">
        <f t="shared" si="118"/>
        <v>1.8312440596290223</v>
      </c>
      <c r="AE607" s="3">
        <f t="shared" si="119"/>
        <v>1.7798191280452438</v>
      </c>
      <c r="AF607" s="3">
        <f t="shared" si="120"/>
        <v>1.5963041856324487</v>
      </c>
    </row>
    <row r="608" spans="1:32" x14ac:dyDescent="0.2">
      <c r="A608" s="30">
        <v>606</v>
      </c>
      <c r="B608" s="9" t="s">
        <v>1497</v>
      </c>
      <c r="C608" s="12">
        <v>903120</v>
      </c>
      <c r="D608" s="13" t="s">
        <v>607</v>
      </c>
      <c r="E608" s="17">
        <v>-92.296833383700005</v>
      </c>
      <c r="F608" s="17">
        <v>14.6133419255</v>
      </c>
      <c r="G608" s="14">
        <v>28</v>
      </c>
      <c r="H608" s="17">
        <v>27.75</v>
      </c>
      <c r="I608" s="17">
        <v>28.57</v>
      </c>
      <c r="J608" s="17">
        <v>29.76</v>
      </c>
      <c r="K608" s="17">
        <v>31.18</v>
      </c>
      <c r="L608" s="17">
        <v>31.79</v>
      </c>
      <c r="M608" s="17">
        <f t="shared" si="112"/>
        <v>0.82000000000000028</v>
      </c>
      <c r="N608" s="17">
        <f t="shared" si="113"/>
        <v>2.0100000000000016</v>
      </c>
      <c r="O608" s="17">
        <f t="shared" si="114"/>
        <v>3.4299999999999997</v>
      </c>
      <c r="P608" s="17">
        <f t="shared" si="115"/>
        <v>4.0399999999999991</v>
      </c>
      <c r="Q608" s="17">
        <f t="shared" si="116"/>
        <v>-5.0103008947558411E-2</v>
      </c>
      <c r="R608" s="17">
        <f t="shared" si="109"/>
        <v>-0.13418216704691605</v>
      </c>
      <c r="S608" s="17">
        <f t="shared" si="110"/>
        <v>-5.7367123228234153E-2</v>
      </c>
      <c r="T608" s="17">
        <f t="shared" si="111"/>
        <v>-0.70535604819923869</v>
      </c>
      <c r="U608" s="16">
        <v>2</v>
      </c>
      <c r="V608" s="16">
        <v>2</v>
      </c>
      <c r="W608" s="16">
        <v>2</v>
      </c>
      <c r="X608" s="16">
        <v>3</v>
      </c>
      <c r="Y608" s="15">
        <v>0.47399999999999998</v>
      </c>
      <c r="Z608" s="15">
        <v>0.57399999999999995</v>
      </c>
      <c r="AA608" s="15">
        <v>0.70799999999999996</v>
      </c>
      <c r="AB608" s="15">
        <v>0.78100000000000003</v>
      </c>
      <c r="AC608" s="3">
        <f t="shared" si="117"/>
        <v>0.23004101170126137</v>
      </c>
      <c r="AD608" s="3">
        <f t="shared" si="118"/>
        <v>4.5534562105472451E-2</v>
      </c>
      <c r="AE608" s="3">
        <f t="shared" si="119"/>
        <v>0.23608511668257612</v>
      </c>
      <c r="AF608" s="3">
        <f t="shared" si="120"/>
        <v>3.5538924682508008E-2</v>
      </c>
    </row>
    <row r="609" spans="1:32" x14ac:dyDescent="0.2">
      <c r="A609" s="30">
        <v>607</v>
      </c>
      <c r="B609" s="9" t="s">
        <v>1498</v>
      </c>
      <c r="C609" s="12">
        <v>903124</v>
      </c>
      <c r="D609" s="13" t="s">
        <v>608</v>
      </c>
      <c r="E609" s="17">
        <v>-115.98352139399999</v>
      </c>
      <c r="F609" s="17">
        <v>30.451232383000001</v>
      </c>
      <c r="G609" s="14">
        <v>96</v>
      </c>
      <c r="H609" s="17">
        <v>18.920000000000002</v>
      </c>
      <c r="I609" s="17">
        <v>21.15</v>
      </c>
      <c r="J609" s="17">
        <v>21.35</v>
      </c>
      <c r="K609" s="17">
        <v>23.13</v>
      </c>
      <c r="L609" s="17">
        <v>23.79</v>
      </c>
      <c r="M609" s="17">
        <f t="shared" si="112"/>
        <v>2.2299999999999969</v>
      </c>
      <c r="N609" s="17">
        <f t="shared" si="113"/>
        <v>2.4299999999999997</v>
      </c>
      <c r="O609" s="17">
        <f t="shared" si="114"/>
        <v>4.2099999999999973</v>
      </c>
      <c r="P609" s="17">
        <f t="shared" si="115"/>
        <v>4.8699999999999974</v>
      </c>
      <c r="Q609" s="17">
        <f t="shared" si="116"/>
        <v>1.6677980409146522</v>
      </c>
      <c r="R609" s="17">
        <f t="shared" si="109"/>
        <v>0.45711874697279914</v>
      </c>
      <c r="S609" s="17">
        <f t="shared" si="110"/>
        <v>0.84841129600956222</v>
      </c>
      <c r="T609" s="17">
        <f t="shared" si="111"/>
        <v>0.13474935549383552</v>
      </c>
      <c r="U609" s="16">
        <v>7</v>
      </c>
      <c r="V609" s="16">
        <v>8</v>
      </c>
      <c r="W609" s="16">
        <v>8</v>
      </c>
      <c r="X609" s="16">
        <v>10</v>
      </c>
      <c r="Y609" s="15">
        <v>0.49399999999999999</v>
      </c>
      <c r="Z609" s="15">
        <v>0.59799999999999998</v>
      </c>
      <c r="AA609" s="15">
        <v>0.71099999999999997</v>
      </c>
      <c r="AB609" s="15">
        <v>0.79900000000000004</v>
      </c>
      <c r="AC609" s="3">
        <f t="shared" si="117"/>
        <v>0.41485453416448953</v>
      </c>
      <c r="AD609" s="3">
        <f t="shared" si="118"/>
        <v>0.26089651155554894</v>
      </c>
      <c r="AE609" s="3">
        <f t="shared" si="119"/>
        <v>0.26078486086437885</v>
      </c>
      <c r="AF609" s="3">
        <f t="shared" si="120"/>
        <v>0.18340089677250257</v>
      </c>
    </row>
    <row r="610" spans="1:32" x14ac:dyDescent="0.2">
      <c r="A610" s="30">
        <v>608</v>
      </c>
      <c r="B610" s="9" t="s">
        <v>888</v>
      </c>
      <c r="C610" s="12">
        <v>903125</v>
      </c>
      <c r="D610" s="13" t="s">
        <v>609</v>
      </c>
      <c r="E610" s="17">
        <v>-105.243358353</v>
      </c>
      <c r="F610" s="17">
        <v>21.582283199500001</v>
      </c>
      <c r="G610" s="14">
        <v>16</v>
      </c>
      <c r="H610" s="17">
        <v>25.28</v>
      </c>
      <c r="I610" s="17">
        <v>26.51</v>
      </c>
      <c r="J610" s="17">
        <v>27.17</v>
      </c>
      <c r="K610" s="17">
        <v>28.73</v>
      </c>
      <c r="L610" s="17">
        <v>29.79</v>
      </c>
      <c r="M610" s="17">
        <f t="shared" si="112"/>
        <v>1.2300000000000004</v>
      </c>
      <c r="N610" s="17">
        <f t="shared" si="113"/>
        <v>1.8900000000000006</v>
      </c>
      <c r="O610" s="17">
        <f t="shared" si="114"/>
        <v>3.4499999999999993</v>
      </c>
      <c r="P610" s="17">
        <f t="shared" si="115"/>
        <v>4.509999999999998</v>
      </c>
      <c r="Q610" s="17">
        <f t="shared" si="116"/>
        <v>0.44942850200528434</v>
      </c>
      <c r="R610" s="17">
        <f t="shared" si="109"/>
        <v>-0.30312528533826538</v>
      </c>
      <c r="S610" s="17">
        <f t="shared" si="110"/>
        <v>-3.4142035555470567E-2</v>
      </c>
      <c r="T610" s="17">
        <f t="shared" si="111"/>
        <v>-0.22963371116822093</v>
      </c>
      <c r="U610" s="16">
        <v>0</v>
      </c>
      <c r="V610" s="16">
        <v>0</v>
      </c>
      <c r="W610" s="16">
        <v>0</v>
      </c>
      <c r="X610" s="16">
        <v>0</v>
      </c>
      <c r="Y610" s="15">
        <v>0.55600000000000005</v>
      </c>
      <c r="Z610" s="15">
        <v>0.65600000000000003</v>
      </c>
      <c r="AA610" s="15">
        <v>0.77300000000000002</v>
      </c>
      <c r="AB610" s="15">
        <v>0.84799999999999998</v>
      </c>
      <c r="AC610" s="3">
        <f t="shared" si="117"/>
        <v>0.98777645380049683</v>
      </c>
      <c r="AD610" s="3">
        <f t="shared" si="118"/>
        <v>0.78135455605990045</v>
      </c>
      <c r="AE610" s="3">
        <f t="shared" si="119"/>
        <v>0.77124624062163472</v>
      </c>
      <c r="AF610" s="3">
        <f t="shared" si="120"/>
        <v>0.58591404301748684</v>
      </c>
    </row>
    <row r="611" spans="1:32" x14ac:dyDescent="0.2">
      <c r="A611" s="30">
        <v>609</v>
      </c>
      <c r="B611" s="9" t="s">
        <v>889</v>
      </c>
      <c r="C611" s="12">
        <v>903133</v>
      </c>
      <c r="D611" s="13" t="s">
        <v>610</v>
      </c>
      <c r="E611" s="17">
        <v>-64.4510398452</v>
      </c>
      <c r="F611" s="17">
        <v>45.7163938104</v>
      </c>
      <c r="G611" s="14">
        <v>26</v>
      </c>
      <c r="H611" s="17">
        <v>7.25</v>
      </c>
      <c r="I611" s="17">
        <v>8.24</v>
      </c>
      <c r="J611" s="17">
        <v>10.16</v>
      </c>
      <c r="K611" s="17">
        <v>11.89</v>
      </c>
      <c r="L611" s="17">
        <v>12.47</v>
      </c>
      <c r="M611" s="17">
        <f t="shared" si="112"/>
        <v>0.99000000000000021</v>
      </c>
      <c r="N611" s="17">
        <f t="shared" si="113"/>
        <v>2.91</v>
      </c>
      <c r="O611" s="17">
        <f t="shared" si="114"/>
        <v>4.6400000000000006</v>
      </c>
      <c r="P611" s="17">
        <f t="shared" si="115"/>
        <v>5.2200000000000006</v>
      </c>
      <c r="Q611" s="17">
        <f t="shared" si="116"/>
        <v>0.15701981266703477</v>
      </c>
      <c r="R611" s="17">
        <f t="shared" si="109"/>
        <v>1.1328912201381915</v>
      </c>
      <c r="S611" s="17">
        <f t="shared" si="110"/>
        <v>1.3477506809739939</v>
      </c>
      <c r="T611" s="17">
        <f t="shared" si="111"/>
        <v>0.489010670304172</v>
      </c>
      <c r="U611" s="16">
        <v>0</v>
      </c>
      <c r="V611" s="16">
        <v>0</v>
      </c>
      <c r="W611" s="16">
        <v>0</v>
      </c>
      <c r="X611" s="16">
        <v>0</v>
      </c>
      <c r="Y611" s="15">
        <v>0.66400000000000003</v>
      </c>
      <c r="Z611" s="15">
        <v>0.80600000000000005</v>
      </c>
      <c r="AA611" s="15">
        <v>0.91400000000000003</v>
      </c>
      <c r="AB611" s="15">
        <v>1.038</v>
      </c>
      <c r="AC611" s="3">
        <f t="shared" si="117"/>
        <v>1.9857694751019279</v>
      </c>
      <c r="AD611" s="3">
        <f t="shared" si="118"/>
        <v>2.1273667401228775</v>
      </c>
      <c r="AE611" s="3">
        <f t="shared" si="119"/>
        <v>1.9321342171663609</v>
      </c>
      <c r="AF611" s="3">
        <f t="shared" si="120"/>
        <v>2.1466793039674283</v>
      </c>
    </row>
    <row r="612" spans="1:32" x14ac:dyDescent="0.2">
      <c r="A612" s="30">
        <v>610</v>
      </c>
      <c r="B612" s="9" t="s">
        <v>1364</v>
      </c>
      <c r="C612" s="12">
        <v>903134</v>
      </c>
      <c r="D612" s="13" t="s">
        <v>611</v>
      </c>
      <c r="E612" s="17">
        <v>164.67756004099999</v>
      </c>
      <c r="F612" s="17">
        <v>-20.350434640700001</v>
      </c>
      <c r="G612" s="14">
        <v>13834</v>
      </c>
      <c r="H612" s="17">
        <v>22.54</v>
      </c>
      <c r="I612" s="17">
        <v>23.37</v>
      </c>
      <c r="J612" s="17">
        <v>24.33</v>
      </c>
      <c r="K612" s="17">
        <v>25.67</v>
      </c>
      <c r="L612" s="17">
        <v>26.22</v>
      </c>
      <c r="M612" s="17">
        <f t="shared" si="112"/>
        <v>0.83000000000000185</v>
      </c>
      <c r="N612" s="17">
        <f t="shared" si="113"/>
        <v>1.7899999999999991</v>
      </c>
      <c r="O612" s="17">
        <f t="shared" si="114"/>
        <v>3.1300000000000026</v>
      </c>
      <c r="P612" s="17">
        <f t="shared" si="115"/>
        <v>3.6799999999999997</v>
      </c>
      <c r="Q612" s="17">
        <f t="shared" si="116"/>
        <v>-3.7919313558462786E-2</v>
      </c>
      <c r="R612" s="17">
        <f t="shared" si="109"/>
        <v>-0.44391121724772398</v>
      </c>
      <c r="S612" s="17">
        <f t="shared" si="110"/>
        <v>-0.40574343831969206</v>
      </c>
      <c r="T612" s="17">
        <f t="shared" si="111"/>
        <v>-1.0697391148612951</v>
      </c>
      <c r="U612" s="16">
        <v>38</v>
      </c>
      <c r="V612" s="16">
        <v>69</v>
      </c>
      <c r="W612" s="16">
        <v>70</v>
      </c>
      <c r="X612" s="16">
        <v>87</v>
      </c>
      <c r="Y612" s="15">
        <v>0.45600000000000002</v>
      </c>
      <c r="Z612" s="15">
        <v>0.56100000000000005</v>
      </c>
      <c r="AA612" s="15">
        <v>0.72</v>
      </c>
      <c r="AB612" s="15">
        <v>0.81799999999999995</v>
      </c>
      <c r="AC612" s="3">
        <f t="shared" si="117"/>
        <v>6.3708841484356515E-2</v>
      </c>
      <c r="AD612" s="3">
        <f t="shared" si="118"/>
        <v>-7.1119827179984649E-2</v>
      </c>
      <c r="AE612" s="3">
        <f t="shared" si="119"/>
        <v>0.33488409340978692</v>
      </c>
      <c r="AF612" s="3">
        <f t="shared" si="120"/>
        <v>0.33947742286749588</v>
      </c>
    </row>
    <row r="613" spans="1:32" x14ac:dyDescent="0.2">
      <c r="A613" s="30">
        <v>611</v>
      </c>
      <c r="B613" s="9" t="s">
        <v>1200</v>
      </c>
      <c r="C613" s="12">
        <v>903138</v>
      </c>
      <c r="D613" s="13" t="s">
        <v>612</v>
      </c>
      <c r="E613" s="17">
        <v>53.680332302399997</v>
      </c>
      <c r="F613" s="17">
        <v>12.449094822599999</v>
      </c>
      <c r="G613" s="14">
        <v>1666</v>
      </c>
      <c r="H613" s="17">
        <v>25.52</v>
      </c>
      <c r="I613" s="17">
        <v>26.56</v>
      </c>
      <c r="J613" s="17">
        <v>27.57</v>
      </c>
      <c r="K613" s="17">
        <v>28.87</v>
      </c>
      <c r="L613" s="17">
        <v>30.18</v>
      </c>
      <c r="M613" s="17">
        <f t="shared" si="112"/>
        <v>1.0399999999999991</v>
      </c>
      <c r="N613" s="17">
        <f t="shared" si="113"/>
        <v>2.0500000000000007</v>
      </c>
      <c r="O613" s="17">
        <f t="shared" si="114"/>
        <v>3.3500000000000014</v>
      </c>
      <c r="P613" s="17">
        <f t="shared" si="115"/>
        <v>4.66</v>
      </c>
      <c r="Q613" s="17">
        <f t="shared" si="116"/>
        <v>0.21793828961250208</v>
      </c>
      <c r="R613" s="17">
        <f t="shared" si="109"/>
        <v>-7.7867794283134603E-2</v>
      </c>
      <c r="S613" s="17">
        <f t="shared" si="110"/>
        <v>-0.15026747391928849</v>
      </c>
      <c r="T613" s="17">
        <f t="shared" si="111"/>
        <v>-7.780743339236168E-2</v>
      </c>
      <c r="U613" s="16">
        <v>2</v>
      </c>
      <c r="V613" s="16">
        <v>2</v>
      </c>
      <c r="W613" s="16">
        <v>3</v>
      </c>
      <c r="X613" s="16">
        <v>4</v>
      </c>
      <c r="Y613" s="15">
        <v>0.47099999999999997</v>
      </c>
      <c r="Z613" s="15">
        <v>0.60599999999999998</v>
      </c>
      <c r="AA613" s="15">
        <v>0.76600000000000001</v>
      </c>
      <c r="AB613" s="15">
        <v>0.874</v>
      </c>
      <c r="AC613" s="3">
        <f t="shared" si="117"/>
        <v>0.20231898333177714</v>
      </c>
      <c r="AD613" s="3">
        <f t="shared" si="118"/>
        <v>0.33268382803890773</v>
      </c>
      <c r="AE613" s="3">
        <f t="shared" si="119"/>
        <v>0.71361350419742842</v>
      </c>
      <c r="AF613" s="3">
        <f t="shared" si="120"/>
        <v>0.79949244714747891</v>
      </c>
    </row>
    <row r="614" spans="1:32" x14ac:dyDescent="0.2">
      <c r="A614" s="30">
        <v>612</v>
      </c>
      <c r="B614" s="9" t="s">
        <v>890</v>
      </c>
      <c r="C614" s="12">
        <v>555512002</v>
      </c>
      <c r="D614" s="13" t="s">
        <v>613</v>
      </c>
      <c r="E614" s="17">
        <v>-172.73813974199999</v>
      </c>
      <c r="F614" s="17">
        <v>-3.8215351313900001</v>
      </c>
      <c r="G614" s="14">
        <v>1870</v>
      </c>
      <c r="H614" s="17">
        <v>26.29</v>
      </c>
      <c r="I614" s="17">
        <v>27.33</v>
      </c>
      <c r="J614" s="17">
        <v>28.19</v>
      </c>
      <c r="K614" s="17">
        <v>29.34</v>
      </c>
      <c r="L614" s="17">
        <v>30.7</v>
      </c>
      <c r="M614" s="17">
        <f t="shared" si="112"/>
        <v>1.0399999999999991</v>
      </c>
      <c r="N614" s="17">
        <f t="shared" si="113"/>
        <v>1.9000000000000021</v>
      </c>
      <c r="O614" s="17">
        <f t="shared" si="114"/>
        <v>3.0500000000000007</v>
      </c>
      <c r="P614" s="17">
        <f t="shared" si="115"/>
        <v>4.41</v>
      </c>
      <c r="Q614" s="17">
        <f t="shared" si="116"/>
        <v>0.21793828961250208</v>
      </c>
      <c r="R614" s="17">
        <f t="shared" si="109"/>
        <v>-0.28904669214731749</v>
      </c>
      <c r="S614" s="17">
        <f t="shared" si="110"/>
        <v>-0.49864378901075057</v>
      </c>
      <c r="T614" s="17">
        <f t="shared" si="111"/>
        <v>-0.33085122968545683</v>
      </c>
      <c r="U614" s="16">
        <v>0</v>
      </c>
      <c r="V614" s="16">
        <v>0</v>
      </c>
      <c r="W614" s="16">
        <v>0</v>
      </c>
      <c r="X614" s="16">
        <v>0</v>
      </c>
      <c r="Y614" s="15">
        <v>0.45200000000000001</v>
      </c>
      <c r="Z614" s="15">
        <v>0.56699999999999995</v>
      </c>
      <c r="AA614" s="15">
        <v>0.67600000000000005</v>
      </c>
      <c r="AB614" s="15">
        <v>0.752</v>
      </c>
      <c r="AC614" s="3">
        <f t="shared" si="117"/>
        <v>2.6746136991710887E-2</v>
      </c>
      <c r="AD614" s="3">
        <f t="shared" si="118"/>
        <v>-1.7279339817466523E-2</v>
      </c>
      <c r="AE614" s="3">
        <f t="shared" si="119"/>
        <v>-2.7378821256651791E-2</v>
      </c>
      <c r="AF614" s="3">
        <f t="shared" si="120"/>
        <v>-0.20268314146248323</v>
      </c>
    </row>
    <row r="615" spans="1:32" x14ac:dyDescent="0.2">
      <c r="A615" s="30">
        <v>613</v>
      </c>
      <c r="B615" s="9" t="s">
        <v>1365</v>
      </c>
      <c r="C615" s="12">
        <v>555542338</v>
      </c>
      <c r="D615" s="13" t="s">
        <v>614</v>
      </c>
      <c r="E615" s="17">
        <v>113.801835854</v>
      </c>
      <c r="F615" s="17">
        <v>-22.550657117899998</v>
      </c>
      <c r="G615" s="14">
        <v>6999</v>
      </c>
      <c r="H615" s="17">
        <v>24.6</v>
      </c>
      <c r="I615" s="17">
        <v>26.57</v>
      </c>
      <c r="J615" s="17">
        <v>27.08</v>
      </c>
      <c r="K615" s="17">
        <v>28.22</v>
      </c>
      <c r="L615" s="17">
        <v>29.04</v>
      </c>
      <c r="M615" s="17">
        <f t="shared" si="112"/>
        <v>1.9699999999999989</v>
      </c>
      <c r="N615" s="17">
        <f t="shared" si="113"/>
        <v>2.4799999999999969</v>
      </c>
      <c r="O615" s="17">
        <f t="shared" si="114"/>
        <v>3.6199999999999974</v>
      </c>
      <c r="P615" s="17">
        <f t="shared" si="115"/>
        <v>4.4399999999999977</v>
      </c>
      <c r="Q615" s="17">
        <f t="shared" si="116"/>
        <v>1.3510219607982179</v>
      </c>
      <c r="R615" s="17">
        <f t="shared" si="109"/>
        <v>0.52751171292752341</v>
      </c>
      <c r="S615" s="17">
        <f t="shared" si="110"/>
        <v>0.163271209663022</v>
      </c>
      <c r="T615" s="17">
        <f t="shared" si="111"/>
        <v>-0.30048597413028788</v>
      </c>
      <c r="U615" s="16">
        <v>7</v>
      </c>
      <c r="V615" s="16">
        <v>10</v>
      </c>
      <c r="W615" s="16">
        <v>11</v>
      </c>
      <c r="X615" s="16">
        <v>15</v>
      </c>
      <c r="Y615" s="15">
        <v>0.47799999999999998</v>
      </c>
      <c r="Z615" s="15">
        <v>0.57799999999999996</v>
      </c>
      <c r="AA615" s="15">
        <v>0.68700000000000006</v>
      </c>
      <c r="AB615" s="15">
        <v>0.78400000000000003</v>
      </c>
      <c r="AC615" s="3">
        <f t="shared" si="117"/>
        <v>0.267003716193907</v>
      </c>
      <c r="AD615" s="3">
        <f t="shared" si="118"/>
        <v>8.1428220347151858E-2</v>
      </c>
      <c r="AE615" s="3">
        <f t="shared" si="119"/>
        <v>6.3186907409958123E-2</v>
      </c>
      <c r="AF615" s="3">
        <f t="shared" si="120"/>
        <v>6.0182586697507104E-2</v>
      </c>
    </row>
    <row r="616" spans="1:32" x14ac:dyDescent="0.2">
      <c r="A616" s="30">
        <v>614</v>
      </c>
      <c r="B616" s="9" t="s">
        <v>1201</v>
      </c>
      <c r="C616" s="12">
        <v>555542446</v>
      </c>
      <c r="D616" s="13" t="s">
        <v>615</v>
      </c>
      <c r="E616" s="17">
        <v>53.265264755499999</v>
      </c>
      <c r="F616" s="17">
        <v>24.363547290100001</v>
      </c>
      <c r="G616" s="14">
        <v>4381</v>
      </c>
      <c r="H616" s="17">
        <v>25.18</v>
      </c>
      <c r="I616" s="17">
        <v>27.06</v>
      </c>
      <c r="J616" s="17">
        <v>27.43</v>
      </c>
      <c r="K616" s="17">
        <v>29.42</v>
      </c>
      <c r="L616" s="17">
        <v>31.4</v>
      </c>
      <c r="M616" s="17">
        <f t="shared" si="112"/>
        <v>1.879999999999999</v>
      </c>
      <c r="N616" s="17">
        <f t="shared" si="113"/>
        <v>2.25</v>
      </c>
      <c r="O616" s="17">
        <f t="shared" si="114"/>
        <v>4.240000000000002</v>
      </c>
      <c r="P616" s="17">
        <f t="shared" si="115"/>
        <v>6.2199999999999989</v>
      </c>
      <c r="Q616" s="17">
        <f t="shared" si="116"/>
        <v>1.2413687022963744</v>
      </c>
      <c r="R616" s="17">
        <f t="shared" si="109"/>
        <v>0.20370406953577763</v>
      </c>
      <c r="S616" s="17">
        <f t="shared" si="110"/>
        <v>0.88324892751871387</v>
      </c>
      <c r="T616" s="17">
        <f t="shared" si="111"/>
        <v>1.5011858554765509</v>
      </c>
      <c r="U616" s="16">
        <v>43</v>
      </c>
      <c r="V616" s="16">
        <v>51</v>
      </c>
      <c r="W616" s="16">
        <v>60</v>
      </c>
      <c r="X616" s="16">
        <v>65</v>
      </c>
      <c r="Y616" s="15">
        <v>0.372</v>
      </c>
      <c r="Z616" s="15">
        <v>0.497</v>
      </c>
      <c r="AA616" s="15">
        <v>0.63400000000000001</v>
      </c>
      <c r="AB616" s="15">
        <v>0.749</v>
      </c>
      <c r="AC616" s="3">
        <f t="shared" si="117"/>
        <v>-0.71250795286120128</v>
      </c>
      <c r="AD616" s="3">
        <f t="shared" si="118"/>
        <v>-0.64541835904685529</v>
      </c>
      <c r="AE616" s="3">
        <f t="shared" si="119"/>
        <v>-0.37317523980188966</v>
      </c>
      <c r="AF616" s="3">
        <f t="shared" si="120"/>
        <v>-0.2273268034774823</v>
      </c>
    </row>
    <row r="617" spans="1:32" x14ac:dyDescent="0.2">
      <c r="A617" s="30">
        <v>615</v>
      </c>
      <c r="B617" s="9" t="s">
        <v>1202</v>
      </c>
      <c r="C617" s="12">
        <v>555542688</v>
      </c>
      <c r="D617" s="13" t="s">
        <v>616</v>
      </c>
      <c r="E617" s="17">
        <v>8.7472366998400002</v>
      </c>
      <c r="F617" s="17">
        <v>4.6092558625500004</v>
      </c>
      <c r="G617" s="14">
        <v>547</v>
      </c>
      <c r="H617" s="17">
        <v>24.91</v>
      </c>
      <c r="I617" s="17">
        <v>26.26</v>
      </c>
      <c r="J617" s="17">
        <v>27.3</v>
      </c>
      <c r="K617" s="17">
        <v>28.6</v>
      </c>
      <c r="L617" s="17">
        <v>29.73</v>
      </c>
      <c r="M617" s="17">
        <f t="shared" si="112"/>
        <v>1.3500000000000014</v>
      </c>
      <c r="N617" s="17">
        <f t="shared" si="113"/>
        <v>2.3900000000000006</v>
      </c>
      <c r="O617" s="17">
        <f t="shared" si="114"/>
        <v>3.6900000000000013</v>
      </c>
      <c r="P617" s="17">
        <f t="shared" si="115"/>
        <v>4.82</v>
      </c>
      <c r="Q617" s="17">
        <f t="shared" si="116"/>
        <v>0.59563284667441019</v>
      </c>
      <c r="R617" s="17">
        <f t="shared" si="109"/>
        <v>0.40080437420901766</v>
      </c>
      <c r="S617" s="17">
        <f t="shared" si="110"/>
        <v>0.24455901651770073</v>
      </c>
      <c r="T617" s="17">
        <f t="shared" si="111"/>
        <v>8.4140596235219356E-2</v>
      </c>
      <c r="U617" s="16">
        <v>9</v>
      </c>
      <c r="V617" s="16">
        <v>12</v>
      </c>
      <c r="W617" s="16">
        <v>13</v>
      </c>
      <c r="X617" s="16">
        <v>16</v>
      </c>
      <c r="Y617" s="15">
        <v>0.45</v>
      </c>
      <c r="Z617" s="15">
        <v>0.58199999999999996</v>
      </c>
      <c r="AA617" s="15">
        <v>0.72299999999999998</v>
      </c>
      <c r="AB617" s="15">
        <v>0.82199999999999995</v>
      </c>
      <c r="AC617" s="3">
        <f t="shared" si="117"/>
        <v>8.2647847453880714E-3</v>
      </c>
      <c r="AD617" s="3">
        <f t="shared" si="118"/>
        <v>0.11732187858883128</v>
      </c>
      <c r="AE617" s="3">
        <f t="shared" si="119"/>
        <v>0.35958383759158963</v>
      </c>
      <c r="AF617" s="3">
        <f t="shared" si="120"/>
        <v>0.37233563888749471</v>
      </c>
    </row>
    <row r="618" spans="1:32" x14ac:dyDescent="0.2">
      <c r="A618" s="30">
        <v>616</v>
      </c>
      <c r="B618" s="9" t="s">
        <v>1203</v>
      </c>
      <c r="C618" s="12">
        <v>555542722</v>
      </c>
      <c r="D618" s="13" t="s">
        <v>617</v>
      </c>
      <c r="E618" s="17">
        <v>55.330574533399997</v>
      </c>
      <c r="F618" s="17">
        <v>25.196264458000002</v>
      </c>
      <c r="G618" s="14">
        <v>11</v>
      </c>
      <c r="H618" s="17">
        <v>25.2</v>
      </c>
      <c r="I618" s="17">
        <v>26.93</v>
      </c>
      <c r="J618" s="17">
        <v>27.71</v>
      </c>
      <c r="K618" s="17">
        <v>29.99</v>
      </c>
      <c r="L618" s="17">
        <v>32.14</v>
      </c>
      <c r="M618" s="17">
        <f t="shared" si="112"/>
        <v>1.7300000000000004</v>
      </c>
      <c r="N618" s="17">
        <f t="shared" si="113"/>
        <v>2.5100000000000016</v>
      </c>
      <c r="O618" s="17">
        <f t="shared" si="114"/>
        <v>4.7899999999999991</v>
      </c>
      <c r="P618" s="17">
        <f t="shared" si="115"/>
        <v>6.9400000000000013</v>
      </c>
      <c r="Q618" s="17">
        <f t="shared" si="116"/>
        <v>1.0586132714599703</v>
      </c>
      <c r="R618" s="17">
        <f t="shared" si="109"/>
        <v>0.56974749250036705</v>
      </c>
      <c r="S618" s="17">
        <f t="shared" si="110"/>
        <v>1.5219388385197228</v>
      </c>
      <c r="T618" s="17">
        <f t="shared" si="111"/>
        <v>2.2299519888006674</v>
      </c>
      <c r="U618" s="16">
        <v>1</v>
      </c>
      <c r="V618" s="16">
        <v>2</v>
      </c>
      <c r="W618" s="16">
        <v>2</v>
      </c>
      <c r="X618" s="16">
        <v>2</v>
      </c>
      <c r="Y618" s="15">
        <v>0.35399999999999998</v>
      </c>
      <c r="Z618" s="15">
        <v>0.48</v>
      </c>
      <c r="AA618" s="15">
        <v>0.61399999999999999</v>
      </c>
      <c r="AB618" s="15">
        <v>0.73099999999999998</v>
      </c>
      <c r="AC618" s="3">
        <f t="shared" si="117"/>
        <v>-0.87884012307810666</v>
      </c>
      <c r="AD618" s="3">
        <f t="shared" si="118"/>
        <v>-0.79796640657399276</v>
      </c>
      <c r="AE618" s="3">
        <f t="shared" si="119"/>
        <v>-0.53784020101390762</v>
      </c>
      <c r="AF618" s="3">
        <f t="shared" si="120"/>
        <v>-0.37518877556747687</v>
      </c>
    </row>
    <row r="619" spans="1:32" x14ac:dyDescent="0.2">
      <c r="A619" s="30">
        <v>617</v>
      </c>
      <c r="B619" s="9" t="s">
        <v>891</v>
      </c>
      <c r="C619" s="12">
        <v>555542744</v>
      </c>
      <c r="D619" s="13" t="s">
        <v>618</v>
      </c>
      <c r="E619" s="17">
        <v>-84.139446602199996</v>
      </c>
      <c r="F619" s="17">
        <v>10.6935034361</v>
      </c>
      <c r="G619" s="14">
        <v>47</v>
      </c>
      <c r="H619" s="17">
        <v>23.56</v>
      </c>
      <c r="I619" s="17">
        <v>24.18</v>
      </c>
      <c r="J619" s="17">
        <v>25.79</v>
      </c>
      <c r="K619" s="17">
        <v>26.82</v>
      </c>
      <c r="L619" s="17">
        <v>28.29</v>
      </c>
      <c r="M619" s="17">
        <f t="shared" si="112"/>
        <v>0.62000000000000099</v>
      </c>
      <c r="N619" s="17">
        <f t="shared" si="113"/>
        <v>2.2300000000000004</v>
      </c>
      <c r="O619" s="17">
        <f t="shared" si="114"/>
        <v>3.2600000000000016</v>
      </c>
      <c r="P619" s="17">
        <f t="shared" si="115"/>
        <v>4.7300000000000004</v>
      </c>
      <c r="Q619" s="17">
        <f t="shared" si="116"/>
        <v>-0.29377691672943196</v>
      </c>
      <c r="R619" s="17">
        <f t="shared" si="109"/>
        <v>0.17554688315388689</v>
      </c>
      <c r="S619" s="17">
        <f t="shared" si="110"/>
        <v>-0.25478036844672669</v>
      </c>
      <c r="T619" s="17">
        <f t="shared" si="111"/>
        <v>-6.9551704302947522E-3</v>
      </c>
      <c r="U619" s="16">
        <v>0</v>
      </c>
      <c r="V619" s="16">
        <v>0</v>
      </c>
      <c r="W619" s="16">
        <v>0</v>
      </c>
      <c r="X619" s="16">
        <v>0</v>
      </c>
      <c r="Y619" s="15">
        <v>0.52</v>
      </c>
      <c r="Z619" s="15">
        <v>0.65</v>
      </c>
      <c r="AA619" s="15">
        <v>0.77400000000000002</v>
      </c>
      <c r="AB619" s="15">
        <v>0.86599999999999999</v>
      </c>
      <c r="AC619" s="3">
        <f t="shared" si="117"/>
        <v>0.65511211336668618</v>
      </c>
      <c r="AD619" s="3">
        <f t="shared" si="118"/>
        <v>0.72751406869738133</v>
      </c>
      <c r="AE619" s="3">
        <f t="shared" si="119"/>
        <v>0.7794794886822356</v>
      </c>
      <c r="AF619" s="3">
        <f t="shared" si="120"/>
        <v>0.73377601510748136</v>
      </c>
    </row>
    <row r="620" spans="1:32" x14ac:dyDescent="0.2">
      <c r="A620" s="30">
        <v>618</v>
      </c>
      <c r="B620" s="9" t="s">
        <v>892</v>
      </c>
      <c r="C620" s="12">
        <v>555542754</v>
      </c>
      <c r="D620" s="13" t="s">
        <v>619</v>
      </c>
      <c r="E620" s="17">
        <v>-112.237442926</v>
      </c>
      <c r="F620" s="17">
        <v>29.1775319055</v>
      </c>
      <c r="G620" s="14">
        <v>488</v>
      </c>
      <c r="H620" s="17">
        <v>22.24</v>
      </c>
      <c r="I620" s="17">
        <v>23.79</v>
      </c>
      <c r="J620" s="17">
        <v>25.09</v>
      </c>
      <c r="K620" s="17">
        <v>26.25</v>
      </c>
      <c r="L620" s="17">
        <v>27.71</v>
      </c>
      <c r="M620" s="17">
        <f t="shared" si="112"/>
        <v>1.5500000000000007</v>
      </c>
      <c r="N620" s="17">
        <f t="shared" si="113"/>
        <v>2.8500000000000014</v>
      </c>
      <c r="O620" s="17">
        <f t="shared" si="114"/>
        <v>4.0100000000000016</v>
      </c>
      <c r="P620" s="17">
        <f t="shared" si="115"/>
        <v>5.4700000000000024</v>
      </c>
      <c r="Q620" s="17">
        <f t="shared" si="116"/>
        <v>0.83930675445628378</v>
      </c>
      <c r="R620" s="17">
        <f t="shared" si="109"/>
        <v>1.0484196609925194</v>
      </c>
      <c r="S620" s="17">
        <f t="shared" si="110"/>
        <v>0.61616041928192633</v>
      </c>
      <c r="T620" s="17">
        <f t="shared" si="111"/>
        <v>0.74205446659726892</v>
      </c>
      <c r="U620" s="16">
        <v>15</v>
      </c>
      <c r="V620" s="16">
        <v>15</v>
      </c>
      <c r="W620" s="16">
        <v>15</v>
      </c>
      <c r="X620" s="16">
        <v>19</v>
      </c>
      <c r="Y620" s="15">
        <v>0.51800000000000002</v>
      </c>
      <c r="Z620" s="15">
        <v>0.61699999999999999</v>
      </c>
      <c r="AA620" s="15">
        <v>0.72399999999999998</v>
      </c>
      <c r="AB620" s="15">
        <v>0.80700000000000005</v>
      </c>
      <c r="AC620" s="3">
        <f t="shared" si="117"/>
        <v>0.63663076112036332</v>
      </c>
      <c r="AD620" s="3">
        <f t="shared" si="118"/>
        <v>0.43139138820352613</v>
      </c>
      <c r="AE620" s="3">
        <f t="shared" si="119"/>
        <v>0.36781708565219057</v>
      </c>
      <c r="AF620" s="3">
        <f t="shared" si="120"/>
        <v>0.24911732881250015</v>
      </c>
    </row>
    <row r="621" spans="1:32" s="29" customFormat="1" x14ac:dyDescent="0.2">
      <c r="A621" s="30">
        <v>619</v>
      </c>
      <c r="B621" s="9" t="s">
        <v>893</v>
      </c>
      <c r="C621" s="24">
        <v>555542782</v>
      </c>
      <c r="D621" s="25" t="s">
        <v>620</v>
      </c>
      <c r="E621" s="26">
        <v>-58.307347301999997</v>
      </c>
      <c r="F621" s="26">
        <v>-31.879448483600001</v>
      </c>
      <c r="G621" s="27">
        <v>73</v>
      </c>
      <c r="H621" s="26">
        <v>17.64</v>
      </c>
      <c r="I621" s="26">
        <v>20.53</v>
      </c>
      <c r="J621" s="26">
        <v>20.05</v>
      </c>
      <c r="K621" s="26">
        <v>22.64</v>
      </c>
      <c r="L621" s="26">
        <v>22.97</v>
      </c>
      <c r="M621" s="17">
        <f t="shared" si="112"/>
        <v>2.8900000000000006</v>
      </c>
      <c r="N621" s="17">
        <f t="shared" si="113"/>
        <v>2.41</v>
      </c>
      <c r="O621" s="17">
        <f t="shared" si="114"/>
        <v>5</v>
      </c>
      <c r="P621" s="17">
        <f t="shared" si="115"/>
        <v>5.3299999999999983</v>
      </c>
      <c r="Q621" s="17">
        <f t="shared" si="116"/>
        <v>2.4719219365948426</v>
      </c>
      <c r="R621" s="17">
        <f t="shared" si="109"/>
        <v>0.4289615605909084</v>
      </c>
      <c r="S621" s="17">
        <f t="shared" si="110"/>
        <v>1.7658022590837466</v>
      </c>
      <c r="T621" s="17">
        <f t="shared" si="111"/>
        <v>0.60034994067313152</v>
      </c>
      <c r="U621" s="28">
        <v>0</v>
      </c>
      <c r="V621" s="28">
        <v>0</v>
      </c>
      <c r="W621" s="28">
        <v>0</v>
      </c>
      <c r="X621" s="28">
        <v>0</v>
      </c>
      <c r="Y621" s="39">
        <v>0</v>
      </c>
      <c r="Z621" s="39">
        <v>0</v>
      </c>
      <c r="AA621" s="39">
        <v>0</v>
      </c>
      <c r="AB621" s="39">
        <v>0</v>
      </c>
      <c r="AC621" s="3">
        <f t="shared" si="117"/>
        <v>-4.1500394706772425</v>
      </c>
      <c r="AD621" s="3">
        <f t="shared" si="118"/>
        <v>-5.1052053955755179</v>
      </c>
      <c r="AE621" s="3">
        <f t="shared" si="119"/>
        <v>-5.5930545102228564</v>
      </c>
      <c r="AF621" s="3">
        <f t="shared" si="120"/>
        <v>-6.38002775322225</v>
      </c>
    </row>
    <row r="622" spans="1:32" x14ac:dyDescent="0.2">
      <c r="A622" s="30">
        <v>620</v>
      </c>
      <c r="B622" s="9" t="s">
        <v>894</v>
      </c>
      <c r="C622" s="12">
        <v>555542783</v>
      </c>
      <c r="D622" s="13" t="s">
        <v>621</v>
      </c>
      <c r="E622" s="17">
        <v>-86.799056576699996</v>
      </c>
      <c r="F622" s="17">
        <v>20.595647988700001</v>
      </c>
      <c r="G622" s="14">
        <v>398</v>
      </c>
      <c r="H622" s="17">
        <v>24.34</v>
      </c>
      <c r="I622" s="17">
        <v>25.28</v>
      </c>
      <c r="J622" s="17">
        <v>26.36</v>
      </c>
      <c r="K622" s="17">
        <v>27.65</v>
      </c>
      <c r="L622" s="17">
        <v>28.71</v>
      </c>
      <c r="M622" s="17">
        <f t="shared" si="112"/>
        <v>0.94000000000000128</v>
      </c>
      <c r="N622" s="17">
        <f t="shared" si="113"/>
        <v>2.0199999999999996</v>
      </c>
      <c r="O622" s="17">
        <f t="shared" si="114"/>
        <v>3.3099999999999987</v>
      </c>
      <c r="P622" s="17">
        <f t="shared" si="115"/>
        <v>4.370000000000001</v>
      </c>
      <c r="Q622" s="17">
        <f t="shared" si="116"/>
        <v>9.6101335721567455E-2</v>
      </c>
      <c r="R622" s="17">
        <f t="shared" si="109"/>
        <v>-0.12010357385597319</v>
      </c>
      <c r="S622" s="17">
        <f t="shared" si="110"/>
        <v>-0.1967176492648198</v>
      </c>
      <c r="T622" s="17">
        <f t="shared" si="111"/>
        <v>-0.3713382370923512</v>
      </c>
      <c r="U622" s="16">
        <v>9</v>
      </c>
      <c r="V622" s="16">
        <v>12</v>
      </c>
      <c r="W622" s="16">
        <v>14</v>
      </c>
      <c r="X622" s="16">
        <v>16</v>
      </c>
      <c r="Y622" s="15">
        <v>0.66200000000000003</v>
      </c>
      <c r="Z622" s="15">
        <v>0.79</v>
      </c>
      <c r="AA622" s="15">
        <v>0.90600000000000003</v>
      </c>
      <c r="AB622" s="15">
        <v>0.998</v>
      </c>
      <c r="AC622" s="3">
        <f t="shared" si="117"/>
        <v>1.9672881228556052</v>
      </c>
      <c r="AD622" s="3">
        <f t="shared" si="118"/>
        <v>1.9837921071561597</v>
      </c>
      <c r="AE622" s="3">
        <f t="shared" si="119"/>
        <v>1.8662682326815536</v>
      </c>
      <c r="AF622" s="3">
        <f t="shared" si="120"/>
        <v>1.8180971437674405</v>
      </c>
    </row>
    <row r="623" spans="1:32" x14ac:dyDescent="0.2">
      <c r="A623" s="30">
        <v>621</v>
      </c>
      <c r="B623" s="9" t="s">
        <v>895</v>
      </c>
      <c r="C623" s="12">
        <v>555542809</v>
      </c>
      <c r="D623" s="13" t="s">
        <v>622</v>
      </c>
      <c r="E623" s="17">
        <v>-88.871749326100002</v>
      </c>
      <c r="F623" s="17">
        <v>13.3291829261</v>
      </c>
      <c r="G623" s="14">
        <v>270</v>
      </c>
      <c r="H623" s="17">
        <v>26.25</v>
      </c>
      <c r="I623" s="17">
        <v>27.19</v>
      </c>
      <c r="J623" s="17">
        <v>28.47</v>
      </c>
      <c r="K623" s="17">
        <v>29.95</v>
      </c>
      <c r="L623" s="17">
        <v>30.59</v>
      </c>
      <c r="M623" s="17">
        <f t="shared" si="112"/>
        <v>0.94000000000000128</v>
      </c>
      <c r="N623" s="17">
        <f t="shared" si="113"/>
        <v>2.2199999999999989</v>
      </c>
      <c r="O623" s="17">
        <f t="shared" si="114"/>
        <v>3.6999999999999993</v>
      </c>
      <c r="P623" s="17">
        <f t="shared" si="115"/>
        <v>4.34</v>
      </c>
      <c r="Q623" s="17">
        <f t="shared" si="116"/>
        <v>9.6101335721567455E-2</v>
      </c>
      <c r="R623" s="17">
        <f t="shared" si="109"/>
        <v>0.16146828996293905</v>
      </c>
      <c r="S623" s="17">
        <f t="shared" si="110"/>
        <v>0.25617156035408045</v>
      </c>
      <c r="T623" s="17">
        <f t="shared" si="111"/>
        <v>-0.40170349264752375</v>
      </c>
      <c r="U623" s="16">
        <v>0</v>
      </c>
      <c r="V623" s="16">
        <v>0</v>
      </c>
      <c r="W623" s="16">
        <v>2</v>
      </c>
      <c r="X623" s="16">
        <v>3</v>
      </c>
      <c r="Y623" s="15">
        <v>0.495</v>
      </c>
      <c r="Z623" s="15">
        <v>0.60099999999999998</v>
      </c>
      <c r="AA623" s="15">
        <v>0.73399999999999999</v>
      </c>
      <c r="AB623" s="15">
        <v>0.80800000000000005</v>
      </c>
      <c r="AC623" s="3">
        <f t="shared" si="117"/>
        <v>0.42409521028765096</v>
      </c>
      <c r="AD623" s="3">
        <f t="shared" si="118"/>
        <v>0.2878167552368085</v>
      </c>
      <c r="AE623" s="3">
        <f t="shared" si="119"/>
        <v>0.45014956625819957</v>
      </c>
      <c r="AF623" s="3">
        <f t="shared" si="120"/>
        <v>0.25733188281749986</v>
      </c>
    </row>
    <row r="624" spans="1:32" x14ac:dyDescent="0.2">
      <c r="A624" s="30">
        <v>622</v>
      </c>
      <c r="B624" s="9" t="s">
        <v>1366</v>
      </c>
      <c r="C624" s="12">
        <v>555543046</v>
      </c>
      <c r="D624" s="13" t="s">
        <v>623</v>
      </c>
      <c r="E624" s="17">
        <v>126.187270109</v>
      </c>
      <c r="F624" s="17">
        <v>34.9616324713</v>
      </c>
      <c r="G624" s="14">
        <v>82</v>
      </c>
      <c r="H624" s="17">
        <v>12.09</v>
      </c>
      <c r="I624" s="17">
        <v>13.67</v>
      </c>
      <c r="J624" s="17">
        <v>15.13</v>
      </c>
      <c r="K624" s="17">
        <v>16.39</v>
      </c>
      <c r="L624" s="17">
        <v>18.38</v>
      </c>
      <c r="M624" s="17">
        <f t="shared" si="112"/>
        <v>1.58</v>
      </c>
      <c r="N624" s="17">
        <f t="shared" si="113"/>
        <v>3.0400000000000009</v>
      </c>
      <c r="O624" s="17">
        <f t="shared" si="114"/>
        <v>4.3000000000000007</v>
      </c>
      <c r="P624" s="17">
        <f t="shared" si="115"/>
        <v>6.2899999999999991</v>
      </c>
      <c r="Q624" s="17">
        <f t="shared" si="116"/>
        <v>0.8758578406235642</v>
      </c>
      <c r="R624" s="17">
        <f t="shared" si="109"/>
        <v>1.3159129316204861</v>
      </c>
      <c r="S624" s="17">
        <f t="shared" si="110"/>
        <v>0.95292419053700461</v>
      </c>
      <c r="T624" s="17">
        <f t="shared" si="111"/>
        <v>1.5720381184386178</v>
      </c>
      <c r="U624" s="16">
        <v>5</v>
      </c>
      <c r="V624" s="16">
        <v>5</v>
      </c>
      <c r="W624" s="16">
        <v>5</v>
      </c>
      <c r="X624" s="16">
        <v>5</v>
      </c>
      <c r="Y624" s="15">
        <v>0.51800000000000002</v>
      </c>
      <c r="Z624" s="15">
        <v>0.64300000000000002</v>
      </c>
      <c r="AA624" s="15">
        <v>0.79049999999999998</v>
      </c>
      <c r="AB624" s="15">
        <v>0.90449999999999997</v>
      </c>
      <c r="AC624" s="3">
        <f t="shared" si="117"/>
        <v>0.63663076112036332</v>
      </c>
      <c r="AD624" s="3">
        <f t="shared" si="118"/>
        <v>0.66470016677444232</v>
      </c>
      <c r="AE624" s="3">
        <f t="shared" si="119"/>
        <v>0.91532808168214996</v>
      </c>
      <c r="AF624" s="3">
        <f t="shared" si="120"/>
        <v>1.0500363442999692</v>
      </c>
    </row>
    <row r="625" spans="1:32" x14ac:dyDescent="0.2">
      <c r="A625" s="30">
        <v>623</v>
      </c>
      <c r="B625" s="9" t="s">
        <v>1204</v>
      </c>
      <c r="C625" s="12">
        <v>555543059</v>
      </c>
      <c r="D625" s="13" t="s">
        <v>624</v>
      </c>
      <c r="E625" s="17">
        <v>24.530185009</v>
      </c>
      <c r="F625" s="17">
        <v>58.163940755200002</v>
      </c>
      <c r="G625" s="14">
        <v>61</v>
      </c>
      <c r="H625" s="17">
        <v>6.39</v>
      </c>
      <c r="I625" s="17">
        <v>7.06</v>
      </c>
      <c r="J625" s="17">
        <v>9.8000000000000007</v>
      </c>
      <c r="K625" s="17">
        <v>12.35</v>
      </c>
      <c r="L625" s="17">
        <v>12.11</v>
      </c>
      <c r="M625" s="17">
        <f t="shared" si="112"/>
        <v>0.66999999999999993</v>
      </c>
      <c r="N625" s="17">
        <f t="shared" si="113"/>
        <v>3.410000000000001</v>
      </c>
      <c r="O625" s="17">
        <f t="shared" si="114"/>
        <v>5.96</v>
      </c>
      <c r="P625" s="17">
        <f t="shared" si="115"/>
        <v>5.72</v>
      </c>
      <c r="Q625" s="17">
        <f t="shared" si="116"/>
        <v>-0.23285843978396467</v>
      </c>
      <c r="R625" s="17">
        <f t="shared" si="109"/>
        <v>1.8368208796854757</v>
      </c>
      <c r="S625" s="17">
        <f t="shared" si="110"/>
        <v>2.8806064673764227</v>
      </c>
      <c r="T625" s="17">
        <f t="shared" si="111"/>
        <v>0.99509826289036141</v>
      </c>
      <c r="U625" s="16">
        <v>1</v>
      </c>
      <c r="V625" s="16">
        <v>2</v>
      </c>
      <c r="W625" s="16">
        <v>2</v>
      </c>
      <c r="X625" s="16">
        <v>2</v>
      </c>
      <c r="Y625" s="15">
        <v>0.38</v>
      </c>
      <c r="Z625" s="15">
        <v>0.52600000000000002</v>
      </c>
      <c r="AA625" s="15">
        <v>0.61599999999999999</v>
      </c>
      <c r="AB625" s="15">
        <v>0.74199999999999999</v>
      </c>
      <c r="AC625" s="3">
        <f t="shared" si="117"/>
        <v>-0.63858254387590996</v>
      </c>
      <c r="AD625" s="3">
        <f t="shared" si="118"/>
        <v>-0.38518933679467948</v>
      </c>
      <c r="AE625" s="3">
        <f t="shared" si="119"/>
        <v>-0.52137370489270585</v>
      </c>
      <c r="AF625" s="3">
        <f t="shared" si="120"/>
        <v>-0.2848286815124802</v>
      </c>
    </row>
    <row r="626" spans="1:32" x14ac:dyDescent="0.2">
      <c r="A626" s="30">
        <v>624</v>
      </c>
      <c r="B626" s="9" t="s">
        <v>1205</v>
      </c>
      <c r="C626" s="12">
        <v>555543070</v>
      </c>
      <c r="D626" s="13" t="s">
        <v>625</v>
      </c>
      <c r="E626" s="17">
        <v>9.0253275951000003</v>
      </c>
      <c r="F626" s="17">
        <v>36.997874188300003</v>
      </c>
      <c r="G626" s="14">
        <v>70</v>
      </c>
      <c r="H626" s="17">
        <v>16.79</v>
      </c>
      <c r="I626" s="17">
        <v>18.46</v>
      </c>
      <c r="J626" s="17">
        <v>20.04</v>
      </c>
      <c r="K626" s="17">
        <v>21.88</v>
      </c>
      <c r="L626" s="17">
        <v>23.6</v>
      </c>
      <c r="M626" s="17">
        <f t="shared" si="112"/>
        <v>1.6700000000000017</v>
      </c>
      <c r="N626" s="17">
        <f t="shared" si="113"/>
        <v>3.25</v>
      </c>
      <c r="O626" s="17">
        <f t="shared" si="114"/>
        <v>5.09</v>
      </c>
      <c r="P626" s="17">
        <f t="shared" si="115"/>
        <v>6.8100000000000023</v>
      </c>
      <c r="Q626" s="17">
        <f t="shared" si="116"/>
        <v>0.98551109912540968</v>
      </c>
      <c r="R626" s="17">
        <f t="shared" si="109"/>
        <v>1.6115633886303438</v>
      </c>
      <c r="S626" s="17">
        <f t="shared" si="110"/>
        <v>1.8703151536111848</v>
      </c>
      <c r="T626" s="17">
        <f t="shared" si="111"/>
        <v>2.0983692147282587</v>
      </c>
      <c r="U626" s="16">
        <v>0</v>
      </c>
      <c r="V626" s="16">
        <v>0</v>
      </c>
      <c r="W626" s="16">
        <v>0</v>
      </c>
      <c r="X626" s="16">
        <v>0</v>
      </c>
      <c r="Y626" s="15">
        <v>0.441</v>
      </c>
      <c r="Z626" s="15">
        <v>0.56000000000000005</v>
      </c>
      <c r="AA626" s="15">
        <v>0.67</v>
      </c>
      <c r="AB626" s="15">
        <v>0.76800000000000002</v>
      </c>
      <c r="AC626" s="3">
        <f t="shared" si="117"/>
        <v>-7.490130036306461E-2</v>
      </c>
      <c r="AD626" s="3">
        <f t="shared" si="118"/>
        <v>-8.0093241740404497E-2</v>
      </c>
      <c r="AE626" s="3">
        <f t="shared" si="119"/>
        <v>-7.6778309620257196E-2</v>
      </c>
      <c r="AF626" s="3">
        <f t="shared" si="120"/>
        <v>-7.1250277382488056E-2</v>
      </c>
    </row>
    <row r="627" spans="1:32" x14ac:dyDescent="0.2">
      <c r="A627" s="30">
        <v>625</v>
      </c>
      <c r="B627" s="9" t="s">
        <v>1206</v>
      </c>
      <c r="C627" s="12">
        <v>555543073</v>
      </c>
      <c r="D627" s="13" t="s">
        <v>626</v>
      </c>
      <c r="E627" s="17">
        <v>11.029868281600001</v>
      </c>
      <c r="F627" s="17">
        <v>36.847504395800001</v>
      </c>
      <c r="G627" s="14">
        <v>4</v>
      </c>
      <c r="H627" s="17">
        <v>17.989999999999998</v>
      </c>
      <c r="I627" s="17">
        <v>19.13</v>
      </c>
      <c r="J627" s="17">
        <v>20.77</v>
      </c>
      <c r="K627" s="17">
        <v>22.03</v>
      </c>
      <c r="L627" s="17">
        <v>23.35</v>
      </c>
      <c r="M627" s="17">
        <f t="shared" si="112"/>
        <v>1.1400000000000006</v>
      </c>
      <c r="N627" s="17">
        <f t="shared" si="113"/>
        <v>2.7800000000000011</v>
      </c>
      <c r="O627" s="17">
        <f t="shared" si="114"/>
        <v>4.0400000000000027</v>
      </c>
      <c r="P627" s="17">
        <f t="shared" si="115"/>
        <v>5.360000000000003</v>
      </c>
      <c r="Q627" s="17">
        <f t="shared" si="116"/>
        <v>0.33977524350344102</v>
      </c>
      <c r="R627" s="17">
        <f t="shared" si="109"/>
        <v>0.94986950865589925</v>
      </c>
      <c r="S627" s="17">
        <f t="shared" si="110"/>
        <v>0.65099805079107387</v>
      </c>
      <c r="T627" s="17">
        <f t="shared" si="111"/>
        <v>0.63071519622830763</v>
      </c>
      <c r="U627" s="16">
        <v>0</v>
      </c>
      <c r="V627" s="16">
        <v>0</v>
      </c>
      <c r="W627" s="16">
        <v>0</v>
      </c>
      <c r="X627" s="16">
        <v>0</v>
      </c>
      <c r="Y627" s="15">
        <v>0.45400000000000001</v>
      </c>
      <c r="Z627" s="15">
        <v>0.56999999999999995</v>
      </c>
      <c r="AA627" s="15">
        <v>0.67800000000000005</v>
      </c>
      <c r="AB627" s="15">
        <v>0.77600000000000002</v>
      </c>
      <c r="AC627" s="3">
        <f t="shared" si="117"/>
        <v>4.5227489238033707E-2</v>
      </c>
      <c r="AD627" s="3">
        <f t="shared" si="118"/>
        <v>9.6409038637930381E-3</v>
      </c>
      <c r="AE627" s="3">
        <f t="shared" si="119"/>
        <v>-1.0912325135449989E-2</v>
      </c>
      <c r="AF627" s="3">
        <f t="shared" si="120"/>
        <v>-5.5338453424904786E-3</v>
      </c>
    </row>
    <row r="628" spans="1:32" x14ac:dyDescent="0.2">
      <c r="A628" s="30">
        <v>626</v>
      </c>
      <c r="B628" s="9" t="s">
        <v>1207</v>
      </c>
      <c r="C628" s="12">
        <v>555543078</v>
      </c>
      <c r="D628" s="13" t="s">
        <v>627</v>
      </c>
      <c r="E628" s="17">
        <v>11.2132250069</v>
      </c>
      <c r="F628" s="17">
        <v>34.734499646099998</v>
      </c>
      <c r="G628" s="14">
        <v>50</v>
      </c>
      <c r="H628" s="17">
        <v>18.809999999999999</v>
      </c>
      <c r="I628" s="17">
        <v>20.14</v>
      </c>
      <c r="J628" s="17">
        <v>21.55</v>
      </c>
      <c r="K628" s="17">
        <v>22.68</v>
      </c>
      <c r="L628" s="17">
        <v>24.06</v>
      </c>
      <c r="M628" s="17">
        <f t="shared" si="112"/>
        <v>1.3300000000000018</v>
      </c>
      <c r="N628" s="17">
        <f t="shared" si="113"/>
        <v>2.740000000000002</v>
      </c>
      <c r="O628" s="17">
        <f t="shared" si="114"/>
        <v>3.870000000000001</v>
      </c>
      <c r="P628" s="17">
        <f t="shared" si="115"/>
        <v>5.25</v>
      </c>
      <c r="Q628" s="17">
        <f t="shared" si="116"/>
        <v>0.57126545589622324</v>
      </c>
      <c r="R628" s="17">
        <f t="shared" si="109"/>
        <v>0.89355513589211777</v>
      </c>
      <c r="S628" s="17">
        <f t="shared" si="110"/>
        <v>0.45358480557257713</v>
      </c>
      <c r="T628" s="17">
        <f t="shared" si="111"/>
        <v>0.51937592585934278</v>
      </c>
      <c r="U628" s="16">
        <v>19</v>
      </c>
      <c r="V628" s="16">
        <v>20</v>
      </c>
      <c r="W628" s="16">
        <v>26</v>
      </c>
      <c r="X628" s="16">
        <v>29</v>
      </c>
      <c r="Y628" s="15">
        <v>0.436</v>
      </c>
      <c r="Z628" s="15">
        <v>0.55400000000000005</v>
      </c>
      <c r="AA628" s="15">
        <v>0.66300000000000003</v>
      </c>
      <c r="AB628" s="15">
        <v>0.76100000000000001</v>
      </c>
      <c r="AC628" s="3">
        <f t="shared" si="117"/>
        <v>-0.12110468097887164</v>
      </c>
      <c r="AD628" s="3">
        <f t="shared" si="118"/>
        <v>-0.13393372910292362</v>
      </c>
      <c r="AE628" s="3">
        <f t="shared" si="119"/>
        <v>-0.13441104604446349</v>
      </c>
      <c r="AF628" s="3">
        <f t="shared" si="120"/>
        <v>-0.12875215541748594</v>
      </c>
    </row>
    <row r="629" spans="1:32" x14ac:dyDescent="0.2">
      <c r="A629" s="30">
        <v>627</v>
      </c>
      <c r="B629" s="9" t="s">
        <v>1208</v>
      </c>
      <c r="C629" s="12">
        <v>555543082</v>
      </c>
      <c r="D629" s="13" t="s">
        <v>628</v>
      </c>
      <c r="E629" s="17">
        <v>10.750986165800001</v>
      </c>
      <c r="F629" s="17">
        <v>35.756135340900002</v>
      </c>
      <c r="G629" s="14">
        <v>21</v>
      </c>
      <c r="H629" s="17">
        <v>18.38</v>
      </c>
      <c r="I629" s="17">
        <v>20.13</v>
      </c>
      <c r="J629" s="17">
        <v>21.74</v>
      </c>
      <c r="K629" s="17">
        <v>22.95</v>
      </c>
      <c r="L629" s="17">
        <v>24.43</v>
      </c>
      <c r="M629" s="17">
        <f t="shared" si="112"/>
        <v>1.75</v>
      </c>
      <c r="N629" s="17">
        <f t="shared" si="113"/>
        <v>3.3599999999999994</v>
      </c>
      <c r="O629" s="17">
        <f t="shared" si="114"/>
        <v>4.57</v>
      </c>
      <c r="P629" s="17">
        <f t="shared" si="115"/>
        <v>6.0500000000000007</v>
      </c>
      <c r="Q629" s="17">
        <f t="shared" si="116"/>
        <v>1.0829806622381573</v>
      </c>
      <c r="R629" s="17">
        <f t="shared" si="109"/>
        <v>1.7664279137307453</v>
      </c>
      <c r="S629" s="17">
        <f t="shared" si="110"/>
        <v>1.2664628741193191</v>
      </c>
      <c r="T629" s="17">
        <f t="shared" si="111"/>
        <v>1.3291160739972481</v>
      </c>
      <c r="U629" s="16">
        <v>7</v>
      </c>
      <c r="V629" s="16">
        <v>10</v>
      </c>
      <c r="W629" s="16">
        <v>10</v>
      </c>
      <c r="X629" s="16">
        <v>11</v>
      </c>
      <c r="Y629" s="15">
        <v>0.443</v>
      </c>
      <c r="Z629" s="15">
        <v>0.56000000000000005</v>
      </c>
      <c r="AA629" s="15">
        <v>0.66800000000000004</v>
      </c>
      <c r="AB629" s="15">
        <v>0.76600000000000001</v>
      </c>
      <c r="AC629" s="3">
        <f t="shared" si="117"/>
        <v>-5.6419948116741787E-2</v>
      </c>
      <c r="AD629" s="3">
        <f t="shared" si="118"/>
        <v>-8.0093241740404497E-2</v>
      </c>
      <c r="AE629" s="3">
        <f t="shared" si="119"/>
        <v>-9.3244805741459005E-2</v>
      </c>
      <c r="AF629" s="3">
        <f t="shared" si="120"/>
        <v>-8.7679385392487458E-2</v>
      </c>
    </row>
    <row r="630" spans="1:32" x14ac:dyDescent="0.2">
      <c r="A630" s="30">
        <v>628</v>
      </c>
      <c r="B630" s="9" t="s">
        <v>896</v>
      </c>
      <c r="C630" s="12">
        <v>555543087</v>
      </c>
      <c r="D630" s="13" t="s">
        <v>629</v>
      </c>
      <c r="E630" s="17">
        <v>-110.97576762600001</v>
      </c>
      <c r="F630" s="17">
        <v>27.963193673799999</v>
      </c>
      <c r="G630" s="14">
        <v>6</v>
      </c>
      <c r="H630" s="17">
        <v>22.97</v>
      </c>
      <c r="I630" s="17">
        <v>24.45</v>
      </c>
      <c r="J630" s="17">
        <v>25.58</v>
      </c>
      <c r="K630" s="17">
        <v>26.74</v>
      </c>
      <c r="L630" s="17">
        <v>28.08</v>
      </c>
      <c r="M630" s="17">
        <f t="shared" si="112"/>
        <v>1.4800000000000004</v>
      </c>
      <c r="N630" s="17">
        <f t="shared" si="113"/>
        <v>2.6099999999999994</v>
      </c>
      <c r="O630" s="17">
        <f t="shared" si="114"/>
        <v>3.7699999999999996</v>
      </c>
      <c r="P630" s="17">
        <f t="shared" si="115"/>
        <v>5.1099999999999994</v>
      </c>
      <c r="Q630" s="17">
        <f t="shared" si="116"/>
        <v>0.75402088673262735</v>
      </c>
      <c r="R630" s="17">
        <f t="shared" si="109"/>
        <v>0.71053342440982059</v>
      </c>
      <c r="S630" s="17">
        <f t="shared" si="110"/>
        <v>0.33745936720875508</v>
      </c>
      <c r="T630" s="17">
        <f t="shared" si="111"/>
        <v>0.37767139993520887</v>
      </c>
      <c r="U630" s="16">
        <v>0</v>
      </c>
      <c r="V630" s="16">
        <v>0</v>
      </c>
      <c r="W630" s="16">
        <v>0</v>
      </c>
      <c r="X630" s="16">
        <v>0</v>
      </c>
      <c r="Y630" s="15">
        <v>0.56000000000000005</v>
      </c>
      <c r="Z630" s="15">
        <v>0.65700000000000003</v>
      </c>
      <c r="AA630" s="15">
        <v>0.76400000000000001</v>
      </c>
      <c r="AB630" s="15">
        <v>0.84450000000000003</v>
      </c>
      <c r="AC630" s="3">
        <f t="shared" si="117"/>
        <v>1.0247391582931424</v>
      </c>
      <c r="AD630" s="3">
        <f t="shared" si="118"/>
        <v>0.79032797062032023</v>
      </c>
      <c r="AE630" s="3">
        <f t="shared" si="119"/>
        <v>0.69714700807622665</v>
      </c>
      <c r="AF630" s="3">
        <f t="shared" si="120"/>
        <v>0.55716310399998836</v>
      </c>
    </row>
    <row r="631" spans="1:32" x14ac:dyDescent="0.2">
      <c r="A631" s="30">
        <v>629</v>
      </c>
      <c r="B631" s="9" t="s">
        <v>1499</v>
      </c>
      <c r="C631" s="12">
        <v>555543088</v>
      </c>
      <c r="D631" s="13" t="s">
        <v>630</v>
      </c>
      <c r="E631" s="17">
        <v>-113.079131424</v>
      </c>
      <c r="F631" s="17">
        <v>31.092526405899999</v>
      </c>
      <c r="G631" s="14">
        <v>120</v>
      </c>
      <c r="H631" s="17">
        <v>22.25</v>
      </c>
      <c r="I631" s="17">
        <v>23.97</v>
      </c>
      <c r="J631" s="17">
        <v>25.3</v>
      </c>
      <c r="K631" s="17">
        <v>26.39</v>
      </c>
      <c r="L631" s="17">
        <v>27.82</v>
      </c>
      <c r="M631" s="17">
        <f t="shared" si="112"/>
        <v>1.7199999999999989</v>
      </c>
      <c r="N631" s="17">
        <f t="shared" si="113"/>
        <v>3.0500000000000007</v>
      </c>
      <c r="O631" s="17">
        <f t="shared" si="114"/>
        <v>4.1400000000000006</v>
      </c>
      <c r="P631" s="17">
        <f t="shared" si="115"/>
        <v>5.57</v>
      </c>
      <c r="Q631" s="17">
        <f t="shared" si="116"/>
        <v>1.0464295760708748</v>
      </c>
      <c r="R631" s="17">
        <f t="shared" si="109"/>
        <v>1.3299915248114316</v>
      </c>
      <c r="S631" s="17">
        <f t="shared" si="110"/>
        <v>0.7671234891548917</v>
      </c>
      <c r="T631" s="17">
        <f t="shared" si="111"/>
        <v>0.84327198511450485</v>
      </c>
      <c r="U631" s="16">
        <v>6</v>
      </c>
      <c r="V631" s="16">
        <v>6</v>
      </c>
      <c r="W631" s="16">
        <v>9</v>
      </c>
      <c r="X631" s="16">
        <v>13</v>
      </c>
      <c r="Y631" s="15">
        <v>0.49199999999999999</v>
      </c>
      <c r="Z631" s="15">
        <v>0.58599999999999997</v>
      </c>
      <c r="AA631" s="15">
        <v>0.69299999999999995</v>
      </c>
      <c r="AB631" s="15">
        <v>0.78</v>
      </c>
      <c r="AC631" s="3">
        <f t="shared" si="117"/>
        <v>0.39637318191816673</v>
      </c>
      <c r="AD631" s="3">
        <f t="shared" si="118"/>
        <v>0.1532155368305107</v>
      </c>
      <c r="AE631" s="3">
        <f t="shared" si="119"/>
        <v>0.11258639577356261</v>
      </c>
      <c r="AF631" s="3">
        <f t="shared" si="120"/>
        <v>2.732437067750831E-2</v>
      </c>
    </row>
    <row r="632" spans="1:32" x14ac:dyDescent="0.2">
      <c r="A632" s="30">
        <v>630</v>
      </c>
      <c r="B632" s="9" t="s">
        <v>897</v>
      </c>
      <c r="C632" s="12">
        <v>555543089</v>
      </c>
      <c r="D632" s="13" t="s">
        <v>631</v>
      </c>
      <c r="E632" s="17">
        <v>-109.514119232</v>
      </c>
      <c r="F632" s="17">
        <v>26.716296499999999</v>
      </c>
      <c r="G632" s="14">
        <v>111</v>
      </c>
      <c r="H632" s="17">
        <v>23.55</v>
      </c>
      <c r="I632" s="17">
        <v>24.98</v>
      </c>
      <c r="J632" s="17">
        <v>26.07</v>
      </c>
      <c r="K632" s="17">
        <v>27.18</v>
      </c>
      <c r="L632" s="17">
        <v>28.71</v>
      </c>
      <c r="M632" s="17">
        <f t="shared" si="112"/>
        <v>1.4299999999999997</v>
      </c>
      <c r="N632" s="17">
        <f t="shared" si="113"/>
        <v>2.5199999999999996</v>
      </c>
      <c r="O632" s="17">
        <f t="shared" si="114"/>
        <v>3.629999999999999</v>
      </c>
      <c r="P632" s="17">
        <f t="shared" si="115"/>
        <v>5.16</v>
      </c>
      <c r="Q632" s="17">
        <f t="shared" si="116"/>
        <v>0.69310240978715787</v>
      </c>
      <c r="R632" s="17">
        <f t="shared" si="109"/>
        <v>0.58382608569130989</v>
      </c>
      <c r="S632" s="17">
        <f t="shared" si="110"/>
        <v>0.17488375349940585</v>
      </c>
      <c r="T632" s="17">
        <f t="shared" si="111"/>
        <v>0.42828015919382861</v>
      </c>
      <c r="U632" s="16">
        <v>6</v>
      </c>
      <c r="V632" s="16">
        <v>6</v>
      </c>
      <c r="W632" s="16">
        <v>7</v>
      </c>
      <c r="X632" s="16">
        <v>9</v>
      </c>
      <c r="Y632" s="15">
        <v>0.51400000000000001</v>
      </c>
      <c r="Z632" s="15">
        <v>0.60899999999999999</v>
      </c>
      <c r="AA632" s="15">
        <v>0.71799999999999997</v>
      </c>
      <c r="AB632" s="15">
        <v>0.79600000000000004</v>
      </c>
      <c r="AC632" s="3">
        <f t="shared" si="117"/>
        <v>0.59966805662771772</v>
      </c>
      <c r="AD632" s="3">
        <f t="shared" si="118"/>
        <v>0.35960407172016728</v>
      </c>
      <c r="AE632" s="3">
        <f t="shared" si="119"/>
        <v>0.31841759728858515</v>
      </c>
      <c r="AF632" s="3">
        <f t="shared" si="120"/>
        <v>0.15875723475750347</v>
      </c>
    </row>
    <row r="633" spans="1:32" x14ac:dyDescent="0.2">
      <c r="A633" s="30">
        <v>631</v>
      </c>
      <c r="B633" s="9" t="s">
        <v>1500</v>
      </c>
      <c r="C633" s="12">
        <v>555543090</v>
      </c>
      <c r="D633" s="13" t="s">
        <v>632</v>
      </c>
      <c r="E633" s="17">
        <v>-104.121413741</v>
      </c>
      <c r="F633" s="17">
        <v>18.971786196</v>
      </c>
      <c r="G633" s="14">
        <v>68</v>
      </c>
      <c r="H633" s="17">
        <v>24.92</v>
      </c>
      <c r="I633" s="17">
        <v>26.08</v>
      </c>
      <c r="J633" s="17">
        <v>26.91</v>
      </c>
      <c r="K633" s="17">
        <v>28.65</v>
      </c>
      <c r="L633" s="17">
        <v>29.58</v>
      </c>
      <c r="M633" s="17">
        <f t="shared" si="112"/>
        <v>1.1599999999999966</v>
      </c>
      <c r="N633" s="17">
        <f t="shared" si="113"/>
        <v>1.9899999999999984</v>
      </c>
      <c r="O633" s="17">
        <f t="shared" si="114"/>
        <v>3.7299999999999969</v>
      </c>
      <c r="P633" s="17">
        <f t="shared" si="115"/>
        <v>4.6599999999999966</v>
      </c>
      <c r="Q633" s="17">
        <f t="shared" si="116"/>
        <v>0.36414263428162363</v>
      </c>
      <c r="R633" s="17">
        <f t="shared" si="109"/>
        <v>-0.16233935342881176</v>
      </c>
      <c r="S633" s="17">
        <f t="shared" si="110"/>
        <v>0.29100919186322377</v>
      </c>
      <c r="T633" s="17">
        <f t="shared" si="111"/>
        <v>-7.7807433392365274E-2</v>
      </c>
      <c r="U633" s="16">
        <v>6</v>
      </c>
      <c r="V633" s="16">
        <v>7</v>
      </c>
      <c r="W633" s="16">
        <v>7</v>
      </c>
      <c r="X633" s="16">
        <v>7</v>
      </c>
      <c r="Y633" s="15">
        <v>0.66800000000000004</v>
      </c>
      <c r="Z633" s="15">
        <v>0.77300000000000002</v>
      </c>
      <c r="AA633" s="15">
        <v>0.89549999999999996</v>
      </c>
      <c r="AB633" s="15">
        <v>0.97099999999999997</v>
      </c>
      <c r="AC633" s="3">
        <f t="shared" si="117"/>
        <v>2.0227321795945734</v>
      </c>
      <c r="AD633" s="3">
        <f t="shared" si="118"/>
        <v>1.8312440596290223</v>
      </c>
      <c r="AE633" s="3">
        <f t="shared" si="119"/>
        <v>1.7798191280452438</v>
      </c>
      <c r="AF633" s="3">
        <f t="shared" si="120"/>
        <v>1.5963041856324487</v>
      </c>
    </row>
    <row r="634" spans="1:32" x14ac:dyDescent="0.2">
      <c r="A634" s="30">
        <v>632</v>
      </c>
      <c r="B634" s="9" t="s">
        <v>1501</v>
      </c>
      <c r="C634" s="12">
        <v>555543094</v>
      </c>
      <c r="D634" s="13" t="s">
        <v>633</v>
      </c>
      <c r="E634" s="17">
        <v>-1.3870255414599999</v>
      </c>
      <c r="F634" s="17">
        <v>43.5971885091</v>
      </c>
      <c r="G634" s="14">
        <v>10</v>
      </c>
      <c r="H634" s="17">
        <v>15.01</v>
      </c>
      <c r="I634" s="17">
        <v>14.73</v>
      </c>
      <c r="J634" s="17">
        <v>16.36</v>
      </c>
      <c r="K634" s="17">
        <v>17.29</v>
      </c>
      <c r="L634" s="17">
        <v>18.829999999999998</v>
      </c>
      <c r="M634" s="17">
        <f t="shared" si="112"/>
        <v>-0.27999999999999936</v>
      </c>
      <c r="N634" s="17">
        <f t="shared" si="113"/>
        <v>1.3499999999999996</v>
      </c>
      <c r="O634" s="17">
        <f t="shared" si="114"/>
        <v>2.2799999999999994</v>
      </c>
      <c r="P634" s="17">
        <f t="shared" si="115"/>
        <v>3.8199999999999985</v>
      </c>
      <c r="Q634" s="17">
        <f t="shared" si="116"/>
        <v>-1.3903095017478673</v>
      </c>
      <c r="R634" s="17">
        <f t="shared" si="109"/>
        <v>-1.0633693176493324</v>
      </c>
      <c r="S634" s="17">
        <f t="shared" si="110"/>
        <v>-1.3928096644121692</v>
      </c>
      <c r="T634" s="17">
        <f t="shared" si="111"/>
        <v>-0.92803458893716306</v>
      </c>
      <c r="U634" s="16">
        <v>0</v>
      </c>
      <c r="V634" s="16">
        <v>2</v>
      </c>
      <c r="W634" s="16">
        <v>3</v>
      </c>
      <c r="X634" s="16">
        <v>3</v>
      </c>
      <c r="Y634" s="15">
        <v>0.41699999999999998</v>
      </c>
      <c r="Z634" s="15">
        <v>0.52900000000000003</v>
      </c>
      <c r="AA634" s="15">
        <v>0.63500000000000001</v>
      </c>
      <c r="AB634" s="15">
        <v>0.73</v>
      </c>
      <c r="AC634" s="3">
        <f t="shared" si="117"/>
        <v>-0.29667752731893843</v>
      </c>
      <c r="AD634" s="3">
        <f t="shared" si="118"/>
        <v>-0.35826909311341992</v>
      </c>
      <c r="AE634" s="3">
        <f t="shared" si="119"/>
        <v>-0.36494199174128872</v>
      </c>
      <c r="AF634" s="3">
        <f t="shared" si="120"/>
        <v>-0.38340332957247658</v>
      </c>
    </row>
    <row r="635" spans="1:32" x14ac:dyDescent="0.2">
      <c r="A635" s="30">
        <v>633</v>
      </c>
      <c r="B635" s="9" t="s">
        <v>1209</v>
      </c>
      <c r="C635" s="12">
        <v>555543095</v>
      </c>
      <c r="D635" s="13" t="s">
        <v>634</v>
      </c>
      <c r="E635" s="17">
        <v>-1.0602476486300001</v>
      </c>
      <c r="F635" s="17">
        <v>44.678194996899997</v>
      </c>
      <c r="G635" s="14">
        <v>75</v>
      </c>
      <c r="H635" s="17">
        <v>15.45</v>
      </c>
      <c r="I635" s="17">
        <v>15.12</v>
      </c>
      <c r="J635" s="17">
        <v>16.66</v>
      </c>
      <c r="K635" s="17">
        <v>17.739999999999998</v>
      </c>
      <c r="L635" s="17">
        <v>19.11</v>
      </c>
      <c r="M635" s="17">
        <f t="shared" si="112"/>
        <v>-0.33000000000000007</v>
      </c>
      <c r="N635" s="17">
        <f t="shared" si="113"/>
        <v>1.2100000000000009</v>
      </c>
      <c r="O635" s="17">
        <f t="shared" si="114"/>
        <v>2.2899999999999991</v>
      </c>
      <c r="P635" s="17">
        <f t="shared" si="115"/>
        <v>3.66</v>
      </c>
      <c r="Q635" s="17">
        <f t="shared" si="116"/>
        <v>-1.4512279786933369</v>
      </c>
      <c r="R635" s="17">
        <f t="shared" si="109"/>
        <v>-1.26046962232257</v>
      </c>
      <c r="S635" s="17">
        <f t="shared" si="110"/>
        <v>-1.3811971205757876</v>
      </c>
      <c r="T635" s="17">
        <f t="shared" si="111"/>
        <v>-1.0899826185647423</v>
      </c>
      <c r="U635" s="16">
        <v>2</v>
      </c>
      <c r="V635" s="16">
        <v>2</v>
      </c>
      <c r="W635" s="16">
        <v>4</v>
      </c>
      <c r="X635" s="16">
        <v>5</v>
      </c>
      <c r="Y635" s="15">
        <v>0.42</v>
      </c>
      <c r="Z635" s="15">
        <v>0.52900000000000003</v>
      </c>
      <c r="AA635" s="15">
        <v>0.63400000000000001</v>
      </c>
      <c r="AB635" s="15">
        <v>0.72799999999999998</v>
      </c>
      <c r="AC635" s="3">
        <f t="shared" si="117"/>
        <v>-0.2689554989494542</v>
      </c>
      <c r="AD635" s="3">
        <f t="shared" si="118"/>
        <v>-0.35826909311341992</v>
      </c>
      <c r="AE635" s="3">
        <f t="shared" si="119"/>
        <v>-0.37317523980188966</v>
      </c>
      <c r="AF635" s="3">
        <f t="shared" si="120"/>
        <v>-0.39983243758247594</v>
      </c>
    </row>
    <row r="636" spans="1:32" x14ac:dyDescent="0.2">
      <c r="A636" s="30">
        <v>634</v>
      </c>
      <c r="B636" s="9" t="s">
        <v>1367</v>
      </c>
      <c r="C636" s="12">
        <v>555543708</v>
      </c>
      <c r="D636" s="13" t="s">
        <v>635</v>
      </c>
      <c r="E636" s="17">
        <v>152.88728731500001</v>
      </c>
      <c r="F636" s="17">
        <v>-25.425314876800002</v>
      </c>
      <c r="G636" s="14">
        <v>6953</v>
      </c>
      <c r="H636" s="17">
        <v>20.91</v>
      </c>
      <c r="I636" s="17">
        <v>22.24</v>
      </c>
      <c r="J636" s="17">
        <v>23.08</v>
      </c>
      <c r="K636" s="17">
        <v>25.24</v>
      </c>
      <c r="L636" s="17">
        <v>26.01</v>
      </c>
      <c r="M636" s="17">
        <f t="shared" si="112"/>
        <v>1.3299999999999983</v>
      </c>
      <c r="N636" s="17">
        <f t="shared" si="113"/>
        <v>2.1699999999999982</v>
      </c>
      <c r="O636" s="17">
        <f t="shared" si="114"/>
        <v>4.3299999999999983</v>
      </c>
      <c r="P636" s="17">
        <f t="shared" si="115"/>
        <v>5.1000000000000014</v>
      </c>
      <c r="Q636" s="17">
        <f t="shared" si="116"/>
        <v>0.57126545589621891</v>
      </c>
      <c r="R636" s="17">
        <f t="shared" si="109"/>
        <v>9.1075324008209738E-2</v>
      </c>
      <c r="S636" s="17">
        <f t="shared" si="110"/>
        <v>0.98776182204614793</v>
      </c>
      <c r="T636" s="17">
        <f t="shared" si="111"/>
        <v>0.36754964808348711</v>
      </c>
      <c r="U636" s="16">
        <v>44</v>
      </c>
      <c r="V636" s="16">
        <v>70</v>
      </c>
      <c r="W636" s="16">
        <v>80</v>
      </c>
      <c r="X636" s="16">
        <v>88</v>
      </c>
      <c r="Y636" s="15">
        <v>0.4405</v>
      </c>
      <c r="Z636" s="15">
        <v>0.56100000000000005</v>
      </c>
      <c r="AA636" s="15">
        <v>0.70599999999999996</v>
      </c>
      <c r="AB636" s="15">
        <v>0.80200000000000005</v>
      </c>
      <c r="AC636" s="3">
        <f t="shared" si="117"/>
        <v>-7.9521638424645311E-2</v>
      </c>
      <c r="AD636" s="3">
        <f t="shared" si="118"/>
        <v>-7.1119827179984649E-2</v>
      </c>
      <c r="AE636" s="3">
        <f t="shared" si="119"/>
        <v>0.21961862056137432</v>
      </c>
      <c r="AF636" s="3">
        <f t="shared" si="120"/>
        <v>0.20804455878750167</v>
      </c>
    </row>
    <row r="637" spans="1:32" x14ac:dyDescent="0.2">
      <c r="A637" s="30">
        <v>635</v>
      </c>
      <c r="B637" s="9" t="s">
        <v>1368</v>
      </c>
      <c r="C637" s="12">
        <v>555543709</v>
      </c>
      <c r="D637" s="13" t="s">
        <v>636</v>
      </c>
      <c r="E637" s="17">
        <v>152.94523917199999</v>
      </c>
      <c r="F637" s="17">
        <v>-26.324433318499999</v>
      </c>
      <c r="G637" s="14">
        <v>116</v>
      </c>
      <c r="H637" s="17">
        <v>19.36</v>
      </c>
      <c r="I637" s="17">
        <v>20.97</v>
      </c>
      <c r="J637" s="17">
        <v>21.72</v>
      </c>
      <c r="K637" s="17">
        <v>24.39</v>
      </c>
      <c r="L637" s="17">
        <v>25.38</v>
      </c>
      <c r="M637" s="17">
        <f t="shared" si="112"/>
        <v>1.6099999999999994</v>
      </c>
      <c r="N637" s="17">
        <f t="shared" si="113"/>
        <v>2.3599999999999994</v>
      </c>
      <c r="O637" s="17">
        <f t="shared" si="114"/>
        <v>5.0300000000000011</v>
      </c>
      <c r="P637" s="17">
        <f t="shared" si="115"/>
        <v>6.02</v>
      </c>
      <c r="Q637" s="17">
        <f t="shared" si="116"/>
        <v>0.91240892679084451</v>
      </c>
      <c r="R637" s="17">
        <f t="shared" si="109"/>
        <v>0.35856859463617907</v>
      </c>
      <c r="S637" s="17">
        <f t="shared" si="110"/>
        <v>1.800639890592894</v>
      </c>
      <c r="T637" s="17">
        <f t="shared" si="111"/>
        <v>1.2987508184420755</v>
      </c>
      <c r="U637" s="16">
        <v>2</v>
      </c>
      <c r="V637" s="16">
        <v>3</v>
      </c>
      <c r="W637" s="16">
        <v>3</v>
      </c>
      <c r="X637" s="16">
        <v>5</v>
      </c>
      <c r="Y637" s="15">
        <v>0.42099999999999999</v>
      </c>
      <c r="Z637" s="15">
        <v>0.54200000000000004</v>
      </c>
      <c r="AA637" s="15">
        <v>0.68700000000000006</v>
      </c>
      <c r="AB637" s="15">
        <v>0.78</v>
      </c>
      <c r="AC637" s="3">
        <f t="shared" si="117"/>
        <v>-0.25971482282629277</v>
      </c>
      <c r="AD637" s="3">
        <f t="shared" si="118"/>
        <v>-0.24161470382796185</v>
      </c>
      <c r="AE637" s="3">
        <f t="shared" si="119"/>
        <v>6.3186907409958123E-2</v>
      </c>
      <c r="AF637" s="3">
        <f t="shared" si="120"/>
        <v>2.732437067750831E-2</v>
      </c>
    </row>
    <row r="638" spans="1:32" x14ac:dyDescent="0.2">
      <c r="A638" s="30">
        <v>636</v>
      </c>
      <c r="B638" s="9" t="s">
        <v>898</v>
      </c>
      <c r="C638" s="12">
        <v>555543796</v>
      </c>
      <c r="D638" s="13" t="s">
        <v>637</v>
      </c>
      <c r="E638" s="17">
        <v>-72.215261396700001</v>
      </c>
      <c r="F638" s="17">
        <v>-41.3772413692</v>
      </c>
      <c r="G638" s="14">
        <v>1491</v>
      </c>
      <c r="H638" s="17">
        <v>9.7799999999999994</v>
      </c>
      <c r="I638" s="17">
        <v>11.28</v>
      </c>
      <c r="J638" s="17">
        <v>12.53</v>
      </c>
      <c r="K638" s="17">
        <v>13.1</v>
      </c>
      <c r="L638" s="17">
        <v>14.13</v>
      </c>
      <c r="M638" s="17">
        <f t="shared" si="112"/>
        <v>1.5</v>
      </c>
      <c r="N638" s="17">
        <f t="shared" si="113"/>
        <v>2.75</v>
      </c>
      <c r="O638" s="17">
        <f t="shared" si="114"/>
        <v>3.3200000000000003</v>
      </c>
      <c r="P638" s="17">
        <f t="shared" si="115"/>
        <v>4.3500000000000014</v>
      </c>
      <c r="Q638" s="17">
        <f t="shared" si="116"/>
        <v>0.7783882775108143</v>
      </c>
      <c r="R638" s="17">
        <f t="shared" si="109"/>
        <v>0.90763372908306073</v>
      </c>
      <c r="S638" s="17">
        <f t="shared" si="110"/>
        <v>-0.18510510542843595</v>
      </c>
      <c r="T638" s="17">
        <f t="shared" si="111"/>
        <v>-0.39158174079579838</v>
      </c>
      <c r="U638" s="16">
        <v>4</v>
      </c>
      <c r="V638" s="16">
        <v>4</v>
      </c>
      <c r="W638" s="16">
        <v>4</v>
      </c>
      <c r="X638" s="16">
        <v>4</v>
      </c>
      <c r="Y638" s="15">
        <v>0.27400000000000002</v>
      </c>
      <c r="Z638" s="15">
        <v>0.36399999999999999</v>
      </c>
      <c r="AA638" s="15">
        <v>0.46200000000000002</v>
      </c>
      <c r="AB638" s="15">
        <v>0.52300000000000002</v>
      </c>
      <c r="AC638" s="3">
        <f t="shared" si="117"/>
        <v>-1.6180942129310183</v>
      </c>
      <c r="AD638" s="3">
        <f t="shared" si="118"/>
        <v>-1.8388824955826948</v>
      </c>
      <c r="AE638" s="3">
        <f t="shared" si="119"/>
        <v>-1.7892939062252433</v>
      </c>
      <c r="AF638" s="3">
        <f t="shared" si="120"/>
        <v>-2.0838160086074122</v>
      </c>
    </row>
    <row r="639" spans="1:32" x14ac:dyDescent="0.2">
      <c r="A639" s="30">
        <v>637</v>
      </c>
      <c r="B639" s="9" t="s">
        <v>1502</v>
      </c>
      <c r="C639" s="12">
        <v>555547395</v>
      </c>
      <c r="D639" s="13" t="s">
        <v>638</v>
      </c>
      <c r="E639" s="17">
        <v>-109.10665346499999</v>
      </c>
      <c r="F639" s="17">
        <v>25.609209308099999</v>
      </c>
      <c r="G639" s="14">
        <v>546</v>
      </c>
      <c r="H639" s="17">
        <v>23.93</v>
      </c>
      <c r="I639" s="17">
        <v>25.34</v>
      </c>
      <c r="J639" s="17">
        <v>26.11</v>
      </c>
      <c r="K639" s="17">
        <v>27.31</v>
      </c>
      <c r="L639" s="17">
        <v>28.71</v>
      </c>
      <c r="M639" s="17">
        <f t="shared" si="112"/>
        <v>1.4100000000000001</v>
      </c>
      <c r="N639" s="17">
        <f t="shared" si="113"/>
        <v>2.1799999999999997</v>
      </c>
      <c r="O639" s="17">
        <f t="shared" si="114"/>
        <v>3.379999999999999</v>
      </c>
      <c r="P639" s="17">
        <f t="shared" si="115"/>
        <v>4.7800000000000011</v>
      </c>
      <c r="Q639" s="17">
        <f t="shared" si="116"/>
        <v>0.66873501900897103</v>
      </c>
      <c r="R639" s="17">
        <f t="shared" si="109"/>
        <v>0.10515391719915759</v>
      </c>
      <c r="S639" s="17">
        <f t="shared" si="110"/>
        <v>-0.11542984241014519</v>
      </c>
      <c r="T639" s="17">
        <f t="shared" si="111"/>
        <v>4.3653588828324999E-2</v>
      </c>
      <c r="U639" s="16">
        <v>13</v>
      </c>
      <c r="V639" s="16">
        <v>13</v>
      </c>
      <c r="W639" s="16">
        <v>19</v>
      </c>
      <c r="X639" s="16">
        <v>22</v>
      </c>
      <c r="Y639" s="15">
        <v>0.50900000000000001</v>
      </c>
      <c r="Z639" s="15">
        <v>0.60499999999999998</v>
      </c>
      <c r="AA639" s="15">
        <v>0.71599999999999997</v>
      </c>
      <c r="AB639" s="15">
        <v>0.79200000000000004</v>
      </c>
      <c r="AC639" s="3">
        <f t="shared" si="117"/>
        <v>0.55346467601191063</v>
      </c>
      <c r="AD639" s="3">
        <f t="shared" si="118"/>
        <v>0.32371041347848789</v>
      </c>
      <c r="AE639" s="3">
        <f t="shared" si="119"/>
        <v>0.30195110116738333</v>
      </c>
      <c r="AF639" s="3">
        <f t="shared" si="120"/>
        <v>0.12589901873750467</v>
      </c>
    </row>
    <row r="640" spans="1:32" x14ac:dyDescent="0.2">
      <c r="A640" s="30">
        <v>638</v>
      </c>
      <c r="B640" s="9" t="s">
        <v>1210</v>
      </c>
      <c r="C640" s="12">
        <v>555547400</v>
      </c>
      <c r="D640" s="13" t="s">
        <v>639</v>
      </c>
      <c r="E640" s="17">
        <v>10.500240162600001</v>
      </c>
      <c r="F640" s="17">
        <v>35.991836494200001</v>
      </c>
      <c r="G640" s="14">
        <v>29</v>
      </c>
      <c r="H640" s="17">
        <v>18.12</v>
      </c>
      <c r="I640" s="17">
        <v>19.91</v>
      </c>
      <c r="J640" s="17">
        <v>21.61</v>
      </c>
      <c r="K640" s="17">
        <v>22.78</v>
      </c>
      <c r="L640" s="17">
        <v>24.39</v>
      </c>
      <c r="M640" s="17">
        <f t="shared" si="112"/>
        <v>1.7899999999999991</v>
      </c>
      <c r="N640" s="17">
        <f t="shared" si="113"/>
        <v>3.4899999999999984</v>
      </c>
      <c r="O640" s="17">
        <f t="shared" si="114"/>
        <v>4.66</v>
      </c>
      <c r="P640" s="17">
        <f t="shared" si="115"/>
        <v>6.27</v>
      </c>
      <c r="Q640" s="17">
        <f t="shared" si="116"/>
        <v>1.1317154437945312</v>
      </c>
      <c r="R640" s="17">
        <f t="shared" si="109"/>
        <v>1.9494496252130373</v>
      </c>
      <c r="S640" s="17">
        <f t="shared" si="110"/>
        <v>1.3709757686467574</v>
      </c>
      <c r="T640" s="17">
        <f t="shared" si="111"/>
        <v>1.5517946147351707</v>
      </c>
      <c r="U640" s="16">
        <v>3</v>
      </c>
      <c r="V640" s="16">
        <v>7</v>
      </c>
      <c r="W640" s="16">
        <v>7</v>
      </c>
      <c r="X640" s="16">
        <v>10</v>
      </c>
      <c r="Y640" s="15">
        <v>0.443</v>
      </c>
      <c r="Z640" s="15">
        <v>0.56000000000000005</v>
      </c>
      <c r="AA640" s="15">
        <v>0.66800000000000004</v>
      </c>
      <c r="AB640" s="15">
        <v>0.76600000000000001</v>
      </c>
      <c r="AC640" s="3">
        <f t="shared" si="117"/>
        <v>-5.6419948116741787E-2</v>
      </c>
      <c r="AD640" s="3">
        <f t="shared" si="118"/>
        <v>-8.0093241740404497E-2</v>
      </c>
      <c r="AE640" s="3">
        <f t="shared" si="119"/>
        <v>-9.3244805741459005E-2</v>
      </c>
      <c r="AF640" s="3">
        <f t="shared" si="120"/>
        <v>-8.7679385392487458E-2</v>
      </c>
    </row>
    <row r="641" spans="1:32" x14ac:dyDescent="0.2">
      <c r="A641" s="30">
        <v>639</v>
      </c>
      <c r="B641" s="9" t="s">
        <v>899</v>
      </c>
      <c r="C641" s="12">
        <v>555547531</v>
      </c>
      <c r="D641" s="13" t="s">
        <v>640</v>
      </c>
      <c r="E641" s="17">
        <v>-58.097835533599998</v>
      </c>
      <c r="F641" s="17">
        <v>-34.818241165700002</v>
      </c>
      <c r="G641" s="14">
        <v>7</v>
      </c>
      <c r="H641" s="17">
        <v>16.29</v>
      </c>
      <c r="I641" s="17">
        <v>18.64</v>
      </c>
      <c r="J641" s="17">
        <v>19.079999999999998</v>
      </c>
      <c r="K641" s="17">
        <v>19.86</v>
      </c>
      <c r="L641" s="17">
        <v>21.45</v>
      </c>
      <c r="M641" s="17">
        <f t="shared" si="112"/>
        <v>2.3500000000000014</v>
      </c>
      <c r="N641" s="17">
        <f t="shared" si="113"/>
        <v>2.7899999999999991</v>
      </c>
      <c r="O641" s="17">
        <f t="shared" si="114"/>
        <v>3.5700000000000003</v>
      </c>
      <c r="P641" s="17">
        <f t="shared" si="115"/>
        <v>5.16</v>
      </c>
      <c r="Q641" s="17">
        <f t="shared" si="116"/>
        <v>1.8140023855837824</v>
      </c>
      <c r="R641" s="17">
        <f t="shared" si="109"/>
        <v>0.9639481018468421</v>
      </c>
      <c r="S641" s="17">
        <f t="shared" si="110"/>
        <v>0.10520849048111508</v>
      </c>
      <c r="T641" s="17">
        <f t="shared" si="111"/>
        <v>0.42828015919382861</v>
      </c>
      <c r="U641" s="16">
        <v>1</v>
      </c>
      <c r="V641" s="16">
        <v>2</v>
      </c>
      <c r="W641" s="16">
        <v>2</v>
      </c>
      <c r="X641" s="16">
        <v>2</v>
      </c>
      <c r="Y641" s="15">
        <v>0.39533333333300003</v>
      </c>
      <c r="Z641" s="15">
        <v>0.51833333333300002</v>
      </c>
      <c r="AA641" s="15">
        <v>0.64600000000000002</v>
      </c>
      <c r="AB641" s="15">
        <v>0.72766666666699997</v>
      </c>
      <c r="AC641" s="3">
        <f t="shared" si="117"/>
        <v>-0.49689217665718188</v>
      </c>
      <c r="AD641" s="3">
        <f t="shared" si="118"/>
        <v>-0.4539855150942228</v>
      </c>
      <c r="AE641" s="3">
        <f t="shared" si="119"/>
        <v>-0.27437626307467883</v>
      </c>
      <c r="AF641" s="3">
        <f t="shared" si="120"/>
        <v>-0.40257062224807105</v>
      </c>
    </row>
    <row r="642" spans="1:32" x14ac:dyDescent="0.2">
      <c r="A642" s="30">
        <v>640</v>
      </c>
      <c r="B642" s="9" t="s">
        <v>900</v>
      </c>
      <c r="C642" s="12">
        <v>555547536</v>
      </c>
      <c r="D642" s="13" t="s">
        <v>641</v>
      </c>
      <c r="E642" s="17">
        <v>-84.548491083599998</v>
      </c>
      <c r="F642" s="17">
        <v>10.6399750631</v>
      </c>
      <c r="G642" s="14">
        <v>269</v>
      </c>
      <c r="H642" s="17">
        <v>23.52</v>
      </c>
      <c r="I642" s="17">
        <v>24.11</v>
      </c>
      <c r="J642" s="17">
        <v>25.68</v>
      </c>
      <c r="K642" s="17">
        <v>26.98</v>
      </c>
      <c r="L642" s="17">
        <v>28.3</v>
      </c>
      <c r="M642" s="17">
        <f t="shared" si="112"/>
        <v>0.58999999999999986</v>
      </c>
      <c r="N642" s="17">
        <f t="shared" si="113"/>
        <v>2.16</v>
      </c>
      <c r="O642" s="17">
        <f t="shared" si="114"/>
        <v>3.4600000000000009</v>
      </c>
      <c r="P642" s="17">
        <f t="shared" si="115"/>
        <v>4.7800000000000011</v>
      </c>
      <c r="Q642" s="17">
        <f t="shared" si="116"/>
        <v>-0.33032800289671455</v>
      </c>
      <c r="R642" s="17">
        <f t="shared" si="109"/>
        <v>7.6996730817266879E-2</v>
      </c>
      <c r="S642" s="17">
        <f t="shared" si="110"/>
        <v>-2.2529491719086709E-2</v>
      </c>
      <c r="T642" s="17">
        <f t="shared" si="111"/>
        <v>4.3653588828324999E-2</v>
      </c>
      <c r="U642" s="16">
        <v>0</v>
      </c>
      <c r="V642" s="16">
        <v>0</v>
      </c>
      <c r="W642" s="16">
        <v>0</v>
      </c>
      <c r="X642" s="16">
        <v>0</v>
      </c>
      <c r="Y642" s="15">
        <v>0.502</v>
      </c>
      <c r="Z642" s="15">
        <v>0.61599999999999999</v>
      </c>
      <c r="AA642" s="15">
        <v>0.746</v>
      </c>
      <c r="AB642" s="15">
        <v>0.82599999999999996</v>
      </c>
      <c r="AC642" s="3">
        <f t="shared" si="117"/>
        <v>0.48877994314978079</v>
      </c>
      <c r="AD642" s="3">
        <f t="shared" si="118"/>
        <v>0.42241797364310629</v>
      </c>
      <c r="AE642" s="3">
        <f t="shared" si="119"/>
        <v>0.5489485429854104</v>
      </c>
      <c r="AF642" s="3">
        <f t="shared" si="120"/>
        <v>0.40519385490749349</v>
      </c>
    </row>
    <row r="643" spans="1:32" x14ac:dyDescent="0.2">
      <c r="A643" s="30">
        <v>641</v>
      </c>
      <c r="B643" s="9" t="s">
        <v>1211</v>
      </c>
      <c r="C643" s="12">
        <v>555547544</v>
      </c>
      <c r="D643" s="13" t="s">
        <v>642</v>
      </c>
      <c r="E643" s="17">
        <v>51.031124885099999</v>
      </c>
      <c r="F643" s="17">
        <v>25.730065639500001</v>
      </c>
      <c r="G643" s="14">
        <v>62</v>
      </c>
      <c r="H643" s="17">
        <v>25</v>
      </c>
      <c r="I643" s="17">
        <v>27.14</v>
      </c>
      <c r="J643" s="17">
        <v>27.77</v>
      </c>
      <c r="K643" s="17">
        <v>29.73</v>
      </c>
      <c r="L643" s="17">
        <v>31.93</v>
      </c>
      <c r="M643" s="17">
        <f t="shared" si="112"/>
        <v>2.1400000000000006</v>
      </c>
      <c r="N643" s="17">
        <f t="shared" si="113"/>
        <v>2.7699999999999996</v>
      </c>
      <c r="O643" s="17">
        <f t="shared" si="114"/>
        <v>4.7300000000000004</v>
      </c>
      <c r="P643" s="17">
        <f t="shared" si="115"/>
        <v>6.93</v>
      </c>
      <c r="Q643" s="17">
        <f t="shared" si="116"/>
        <v>1.5581447824128132</v>
      </c>
      <c r="R643" s="17">
        <f t="shared" ref="R643:R706" si="121">(N643-N$764)/N$767</f>
        <v>0.93579091546495141</v>
      </c>
      <c r="S643" s="17">
        <f t="shared" ref="S643:S706" si="122">(O643-O$764)/O$767</f>
        <v>1.4522635755014319</v>
      </c>
      <c r="T643" s="17">
        <f t="shared" ref="T643:T706" si="123">(P643-P$764)/P$767</f>
        <v>2.2198302369489418</v>
      </c>
      <c r="U643" s="16">
        <v>2</v>
      </c>
      <c r="V643" s="16">
        <v>2</v>
      </c>
      <c r="W643" s="16">
        <v>2</v>
      </c>
      <c r="X643" s="16">
        <v>2</v>
      </c>
      <c r="Y643" s="15">
        <v>0.372</v>
      </c>
      <c r="Z643" s="15">
        <v>0.498</v>
      </c>
      <c r="AA643" s="15">
        <v>0.63500000000000001</v>
      </c>
      <c r="AB643" s="15">
        <v>0.751</v>
      </c>
      <c r="AC643" s="3">
        <f t="shared" si="117"/>
        <v>-0.71250795286120128</v>
      </c>
      <c r="AD643" s="3">
        <f t="shared" si="118"/>
        <v>-0.6364449444864354</v>
      </c>
      <c r="AE643" s="3">
        <f t="shared" si="119"/>
        <v>-0.36494199174128872</v>
      </c>
      <c r="AF643" s="3">
        <f t="shared" si="120"/>
        <v>-0.21089769546748291</v>
      </c>
    </row>
    <row r="644" spans="1:32" x14ac:dyDescent="0.2">
      <c r="A644" s="30">
        <v>642</v>
      </c>
      <c r="B644" s="9" t="s">
        <v>1369</v>
      </c>
      <c r="C644" s="12">
        <v>555547560</v>
      </c>
      <c r="D644" s="13" t="s">
        <v>643</v>
      </c>
      <c r="E644" s="17">
        <v>125.875381463</v>
      </c>
      <c r="F644" s="17">
        <v>34.754816163100003</v>
      </c>
      <c r="G644" s="14">
        <v>4105</v>
      </c>
      <c r="H644" s="17">
        <v>12.5</v>
      </c>
      <c r="I644" s="17">
        <v>14.09</v>
      </c>
      <c r="J644" s="17">
        <v>15.63</v>
      </c>
      <c r="K644" s="17">
        <v>16.850000000000001</v>
      </c>
      <c r="L644" s="17">
        <v>18.850000000000001</v>
      </c>
      <c r="M644" s="17">
        <f t="shared" ref="M644:M707" si="124">I644-H644</f>
        <v>1.5899999999999999</v>
      </c>
      <c r="N644" s="17">
        <f t="shared" ref="N644:N707" si="125">J644-H644</f>
        <v>3.1300000000000008</v>
      </c>
      <c r="O644" s="17">
        <f t="shared" ref="O644:O707" si="126">K644-H644</f>
        <v>4.3500000000000014</v>
      </c>
      <c r="P644" s="17">
        <f t="shared" ref="P644:P707" si="127">L644-H644</f>
        <v>6.3500000000000014</v>
      </c>
      <c r="Q644" s="17">
        <f t="shared" ref="Q644:Q707" si="128">(M644-M$764)/M$767</f>
        <v>0.88804153601265767</v>
      </c>
      <c r="R644" s="17">
        <f t="shared" si="121"/>
        <v>1.442620270338997</v>
      </c>
      <c r="S644" s="17">
        <f t="shared" si="122"/>
        <v>1.0109869097189157</v>
      </c>
      <c r="T644" s="17">
        <f t="shared" si="123"/>
        <v>1.632768629548963</v>
      </c>
      <c r="U644" s="16">
        <v>45</v>
      </c>
      <c r="V644" s="16">
        <v>50</v>
      </c>
      <c r="W644" s="16">
        <v>70</v>
      </c>
      <c r="X644" s="16">
        <v>76</v>
      </c>
      <c r="Y644" s="15">
        <v>0.51800000000000002</v>
      </c>
      <c r="Z644" s="15">
        <v>0.64300000000000002</v>
      </c>
      <c r="AA644" s="15">
        <v>0.79049999999999998</v>
      </c>
      <c r="AB644" s="15">
        <v>0.90449999999999997</v>
      </c>
      <c r="AC644" s="3">
        <f t="shared" ref="AC644:AC707" si="129">(Y644-Y$764)/Y$767</f>
        <v>0.63663076112036332</v>
      </c>
      <c r="AD644" s="3">
        <f t="shared" ref="AD644:AD707" si="130">(Z644-Z$764)/Z$767</f>
        <v>0.66470016677444232</v>
      </c>
      <c r="AE644" s="3">
        <f t="shared" ref="AE644:AE707" si="131">(AA644-AA$764)/AA$767</f>
        <v>0.91532808168214996</v>
      </c>
      <c r="AF644" s="3">
        <f t="shared" ref="AF644:AF707" si="132">(AB644-AB$764)/AB$767</f>
        <v>1.0500363442999692</v>
      </c>
    </row>
    <row r="645" spans="1:32" x14ac:dyDescent="0.2">
      <c r="A645" s="30">
        <v>643</v>
      </c>
      <c r="B645" s="9" t="s">
        <v>901</v>
      </c>
      <c r="C645" s="12">
        <v>555547566</v>
      </c>
      <c r="D645" s="13" t="s">
        <v>644</v>
      </c>
      <c r="E645" s="17">
        <v>-61.159742985400001</v>
      </c>
      <c r="F645" s="17">
        <v>9.1946589833200001</v>
      </c>
      <c r="G645" s="14">
        <v>576</v>
      </c>
      <c r="H645" s="17">
        <v>24.37</v>
      </c>
      <c r="I645" s="17">
        <v>25.25</v>
      </c>
      <c r="J645" s="17">
        <v>26.5</v>
      </c>
      <c r="K645" s="17">
        <v>27.82</v>
      </c>
      <c r="L645" s="17">
        <v>29.27</v>
      </c>
      <c r="M645" s="17">
        <f t="shared" si="124"/>
        <v>0.87999999999999901</v>
      </c>
      <c r="N645" s="17">
        <f t="shared" si="125"/>
        <v>2.129999999999999</v>
      </c>
      <c r="O645" s="17">
        <f t="shared" si="126"/>
        <v>3.4499999999999993</v>
      </c>
      <c r="P645" s="17">
        <f t="shared" si="127"/>
        <v>4.8999999999999986</v>
      </c>
      <c r="Q645" s="17">
        <f t="shared" si="128"/>
        <v>2.299916338700236E-2</v>
      </c>
      <c r="R645" s="17">
        <f t="shared" si="121"/>
        <v>3.4760951244428288E-2</v>
      </c>
      <c r="S645" s="17">
        <f t="shared" si="122"/>
        <v>-3.4142035555470567E-2</v>
      </c>
      <c r="T645" s="17">
        <f t="shared" si="123"/>
        <v>0.1651146110490081</v>
      </c>
      <c r="U645" s="16">
        <v>6</v>
      </c>
      <c r="V645" s="16">
        <v>6</v>
      </c>
      <c r="W645" s="16">
        <v>7</v>
      </c>
      <c r="X645" s="16">
        <v>9</v>
      </c>
      <c r="Y645" s="15">
        <v>0.47799999999999998</v>
      </c>
      <c r="Z645" s="15">
        <v>0.60399999999999998</v>
      </c>
      <c r="AA645" s="15">
        <v>0.71599999999999997</v>
      </c>
      <c r="AB645" s="15">
        <v>0.81</v>
      </c>
      <c r="AC645" s="3">
        <f t="shared" si="129"/>
        <v>0.267003716193907</v>
      </c>
      <c r="AD645" s="3">
        <f t="shared" si="130"/>
        <v>0.31473699891806806</v>
      </c>
      <c r="AE645" s="3">
        <f t="shared" si="131"/>
        <v>0.30195110116738333</v>
      </c>
      <c r="AF645" s="3">
        <f t="shared" si="132"/>
        <v>0.27376099082749922</v>
      </c>
    </row>
    <row r="646" spans="1:32" x14ac:dyDescent="0.2">
      <c r="A646" s="30">
        <v>644</v>
      </c>
      <c r="B646" s="9" t="s">
        <v>1503</v>
      </c>
      <c r="C646" s="12">
        <v>555547569</v>
      </c>
      <c r="D646" s="13" t="s">
        <v>645</v>
      </c>
      <c r="E646" s="17">
        <v>-106.47300708100001</v>
      </c>
      <c r="F646" s="17">
        <v>21.517997466299999</v>
      </c>
      <c r="G646" s="14">
        <v>6180</v>
      </c>
      <c r="H646" s="17">
        <v>24.68</v>
      </c>
      <c r="I646" s="17">
        <v>25.98</v>
      </c>
      <c r="J646" s="17">
        <v>26.53</v>
      </c>
      <c r="K646" s="17">
        <v>27.98</v>
      </c>
      <c r="L646" s="17">
        <v>29.12</v>
      </c>
      <c r="M646" s="17">
        <f t="shared" si="124"/>
        <v>1.3000000000000007</v>
      </c>
      <c r="N646" s="17">
        <f t="shared" si="125"/>
        <v>1.8500000000000014</v>
      </c>
      <c r="O646" s="17">
        <f t="shared" si="126"/>
        <v>3.3000000000000007</v>
      </c>
      <c r="P646" s="17">
        <f t="shared" si="127"/>
        <v>4.4400000000000013</v>
      </c>
      <c r="Q646" s="17">
        <f t="shared" si="128"/>
        <v>0.53471436972894071</v>
      </c>
      <c r="R646" s="17">
        <f t="shared" si="121"/>
        <v>-0.35943965810204681</v>
      </c>
      <c r="S646" s="17">
        <f t="shared" si="122"/>
        <v>-0.20833019310119952</v>
      </c>
      <c r="T646" s="17">
        <f t="shared" si="123"/>
        <v>-0.30048597413028427</v>
      </c>
      <c r="U646" s="16">
        <v>2</v>
      </c>
      <c r="V646" s="16">
        <v>2</v>
      </c>
      <c r="W646" s="16">
        <v>2</v>
      </c>
      <c r="X646" s="16">
        <v>2</v>
      </c>
      <c r="Y646" s="15">
        <v>0.55400000000000005</v>
      </c>
      <c r="Z646" s="15">
        <v>0.65600000000000003</v>
      </c>
      <c r="AA646" s="15">
        <v>0.77300000000000002</v>
      </c>
      <c r="AB646" s="15">
        <v>0.84899999999999998</v>
      </c>
      <c r="AC646" s="3">
        <f t="shared" si="129"/>
        <v>0.96929510155417398</v>
      </c>
      <c r="AD646" s="3">
        <f t="shared" si="130"/>
        <v>0.78135455605990045</v>
      </c>
      <c r="AE646" s="3">
        <f t="shared" si="131"/>
        <v>0.77124624062163472</v>
      </c>
      <c r="AF646" s="3">
        <f t="shared" si="132"/>
        <v>0.59412859702248655</v>
      </c>
    </row>
    <row r="647" spans="1:32" x14ac:dyDescent="0.2">
      <c r="A647" s="30">
        <v>645</v>
      </c>
      <c r="B647" s="9" t="s">
        <v>1212</v>
      </c>
      <c r="C647" s="12">
        <v>555547583</v>
      </c>
      <c r="D647" s="13" t="s">
        <v>646</v>
      </c>
      <c r="E647" s="17">
        <v>0.51542559185500003</v>
      </c>
      <c r="F647" s="17">
        <v>5.8124889949599998</v>
      </c>
      <c r="G647" s="14">
        <v>67</v>
      </c>
      <c r="H647" s="17">
        <v>26.86</v>
      </c>
      <c r="I647" s="17">
        <v>28.26</v>
      </c>
      <c r="J647" s="17">
        <v>29.26</v>
      </c>
      <c r="K647" s="17">
        <v>30.38</v>
      </c>
      <c r="L647" s="17">
        <v>31.64</v>
      </c>
      <c r="M647" s="17">
        <f t="shared" si="124"/>
        <v>1.4000000000000021</v>
      </c>
      <c r="N647" s="17">
        <f t="shared" si="125"/>
        <v>2.4000000000000021</v>
      </c>
      <c r="O647" s="17">
        <f t="shared" si="126"/>
        <v>3.5199999999999996</v>
      </c>
      <c r="P647" s="17">
        <f t="shared" si="127"/>
        <v>4.7800000000000011</v>
      </c>
      <c r="Q647" s="17">
        <f t="shared" si="128"/>
        <v>0.65655132361987967</v>
      </c>
      <c r="R647" s="17">
        <f t="shared" si="121"/>
        <v>0.41488296739996555</v>
      </c>
      <c r="S647" s="17">
        <f t="shared" si="122"/>
        <v>4.7145771299204053E-2</v>
      </c>
      <c r="T647" s="17">
        <f t="shared" si="123"/>
        <v>4.3653588828324999E-2</v>
      </c>
      <c r="U647" s="16">
        <v>2</v>
      </c>
      <c r="V647" s="16">
        <v>6</v>
      </c>
      <c r="W647" s="16">
        <v>17</v>
      </c>
      <c r="X647" s="16">
        <v>26</v>
      </c>
      <c r="Y647" s="15">
        <v>0.46800000000000003</v>
      </c>
      <c r="Z647" s="15">
        <v>0.59799999999999998</v>
      </c>
      <c r="AA647" s="15">
        <v>0.72599999999999998</v>
      </c>
      <c r="AB647" s="15">
        <v>0.82599999999999996</v>
      </c>
      <c r="AC647" s="3">
        <f t="shared" si="129"/>
        <v>0.17459695496229341</v>
      </c>
      <c r="AD647" s="3">
        <f t="shared" si="130"/>
        <v>0.26089651155554894</v>
      </c>
      <c r="AE647" s="3">
        <f t="shared" si="131"/>
        <v>0.38428358177339234</v>
      </c>
      <c r="AF647" s="3">
        <f t="shared" si="132"/>
        <v>0.40519385490749349</v>
      </c>
    </row>
    <row r="648" spans="1:32" x14ac:dyDescent="0.2">
      <c r="A648" s="30">
        <v>646</v>
      </c>
      <c r="B648" s="9" t="s">
        <v>902</v>
      </c>
      <c r="C648" s="12">
        <v>555547593</v>
      </c>
      <c r="D648" s="13" t="s">
        <v>647</v>
      </c>
      <c r="E648" s="17">
        <v>-62.713923997099997</v>
      </c>
      <c r="F648" s="17">
        <v>17.3515539787</v>
      </c>
      <c r="G648" s="14">
        <v>32</v>
      </c>
      <c r="H648" s="17">
        <v>25.03</v>
      </c>
      <c r="I648" s="17">
        <v>25.95</v>
      </c>
      <c r="J648" s="17">
        <v>26.74</v>
      </c>
      <c r="K648" s="17">
        <v>27.69</v>
      </c>
      <c r="L648" s="17">
        <v>29.24</v>
      </c>
      <c r="M648" s="17">
        <f t="shared" si="124"/>
        <v>0.91999999999999815</v>
      </c>
      <c r="N648" s="17">
        <f t="shared" si="125"/>
        <v>1.7099999999999973</v>
      </c>
      <c r="O648" s="17">
        <f t="shared" si="126"/>
        <v>2.66</v>
      </c>
      <c r="P648" s="17">
        <f t="shared" si="127"/>
        <v>4.2099999999999973</v>
      </c>
      <c r="Q648" s="17">
        <f t="shared" si="128"/>
        <v>7.1733944943376204E-2</v>
      </c>
      <c r="R648" s="17">
        <f t="shared" si="121"/>
        <v>-0.55653996277529183</v>
      </c>
      <c r="S648" s="17">
        <f t="shared" si="122"/>
        <v>-0.95153299862965079</v>
      </c>
      <c r="T648" s="17">
        <f t="shared" si="123"/>
        <v>-0.53328626671993584</v>
      </c>
      <c r="U648" s="16">
        <v>0</v>
      </c>
      <c r="V648" s="16">
        <v>1</v>
      </c>
      <c r="W648" s="16">
        <v>1</v>
      </c>
      <c r="X648" s="16">
        <v>1</v>
      </c>
      <c r="Y648" s="15">
        <v>0.40699999999999997</v>
      </c>
      <c r="Z648" s="15">
        <v>0.53</v>
      </c>
      <c r="AA648" s="15">
        <v>0.63200000000000001</v>
      </c>
      <c r="AB648" s="15">
        <v>0.72</v>
      </c>
      <c r="AC648" s="3">
        <f t="shared" si="129"/>
        <v>-0.38908428855055249</v>
      </c>
      <c r="AD648" s="3">
        <f t="shared" si="130"/>
        <v>-0.34929567855300009</v>
      </c>
      <c r="AE648" s="3">
        <f t="shared" si="131"/>
        <v>-0.38964173592309143</v>
      </c>
      <c r="AF648" s="3">
        <f t="shared" si="132"/>
        <v>-0.46554886962247355</v>
      </c>
    </row>
    <row r="649" spans="1:32" x14ac:dyDescent="0.2">
      <c r="A649" s="30">
        <v>647</v>
      </c>
      <c r="B649" s="9" t="s">
        <v>903</v>
      </c>
      <c r="C649" s="12">
        <v>555547958</v>
      </c>
      <c r="D649" s="13" t="s">
        <v>648</v>
      </c>
      <c r="E649" s="17">
        <v>-61.610086507600002</v>
      </c>
      <c r="F649" s="17">
        <v>12.2244662569</v>
      </c>
      <c r="G649" s="14">
        <v>2</v>
      </c>
      <c r="H649" s="17">
        <v>25.6</v>
      </c>
      <c r="I649" s="17">
        <v>26.36</v>
      </c>
      <c r="J649" s="17">
        <v>27.27</v>
      </c>
      <c r="K649" s="17">
        <v>28.25</v>
      </c>
      <c r="L649" s="17">
        <v>29.6</v>
      </c>
      <c r="M649" s="17">
        <f t="shared" si="124"/>
        <v>0.75999999999999801</v>
      </c>
      <c r="N649" s="17">
        <f t="shared" si="125"/>
        <v>1.6699999999999982</v>
      </c>
      <c r="O649" s="17">
        <f t="shared" si="126"/>
        <v>2.6499999999999986</v>
      </c>
      <c r="P649" s="17">
        <f t="shared" si="127"/>
        <v>4</v>
      </c>
      <c r="Q649" s="17">
        <f t="shared" si="128"/>
        <v>-0.12320518128212352</v>
      </c>
      <c r="R649" s="17">
        <f t="shared" si="121"/>
        <v>-0.61285433553907331</v>
      </c>
      <c r="S649" s="17">
        <f t="shared" si="122"/>
        <v>-0.96314554246603468</v>
      </c>
      <c r="T649" s="17">
        <f t="shared" si="123"/>
        <v>-0.74584305560613307</v>
      </c>
      <c r="U649" s="16">
        <v>0</v>
      </c>
      <c r="V649" s="16">
        <v>0</v>
      </c>
      <c r="W649" s="16">
        <v>0</v>
      </c>
      <c r="X649" s="16">
        <v>0</v>
      </c>
      <c r="Y649" s="15">
        <v>0.49299999999999999</v>
      </c>
      <c r="Z649" s="15">
        <v>0.62</v>
      </c>
      <c r="AA649" s="15">
        <v>0.73399999999999999</v>
      </c>
      <c r="AB649" s="15">
        <v>0.82099999999999995</v>
      </c>
      <c r="AC649" s="3">
        <f t="shared" si="129"/>
        <v>0.4056138580413281</v>
      </c>
      <c r="AD649" s="3">
        <f t="shared" si="130"/>
        <v>0.45831163188478569</v>
      </c>
      <c r="AE649" s="3">
        <f t="shared" si="131"/>
        <v>0.45014956625819957</v>
      </c>
      <c r="AF649" s="3">
        <f t="shared" si="132"/>
        <v>0.36412108488249501</v>
      </c>
    </row>
    <row r="650" spans="1:32" x14ac:dyDescent="0.2">
      <c r="A650" s="30">
        <v>648</v>
      </c>
      <c r="B650" s="9" t="s">
        <v>1370</v>
      </c>
      <c r="C650" s="12">
        <v>555547967</v>
      </c>
      <c r="D650" s="13" t="s">
        <v>649</v>
      </c>
      <c r="E650" s="17">
        <v>130.424346856</v>
      </c>
      <c r="F650" s="17">
        <v>32.963420166200002</v>
      </c>
      <c r="G650" s="14">
        <v>15</v>
      </c>
      <c r="H650" s="17">
        <v>14.62</v>
      </c>
      <c r="I650" s="17">
        <v>15.78</v>
      </c>
      <c r="J650" s="17">
        <v>17.23</v>
      </c>
      <c r="K650" s="17">
        <v>18.38</v>
      </c>
      <c r="L650" s="17">
        <v>20.04</v>
      </c>
      <c r="M650" s="17">
        <f t="shared" si="124"/>
        <v>1.1600000000000001</v>
      </c>
      <c r="N650" s="17">
        <f t="shared" si="125"/>
        <v>2.6100000000000012</v>
      </c>
      <c r="O650" s="17">
        <f t="shared" si="126"/>
        <v>3.76</v>
      </c>
      <c r="P650" s="17">
        <f t="shared" si="127"/>
        <v>5.42</v>
      </c>
      <c r="Q650" s="17">
        <f t="shared" si="128"/>
        <v>0.36414263428162796</v>
      </c>
      <c r="R650" s="17">
        <f t="shared" si="121"/>
        <v>0.71053342440982314</v>
      </c>
      <c r="S650" s="17">
        <f t="shared" si="122"/>
        <v>0.32584682337237331</v>
      </c>
      <c r="T650" s="17">
        <f t="shared" si="123"/>
        <v>0.69144570733864741</v>
      </c>
      <c r="U650" s="16">
        <v>1</v>
      </c>
      <c r="V650" s="16">
        <v>1</v>
      </c>
      <c r="W650" s="16">
        <v>1</v>
      </c>
      <c r="X650" s="16">
        <v>1</v>
      </c>
      <c r="Y650" s="15">
        <v>0.47071428571399998</v>
      </c>
      <c r="Z650" s="15">
        <v>0.60871428571399999</v>
      </c>
      <c r="AA650" s="15">
        <v>0.75242857142899999</v>
      </c>
      <c r="AB650" s="15">
        <v>0.86942857142899999</v>
      </c>
      <c r="AC650" s="3">
        <f t="shared" si="129"/>
        <v>0.19967879015109088</v>
      </c>
      <c r="AD650" s="3">
        <f t="shared" si="130"/>
        <v>0.35704023898605503</v>
      </c>
      <c r="AE650" s="3">
        <f t="shared" si="131"/>
        <v>0.60187656623565888</v>
      </c>
      <c r="AF650" s="3">
        <f t="shared" si="132"/>
        <v>0.76194020027100073</v>
      </c>
    </row>
    <row r="651" spans="1:32" x14ac:dyDescent="0.2">
      <c r="A651" s="30">
        <v>649</v>
      </c>
      <c r="B651" s="9" t="s">
        <v>1371</v>
      </c>
      <c r="C651" s="12">
        <v>555547968</v>
      </c>
      <c r="D651" s="13" t="s">
        <v>650</v>
      </c>
      <c r="E651" s="17">
        <v>134.82669395400001</v>
      </c>
      <c r="F651" s="17">
        <v>35.569636894399999</v>
      </c>
      <c r="G651" s="14">
        <v>9</v>
      </c>
      <c r="H651" s="17">
        <v>13.11</v>
      </c>
      <c r="I651" s="17">
        <v>14.39</v>
      </c>
      <c r="J651" s="17">
        <v>15.94</v>
      </c>
      <c r="K651" s="17">
        <v>16.79</v>
      </c>
      <c r="L651" s="17">
        <v>18.93</v>
      </c>
      <c r="M651" s="17">
        <f t="shared" si="124"/>
        <v>1.2800000000000011</v>
      </c>
      <c r="N651" s="17">
        <f t="shared" si="125"/>
        <v>2.83</v>
      </c>
      <c r="O651" s="17">
        <f t="shared" si="126"/>
        <v>3.6799999999999997</v>
      </c>
      <c r="P651" s="17">
        <f t="shared" si="127"/>
        <v>5.82</v>
      </c>
      <c r="Q651" s="17">
        <f t="shared" si="128"/>
        <v>0.51034697895075376</v>
      </c>
      <c r="R651" s="17">
        <f t="shared" si="121"/>
        <v>1.0202624746106261</v>
      </c>
      <c r="S651" s="17">
        <f t="shared" si="122"/>
        <v>0.23294647268131688</v>
      </c>
      <c r="T651" s="17">
        <f t="shared" si="123"/>
        <v>1.0963157814076001</v>
      </c>
      <c r="U651" s="16">
        <v>0</v>
      </c>
      <c r="V651" s="16">
        <v>0</v>
      </c>
      <c r="W651" s="16">
        <v>0</v>
      </c>
      <c r="X651" s="16">
        <v>0</v>
      </c>
      <c r="Y651" s="15">
        <v>0.45400000000000001</v>
      </c>
      <c r="Z651" s="15">
        <v>0.59199999999999997</v>
      </c>
      <c r="AA651" s="15">
        <v>0.73699999999999999</v>
      </c>
      <c r="AB651" s="15">
        <v>0.85</v>
      </c>
      <c r="AC651" s="3">
        <f t="shared" si="129"/>
        <v>4.5227489238033707E-2</v>
      </c>
      <c r="AD651" s="3">
        <f t="shared" si="130"/>
        <v>0.20705602419302982</v>
      </c>
      <c r="AE651" s="3">
        <f t="shared" si="131"/>
        <v>0.47484931044000228</v>
      </c>
      <c r="AF651" s="3">
        <f t="shared" si="132"/>
        <v>0.60234315102748626</v>
      </c>
    </row>
    <row r="652" spans="1:32" x14ac:dyDescent="0.2">
      <c r="A652" s="30">
        <v>650</v>
      </c>
      <c r="B652" s="9" t="s">
        <v>1372</v>
      </c>
      <c r="C652" s="12">
        <v>555547975</v>
      </c>
      <c r="D652" s="13" t="s">
        <v>651</v>
      </c>
      <c r="E652" s="17">
        <v>125.26895750600001</v>
      </c>
      <c r="F652" s="17">
        <v>24.765862977000001</v>
      </c>
      <c r="G652" s="14">
        <v>14</v>
      </c>
      <c r="H652" s="17">
        <v>22.61</v>
      </c>
      <c r="I652" s="17">
        <v>23.58</v>
      </c>
      <c r="J652" s="17">
        <v>24.93</v>
      </c>
      <c r="K652" s="17">
        <v>25.66</v>
      </c>
      <c r="L652" s="17">
        <v>26.53</v>
      </c>
      <c r="M652" s="17">
        <f t="shared" si="124"/>
        <v>0.96999999999999886</v>
      </c>
      <c r="N652" s="17">
        <f t="shared" si="125"/>
        <v>2.3200000000000003</v>
      </c>
      <c r="O652" s="17">
        <f t="shared" si="126"/>
        <v>3.0500000000000007</v>
      </c>
      <c r="P652" s="17">
        <f t="shared" si="127"/>
        <v>3.9200000000000017</v>
      </c>
      <c r="Q652" s="17">
        <f t="shared" si="128"/>
        <v>0.13265242188884568</v>
      </c>
      <c r="R652" s="17">
        <f t="shared" si="121"/>
        <v>0.30225422187239764</v>
      </c>
      <c r="S652" s="17">
        <f t="shared" si="122"/>
        <v>-0.49864378901075057</v>
      </c>
      <c r="T652" s="17">
        <f t="shared" si="123"/>
        <v>-0.82681707041992181</v>
      </c>
      <c r="U652" s="16">
        <v>0</v>
      </c>
      <c r="V652" s="16">
        <v>0</v>
      </c>
      <c r="W652" s="16">
        <v>0</v>
      </c>
      <c r="X652" s="16">
        <v>0</v>
      </c>
      <c r="Y652" s="15">
        <v>0.48499999999999999</v>
      </c>
      <c r="Z652" s="15">
        <v>0.64200000000000002</v>
      </c>
      <c r="AA652" s="15">
        <v>0.77600000000000002</v>
      </c>
      <c r="AB652" s="15">
        <v>0.88</v>
      </c>
      <c r="AC652" s="3">
        <f t="shared" si="129"/>
        <v>0.33168844905603684</v>
      </c>
      <c r="AD652" s="3">
        <f t="shared" si="130"/>
        <v>0.65572675221402243</v>
      </c>
      <c r="AE652" s="3">
        <f t="shared" si="131"/>
        <v>0.79594598480343737</v>
      </c>
      <c r="AF652" s="3">
        <f t="shared" si="132"/>
        <v>0.84877977117747716</v>
      </c>
    </row>
    <row r="653" spans="1:32" x14ac:dyDescent="0.2">
      <c r="A653" s="30">
        <v>651</v>
      </c>
      <c r="B653" s="9" t="s">
        <v>904</v>
      </c>
      <c r="C653" s="12">
        <v>555547980</v>
      </c>
      <c r="D653" s="13" t="s">
        <v>652</v>
      </c>
      <c r="E653" s="17">
        <v>-63.002406031299998</v>
      </c>
      <c r="F653" s="17">
        <v>18.103119345</v>
      </c>
      <c r="G653" s="14">
        <v>50</v>
      </c>
      <c r="H653" s="17">
        <v>24.97</v>
      </c>
      <c r="I653" s="17">
        <v>25.91</v>
      </c>
      <c r="J653" s="17">
        <v>26.69</v>
      </c>
      <c r="K653" s="17">
        <v>27.68</v>
      </c>
      <c r="L653" s="17">
        <v>29.2</v>
      </c>
      <c r="M653" s="17">
        <f t="shared" si="124"/>
        <v>0.94000000000000128</v>
      </c>
      <c r="N653" s="17">
        <f t="shared" si="125"/>
        <v>1.7200000000000024</v>
      </c>
      <c r="O653" s="17">
        <f t="shared" si="126"/>
        <v>2.7100000000000009</v>
      </c>
      <c r="P653" s="17">
        <f t="shared" si="127"/>
        <v>4.2300000000000004</v>
      </c>
      <c r="Q653" s="17">
        <f t="shared" si="128"/>
        <v>9.6101335721567455E-2</v>
      </c>
      <c r="R653" s="17">
        <f t="shared" si="121"/>
        <v>-0.54246136958433899</v>
      </c>
      <c r="S653" s="17">
        <f t="shared" si="122"/>
        <v>-0.89347027944773982</v>
      </c>
      <c r="T653" s="17">
        <f t="shared" si="123"/>
        <v>-0.5130427630164851</v>
      </c>
      <c r="U653" s="16">
        <v>0</v>
      </c>
      <c r="V653" s="16">
        <v>0</v>
      </c>
      <c r="W653" s="16">
        <v>0</v>
      </c>
      <c r="X653" s="16">
        <v>0</v>
      </c>
      <c r="Y653" s="15">
        <v>0.44</v>
      </c>
      <c r="Z653" s="15">
        <v>0.56200000000000006</v>
      </c>
      <c r="AA653" s="15">
        <v>0.66400000000000003</v>
      </c>
      <c r="AB653" s="15">
        <v>0.76</v>
      </c>
      <c r="AC653" s="3">
        <f t="shared" si="129"/>
        <v>-8.4141976486226011E-2</v>
      </c>
      <c r="AD653" s="3">
        <f t="shared" si="130"/>
        <v>-6.2146412619564793E-2</v>
      </c>
      <c r="AE653" s="3">
        <f t="shared" si="131"/>
        <v>-0.12617779798386261</v>
      </c>
      <c r="AF653" s="3">
        <f t="shared" si="132"/>
        <v>-0.13696670942248565</v>
      </c>
    </row>
    <row r="654" spans="1:32" x14ac:dyDescent="0.2">
      <c r="A654" s="30">
        <v>652</v>
      </c>
      <c r="B654" s="9" t="s">
        <v>1504</v>
      </c>
      <c r="C654" s="12">
        <v>555547983</v>
      </c>
      <c r="D654" s="13" t="s">
        <v>653</v>
      </c>
      <c r="E654" s="17">
        <v>-5.3926497325399998</v>
      </c>
      <c r="F654" s="17">
        <v>43.519473152400003</v>
      </c>
      <c r="G654" s="14">
        <v>16</v>
      </c>
      <c r="H654" s="17">
        <v>12.88</v>
      </c>
      <c r="I654" s="17">
        <v>12.58</v>
      </c>
      <c r="J654" s="17">
        <v>14.2</v>
      </c>
      <c r="K654" s="17">
        <v>15.12</v>
      </c>
      <c r="L654" s="17">
        <v>16.399999999999999</v>
      </c>
      <c r="M654" s="17">
        <f t="shared" si="124"/>
        <v>-0.30000000000000071</v>
      </c>
      <c r="N654" s="17">
        <f t="shared" si="125"/>
        <v>1.3199999999999985</v>
      </c>
      <c r="O654" s="17">
        <f t="shared" si="126"/>
        <v>2.2399999999999984</v>
      </c>
      <c r="P654" s="17">
        <f t="shared" si="127"/>
        <v>3.5199999999999978</v>
      </c>
      <c r="Q654" s="17">
        <f t="shared" si="128"/>
        <v>-1.4146768925260564</v>
      </c>
      <c r="R654" s="17">
        <f t="shared" si="121"/>
        <v>-1.1056050972221709</v>
      </c>
      <c r="S654" s="17">
        <f t="shared" si="122"/>
        <v>-1.4392598397576986</v>
      </c>
      <c r="T654" s="17">
        <f t="shared" si="123"/>
        <v>-1.2316871444888779</v>
      </c>
      <c r="U654" s="16">
        <v>1</v>
      </c>
      <c r="V654" s="16">
        <v>1</v>
      </c>
      <c r="W654" s="16">
        <v>1</v>
      </c>
      <c r="X654" s="16">
        <v>1</v>
      </c>
      <c r="Y654" s="15">
        <v>0.46100000000000002</v>
      </c>
      <c r="Z654" s="15">
        <v>0.57499999999999996</v>
      </c>
      <c r="AA654" s="15">
        <v>0.68200000000000005</v>
      </c>
      <c r="AB654" s="15">
        <v>0.78</v>
      </c>
      <c r="AC654" s="3">
        <f t="shared" si="129"/>
        <v>0.10991222210016356</v>
      </c>
      <c r="AD654" s="3">
        <f t="shared" si="130"/>
        <v>5.4507976665892306E-2</v>
      </c>
      <c r="AE654" s="3">
        <f t="shared" si="131"/>
        <v>2.2020667106953617E-2</v>
      </c>
      <c r="AF654" s="3">
        <f t="shared" si="132"/>
        <v>2.732437067750831E-2</v>
      </c>
    </row>
    <row r="655" spans="1:32" x14ac:dyDescent="0.2">
      <c r="A655" s="30">
        <v>653</v>
      </c>
      <c r="B655" s="9" t="s">
        <v>1373</v>
      </c>
      <c r="C655" s="12">
        <v>555547992</v>
      </c>
      <c r="D655" s="13" t="s">
        <v>654</v>
      </c>
      <c r="E655" s="17">
        <v>134.35779019099999</v>
      </c>
      <c r="F655" s="17">
        <v>7.2685624778599998</v>
      </c>
      <c r="G655" s="14">
        <v>264</v>
      </c>
      <c r="H655" s="17">
        <v>26.05</v>
      </c>
      <c r="I655" s="17">
        <v>27.03</v>
      </c>
      <c r="J655" s="17">
        <v>28.24</v>
      </c>
      <c r="K655" s="17">
        <v>29.31</v>
      </c>
      <c r="L655" s="17">
        <v>30.19</v>
      </c>
      <c r="M655" s="17">
        <f t="shared" si="124"/>
        <v>0.98000000000000043</v>
      </c>
      <c r="N655" s="17">
        <f t="shared" si="125"/>
        <v>2.1899999999999977</v>
      </c>
      <c r="O655" s="17">
        <f t="shared" si="126"/>
        <v>3.259999999999998</v>
      </c>
      <c r="P655" s="17">
        <f t="shared" si="127"/>
        <v>4.1400000000000006</v>
      </c>
      <c r="Q655" s="17">
        <f t="shared" si="128"/>
        <v>0.1448361172779413</v>
      </c>
      <c r="R655" s="17">
        <f t="shared" si="121"/>
        <v>0.11923251039010045</v>
      </c>
      <c r="S655" s="17">
        <f t="shared" si="122"/>
        <v>-0.25478036844673085</v>
      </c>
      <c r="T655" s="17">
        <f t="shared" si="123"/>
        <v>-0.60413852968199921</v>
      </c>
      <c r="U655" s="16">
        <v>0</v>
      </c>
      <c r="V655" s="16">
        <v>0</v>
      </c>
      <c r="W655" s="16">
        <v>1</v>
      </c>
      <c r="X655" s="16">
        <v>1</v>
      </c>
      <c r="Y655" s="15">
        <v>0.503</v>
      </c>
      <c r="Z655" s="15">
        <v>0.60399999999999998</v>
      </c>
      <c r="AA655" s="15">
        <v>0.72499999999999998</v>
      </c>
      <c r="AB655" s="15">
        <v>0.82950000000000002</v>
      </c>
      <c r="AC655" s="3">
        <f t="shared" si="129"/>
        <v>0.49802061927294222</v>
      </c>
      <c r="AD655" s="3">
        <f t="shared" si="130"/>
        <v>0.31473699891806806</v>
      </c>
      <c r="AE655" s="3">
        <f t="shared" si="131"/>
        <v>0.37605033371279145</v>
      </c>
      <c r="AF655" s="3">
        <f t="shared" si="132"/>
        <v>0.43394479392499286</v>
      </c>
    </row>
    <row r="656" spans="1:32" x14ac:dyDescent="0.2">
      <c r="A656" s="30">
        <v>654</v>
      </c>
      <c r="B656" s="9" t="s">
        <v>1213</v>
      </c>
      <c r="C656" s="12">
        <v>555555574</v>
      </c>
      <c r="D656" s="13" t="s">
        <v>655</v>
      </c>
      <c r="E656" s="17">
        <v>10.9823520141</v>
      </c>
      <c r="F656" s="17">
        <v>36.8311558228</v>
      </c>
      <c r="G656" s="14">
        <v>2</v>
      </c>
      <c r="H656" s="17">
        <v>17.96</v>
      </c>
      <c r="I656" s="17">
        <v>19.13</v>
      </c>
      <c r="J656" s="17">
        <v>20.79</v>
      </c>
      <c r="K656" s="17">
        <v>22.05</v>
      </c>
      <c r="L656" s="17">
        <v>23.39</v>
      </c>
      <c r="M656" s="17">
        <f t="shared" si="124"/>
        <v>1.1699999999999982</v>
      </c>
      <c r="N656" s="17">
        <f t="shared" si="125"/>
        <v>2.8299999999999983</v>
      </c>
      <c r="O656" s="17">
        <f t="shared" si="126"/>
        <v>4.09</v>
      </c>
      <c r="P656" s="17">
        <f t="shared" si="127"/>
        <v>5.43</v>
      </c>
      <c r="Q656" s="17">
        <f t="shared" si="128"/>
        <v>0.37632632967071922</v>
      </c>
      <c r="R656" s="17">
        <f t="shared" si="121"/>
        <v>1.0202624746106235</v>
      </c>
      <c r="S656" s="17">
        <f t="shared" si="122"/>
        <v>0.70906076997298073</v>
      </c>
      <c r="T656" s="17">
        <f t="shared" si="123"/>
        <v>0.701567459190371</v>
      </c>
      <c r="U656" s="16">
        <v>0</v>
      </c>
      <c r="V656" s="16">
        <v>0</v>
      </c>
      <c r="W656" s="16">
        <v>0</v>
      </c>
      <c r="X656" s="16">
        <v>0</v>
      </c>
      <c r="Y656" s="15">
        <v>0.45400000000000001</v>
      </c>
      <c r="Z656" s="15">
        <v>0.56999999999999995</v>
      </c>
      <c r="AA656" s="15">
        <v>0.67800000000000005</v>
      </c>
      <c r="AB656" s="15">
        <v>0.77600000000000002</v>
      </c>
      <c r="AC656" s="3">
        <f t="shared" si="129"/>
        <v>4.5227489238033707E-2</v>
      </c>
      <c r="AD656" s="3">
        <f t="shared" si="130"/>
        <v>9.6409038637930381E-3</v>
      </c>
      <c r="AE656" s="3">
        <f t="shared" si="131"/>
        <v>-1.0912325135449989E-2</v>
      </c>
      <c r="AF656" s="3">
        <f t="shared" si="132"/>
        <v>-5.5338453424904786E-3</v>
      </c>
    </row>
    <row r="657" spans="1:32" x14ac:dyDescent="0.2">
      <c r="A657" s="30">
        <v>655</v>
      </c>
      <c r="B657" s="9" t="s">
        <v>1374</v>
      </c>
      <c r="C657" s="12">
        <v>555555577</v>
      </c>
      <c r="D657" s="13" t="s">
        <v>656</v>
      </c>
      <c r="E657" s="17">
        <v>168.111337542</v>
      </c>
      <c r="F657" s="17">
        <v>5.6179617371999999</v>
      </c>
      <c r="G657" s="14">
        <v>7</v>
      </c>
      <c r="H657" s="17">
        <v>26.2</v>
      </c>
      <c r="I657" s="17">
        <v>27.39</v>
      </c>
      <c r="J657" s="17">
        <v>28.17</v>
      </c>
      <c r="K657" s="17">
        <v>29.24</v>
      </c>
      <c r="L657" s="17">
        <v>30.38</v>
      </c>
      <c r="M657" s="17">
        <f t="shared" si="124"/>
        <v>1.1900000000000013</v>
      </c>
      <c r="N657" s="17">
        <f t="shared" si="125"/>
        <v>1.9700000000000024</v>
      </c>
      <c r="O657" s="17">
        <f t="shared" si="126"/>
        <v>3.0399999999999991</v>
      </c>
      <c r="P657" s="17">
        <f t="shared" si="127"/>
        <v>4.18</v>
      </c>
      <c r="Q657" s="17">
        <f t="shared" si="128"/>
        <v>0.4006937204489105</v>
      </c>
      <c r="R657" s="17">
        <f t="shared" si="121"/>
        <v>-0.19049653981069747</v>
      </c>
      <c r="S657" s="17">
        <f t="shared" si="122"/>
        <v>-0.51025633284713445</v>
      </c>
      <c r="T657" s="17">
        <f t="shared" si="123"/>
        <v>-0.56365152227510484</v>
      </c>
      <c r="U657" s="16">
        <v>0</v>
      </c>
      <c r="V657" s="16">
        <v>0</v>
      </c>
      <c r="W657" s="16">
        <v>0</v>
      </c>
      <c r="X657" s="16">
        <v>0</v>
      </c>
      <c r="Y657" s="15">
        <v>0.52800000000000002</v>
      </c>
      <c r="Z657" s="15">
        <v>0.63</v>
      </c>
      <c r="AA657" s="15">
        <v>0.754</v>
      </c>
      <c r="AB657" s="15">
        <v>0.85799999999999998</v>
      </c>
      <c r="AC657" s="3">
        <f t="shared" si="129"/>
        <v>0.72903752235197739</v>
      </c>
      <c r="AD657" s="3">
        <f t="shared" si="130"/>
        <v>0.5480457774889842</v>
      </c>
      <c r="AE657" s="3">
        <f t="shared" si="131"/>
        <v>0.61481452747021759</v>
      </c>
      <c r="AF657" s="3">
        <f t="shared" si="132"/>
        <v>0.66805958306748381</v>
      </c>
    </row>
    <row r="658" spans="1:32" x14ac:dyDescent="0.2">
      <c r="A658" s="30">
        <v>656</v>
      </c>
      <c r="B658" s="9" t="s">
        <v>1214</v>
      </c>
      <c r="C658" s="12">
        <v>555555578</v>
      </c>
      <c r="D658" s="13" t="s">
        <v>657</v>
      </c>
      <c r="E658" s="17">
        <v>10.026140034499999</v>
      </c>
      <c r="F658" s="17">
        <v>34.156292702099996</v>
      </c>
      <c r="G658" s="14">
        <v>14</v>
      </c>
      <c r="H658" s="17">
        <v>19.53</v>
      </c>
      <c r="I658" s="17">
        <v>21.13</v>
      </c>
      <c r="J658" s="17">
        <v>22.69</v>
      </c>
      <c r="K658" s="17">
        <v>23.66</v>
      </c>
      <c r="L658" s="17">
        <v>25.36</v>
      </c>
      <c r="M658" s="17">
        <f t="shared" si="124"/>
        <v>1.5999999999999979</v>
      </c>
      <c r="N658" s="17">
        <f t="shared" si="125"/>
        <v>3.16</v>
      </c>
      <c r="O658" s="17">
        <f t="shared" si="126"/>
        <v>4.129999999999999</v>
      </c>
      <c r="P658" s="17">
        <f t="shared" si="127"/>
        <v>5.8299999999999983</v>
      </c>
      <c r="Q658" s="17">
        <f t="shared" si="128"/>
        <v>0.90022523140174893</v>
      </c>
      <c r="R658" s="17">
        <f t="shared" si="121"/>
        <v>1.4848560499118331</v>
      </c>
      <c r="S658" s="17">
        <f t="shared" si="122"/>
        <v>0.75551094531850793</v>
      </c>
      <c r="T658" s="17">
        <f t="shared" si="123"/>
        <v>1.1064375332593217</v>
      </c>
      <c r="U658" s="16">
        <v>0</v>
      </c>
      <c r="V658" s="16">
        <v>0</v>
      </c>
      <c r="W658" s="16">
        <v>0</v>
      </c>
      <c r="X658" s="16">
        <v>0</v>
      </c>
      <c r="Y658" s="15">
        <v>0.42199999999999999</v>
      </c>
      <c r="Z658" s="15">
        <v>0.54</v>
      </c>
      <c r="AA658" s="15">
        <v>0.65</v>
      </c>
      <c r="AB658" s="15">
        <v>0.749</v>
      </c>
      <c r="AC658" s="3">
        <f t="shared" si="129"/>
        <v>-0.25047414670313134</v>
      </c>
      <c r="AD658" s="3">
        <f t="shared" si="130"/>
        <v>-0.25956153294880158</v>
      </c>
      <c r="AE658" s="3">
        <f t="shared" si="131"/>
        <v>-0.24144327083227521</v>
      </c>
      <c r="AF658" s="3">
        <f t="shared" si="132"/>
        <v>-0.2273268034774823</v>
      </c>
    </row>
    <row r="659" spans="1:32" x14ac:dyDescent="0.2">
      <c r="A659" s="30">
        <v>657</v>
      </c>
      <c r="B659" s="9" t="s">
        <v>905</v>
      </c>
      <c r="C659" s="12">
        <v>555556046</v>
      </c>
      <c r="D659" s="13" t="s">
        <v>658</v>
      </c>
      <c r="E659" s="17">
        <v>-113.764026773</v>
      </c>
      <c r="F659" s="17">
        <v>31.912367404600001</v>
      </c>
      <c r="G659" s="14">
        <v>2</v>
      </c>
      <c r="H659" s="17">
        <v>19.579999999999998</v>
      </c>
      <c r="I659" s="17">
        <v>22.07</v>
      </c>
      <c r="J659" s="17">
        <v>23.59</v>
      </c>
      <c r="K659" s="17">
        <v>25.45</v>
      </c>
      <c r="L659" s="17">
        <v>27.11</v>
      </c>
      <c r="M659" s="17">
        <f t="shared" si="124"/>
        <v>2.490000000000002</v>
      </c>
      <c r="N659" s="17">
        <f t="shared" si="125"/>
        <v>4.0100000000000016</v>
      </c>
      <c r="O659" s="17">
        <f t="shared" si="126"/>
        <v>5.870000000000001</v>
      </c>
      <c r="P659" s="17">
        <f t="shared" si="127"/>
        <v>7.5300000000000011</v>
      </c>
      <c r="Q659" s="17">
        <f t="shared" si="128"/>
        <v>1.9845741210310952</v>
      </c>
      <c r="R659" s="17">
        <f t="shared" si="121"/>
        <v>2.6815364711422163</v>
      </c>
      <c r="S659" s="17">
        <f t="shared" si="122"/>
        <v>2.7760935728489855</v>
      </c>
      <c r="T659" s="17">
        <f t="shared" si="123"/>
        <v>2.8271353480523715</v>
      </c>
      <c r="U659" s="16">
        <v>0</v>
      </c>
      <c r="V659" s="16">
        <v>0</v>
      </c>
      <c r="W659" s="16">
        <v>0</v>
      </c>
      <c r="X659" s="16">
        <v>0</v>
      </c>
      <c r="Y659" s="15">
        <v>0.45400000000000001</v>
      </c>
      <c r="Z659" s="15">
        <v>0.55400000000000005</v>
      </c>
      <c r="AA659" s="15">
        <v>0.65800000000000003</v>
      </c>
      <c r="AB659" s="15">
        <v>0.74399999999999999</v>
      </c>
      <c r="AC659" s="3">
        <f t="shared" si="129"/>
        <v>4.5227489238033707E-2</v>
      </c>
      <c r="AD659" s="3">
        <f t="shared" si="130"/>
        <v>-0.13393372910292362</v>
      </c>
      <c r="AE659" s="3">
        <f t="shared" si="131"/>
        <v>-0.175577286347468</v>
      </c>
      <c r="AF659" s="3">
        <f t="shared" si="132"/>
        <v>-0.26839957350248078</v>
      </c>
    </row>
    <row r="660" spans="1:32" x14ac:dyDescent="0.2">
      <c r="A660" s="30">
        <v>658</v>
      </c>
      <c r="B660" s="9" t="s">
        <v>1215</v>
      </c>
      <c r="C660" s="12">
        <v>555556048</v>
      </c>
      <c r="D660" s="13" t="s">
        <v>659</v>
      </c>
      <c r="E660" s="17">
        <v>15.224763854400001</v>
      </c>
      <c r="F660" s="17">
        <v>-24.662726334999999</v>
      </c>
      <c r="G660" s="14">
        <v>253</v>
      </c>
      <c r="H660" s="17">
        <v>19.34</v>
      </c>
      <c r="I660" s="17">
        <v>21.76</v>
      </c>
      <c r="J660" s="17">
        <v>21.93</v>
      </c>
      <c r="K660" s="17">
        <v>23.67</v>
      </c>
      <c r="L660" s="17">
        <v>24.7</v>
      </c>
      <c r="M660" s="17">
        <f t="shared" si="124"/>
        <v>2.4200000000000017</v>
      </c>
      <c r="N660" s="17">
        <f t="shared" si="125"/>
        <v>2.59</v>
      </c>
      <c r="O660" s="17">
        <f t="shared" si="126"/>
        <v>4.3300000000000018</v>
      </c>
      <c r="P660" s="17">
        <f t="shared" si="127"/>
        <v>5.3599999999999994</v>
      </c>
      <c r="Q660" s="17">
        <f t="shared" si="128"/>
        <v>1.8992882533074387</v>
      </c>
      <c r="R660" s="17">
        <f t="shared" si="121"/>
        <v>0.6823762380279299</v>
      </c>
      <c r="S660" s="17">
        <f t="shared" si="122"/>
        <v>0.98776182204615204</v>
      </c>
      <c r="T660" s="17">
        <f t="shared" si="123"/>
        <v>0.63071519622830408</v>
      </c>
      <c r="U660" s="16">
        <v>25</v>
      </c>
      <c r="V660" s="16">
        <v>34</v>
      </c>
      <c r="W660" s="16">
        <v>42</v>
      </c>
      <c r="X660" s="16">
        <v>48</v>
      </c>
      <c r="Y660" s="15">
        <v>0.47199999999999998</v>
      </c>
      <c r="Z660" s="15">
        <v>0.60499999999999998</v>
      </c>
      <c r="AA660" s="15">
        <v>0.74</v>
      </c>
      <c r="AB660" s="15">
        <v>0.83499999999999996</v>
      </c>
      <c r="AC660" s="3">
        <f t="shared" si="129"/>
        <v>0.21155965945493854</v>
      </c>
      <c r="AD660" s="3">
        <f t="shared" si="130"/>
        <v>0.32371041347848789</v>
      </c>
      <c r="AE660" s="3">
        <f t="shared" si="131"/>
        <v>0.49954905462180499</v>
      </c>
      <c r="AF660" s="3">
        <f t="shared" si="132"/>
        <v>0.47912484095249075</v>
      </c>
    </row>
    <row r="661" spans="1:32" x14ac:dyDescent="0.2">
      <c r="A661" s="30">
        <v>659</v>
      </c>
      <c r="B661" s="9" t="s">
        <v>906</v>
      </c>
      <c r="C661" s="12">
        <v>555558370</v>
      </c>
      <c r="D661" s="13" t="s">
        <v>660</v>
      </c>
      <c r="E661" s="17">
        <v>-69.051178056300003</v>
      </c>
      <c r="F661" s="17">
        <v>12.202546123599999</v>
      </c>
      <c r="G661" s="14">
        <v>6</v>
      </c>
      <c r="H661" s="17">
        <v>25.89</v>
      </c>
      <c r="I661" s="17">
        <v>26.69</v>
      </c>
      <c r="J661" s="17">
        <v>27.6</v>
      </c>
      <c r="K661" s="17">
        <v>28.55</v>
      </c>
      <c r="L661" s="17">
        <v>30.05</v>
      </c>
      <c r="M661" s="17">
        <f t="shared" si="124"/>
        <v>0.80000000000000071</v>
      </c>
      <c r="N661" s="17">
        <f t="shared" si="125"/>
        <v>1.7100000000000009</v>
      </c>
      <c r="O661" s="17">
        <f t="shared" si="126"/>
        <v>2.66</v>
      </c>
      <c r="P661" s="17">
        <f t="shared" si="127"/>
        <v>4.16</v>
      </c>
      <c r="Q661" s="17">
        <f t="shared" si="128"/>
        <v>-7.4470399725745332E-2</v>
      </c>
      <c r="R661" s="17">
        <f t="shared" si="121"/>
        <v>-0.55653996277528683</v>
      </c>
      <c r="S661" s="17">
        <f t="shared" si="122"/>
        <v>-0.95153299862965079</v>
      </c>
      <c r="T661" s="17">
        <f t="shared" si="123"/>
        <v>-0.58389502597855203</v>
      </c>
      <c r="U661" s="16">
        <v>0</v>
      </c>
      <c r="V661" s="16">
        <v>0</v>
      </c>
      <c r="W661" s="16">
        <v>0</v>
      </c>
      <c r="X661" s="16">
        <v>0</v>
      </c>
      <c r="Y661" s="15">
        <v>0.51400000000000001</v>
      </c>
      <c r="Z661" s="15">
        <v>0.64300000000000002</v>
      </c>
      <c r="AA661" s="15">
        <v>0.76200000000000001</v>
      </c>
      <c r="AB661" s="15">
        <v>0.85199999999999998</v>
      </c>
      <c r="AC661" s="3">
        <f t="shared" si="129"/>
        <v>0.59966805662771772</v>
      </c>
      <c r="AD661" s="3">
        <f t="shared" si="130"/>
        <v>0.66470016677444232</v>
      </c>
      <c r="AE661" s="3">
        <f t="shared" si="131"/>
        <v>0.68068051195502477</v>
      </c>
      <c r="AF661" s="3">
        <f t="shared" si="132"/>
        <v>0.61877225903748556</v>
      </c>
    </row>
    <row r="662" spans="1:32" x14ac:dyDescent="0.2">
      <c r="A662" s="30">
        <v>660</v>
      </c>
      <c r="B662" s="9" t="s">
        <v>1505</v>
      </c>
      <c r="C662" s="12">
        <v>555558372</v>
      </c>
      <c r="D662" s="13" t="s">
        <v>661</v>
      </c>
      <c r="E662" s="17">
        <v>-69.088066682600001</v>
      </c>
      <c r="F662" s="17">
        <v>12.3355717905</v>
      </c>
      <c r="G662" s="14">
        <v>17</v>
      </c>
      <c r="H662" s="17">
        <v>25.82</v>
      </c>
      <c r="I662" s="17">
        <v>26.61</v>
      </c>
      <c r="J662" s="17">
        <v>27.51</v>
      </c>
      <c r="K662" s="17">
        <v>28.46</v>
      </c>
      <c r="L662" s="17">
        <v>29.94</v>
      </c>
      <c r="M662" s="17">
        <f t="shared" si="124"/>
        <v>0.78999999999999915</v>
      </c>
      <c r="N662" s="17">
        <f t="shared" si="125"/>
        <v>1.6900000000000013</v>
      </c>
      <c r="O662" s="17">
        <f t="shared" si="126"/>
        <v>2.6400000000000006</v>
      </c>
      <c r="P662" s="17">
        <f t="shared" si="127"/>
        <v>4.120000000000001</v>
      </c>
      <c r="Q662" s="17">
        <f t="shared" si="128"/>
        <v>-8.6654095114840957E-2</v>
      </c>
      <c r="R662" s="17">
        <f t="shared" si="121"/>
        <v>-0.58469714915717763</v>
      </c>
      <c r="S662" s="17">
        <f t="shared" si="122"/>
        <v>-0.97475808630241445</v>
      </c>
      <c r="T662" s="17">
        <f t="shared" si="123"/>
        <v>-0.6243820333854464</v>
      </c>
      <c r="U662" s="16">
        <v>0</v>
      </c>
      <c r="V662" s="16">
        <v>0</v>
      </c>
      <c r="W662" s="16">
        <v>0</v>
      </c>
      <c r="X662" s="16">
        <v>0</v>
      </c>
      <c r="Y662" s="15">
        <v>0.51400000000000001</v>
      </c>
      <c r="Z662" s="15">
        <v>0.64300000000000002</v>
      </c>
      <c r="AA662" s="15">
        <v>0.76200000000000001</v>
      </c>
      <c r="AB662" s="15">
        <v>0.85199999999999998</v>
      </c>
      <c r="AC662" s="3">
        <f t="shared" si="129"/>
        <v>0.59966805662771772</v>
      </c>
      <c r="AD662" s="3">
        <f t="shared" si="130"/>
        <v>0.66470016677444232</v>
      </c>
      <c r="AE662" s="3">
        <f t="shared" si="131"/>
        <v>0.68068051195502477</v>
      </c>
      <c r="AF662" s="3">
        <f t="shared" si="132"/>
        <v>0.61877225903748556</v>
      </c>
    </row>
    <row r="663" spans="1:32" x14ac:dyDescent="0.2">
      <c r="A663" s="30">
        <v>661</v>
      </c>
      <c r="B663" s="9" t="s">
        <v>1506</v>
      </c>
      <c r="C663" s="12">
        <v>555558375</v>
      </c>
      <c r="D663" s="13" t="s">
        <v>662</v>
      </c>
      <c r="E663" s="17">
        <v>-64.294130798400005</v>
      </c>
      <c r="F663" s="17">
        <v>-42.4589429607</v>
      </c>
      <c r="G663" s="14">
        <v>98</v>
      </c>
      <c r="H663" s="17">
        <v>13.56</v>
      </c>
      <c r="I663" s="17">
        <v>15.87</v>
      </c>
      <c r="J663" s="17">
        <v>16.39</v>
      </c>
      <c r="K663" s="17">
        <v>16.95</v>
      </c>
      <c r="L663" s="17">
        <v>17.899999999999999</v>
      </c>
      <c r="M663" s="17">
        <f t="shared" si="124"/>
        <v>2.3099999999999987</v>
      </c>
      <c r="N663" s="17">
        <f t="shared" si="125"/>
        <v>2.83</v>
      </c>
      <c r="O663" s="17">
        <f t="shared" si="126"/>
        <v>3.3899999999999988</v>
      </c>
      <c r="P663" s="17">
        <f t="shared" si="127"/>
        <v>4.3399999999999981</v>
      </c>
      <c r="Q663" s="17">
        <f t="shared" si="128"/>
        <v>1.7652676040274042</v>
      </c>
      <c r="R663" s="17">
        <f t="shared" si="121"/>
        <v>1.0202624746106261</v>
      </c>
      <c r="S663" s="17">
        <f t="shared" si="122"/>
        <v>-0.10381729857376339</v>
      </c>
      <c r="T663" s="17">
        <f t="shared" si="123"/>
        <v>-0.40170349264752558</v>
      </c>
      <c r="U663" s="16">
        <v>0</v>
      </c>
      <c r="V663" s="16">
        <v>0</v>
      </c>
      <c r="W663" s="16">
        <v>1</v>
      </c>
      <c r="X663" s="16">
        <v>1</v>
      </c>
      <c r="Y663" s="15">
        <v>0.4</v>
      </c>
      <c r="Z663" s="15">
        <v>0.51100000000000001</v>
      </c>
      <c r="AA663" s="15">
        <v>0.624</v>
      </c>
      <c r="AB663" s="15">
        <v>0.69599999999999995</v>
      </c>
      <c r="AC663" s="3">
        <f t="shared" si="129"/>
        <v>-0.45376902141268183</v>
      </c>
      <c r="AD663" s="3">
        <f t="shared" si="130"/>
        <v>-0.51979055520097728</v>
      </c>
      <c r="AE663" s="3">
        <f t="shared" si="131"/>
        <v>-0.45550772040789866</v>
      </c>
      <c r="AF663" s="3">
        <f t="shared" si="132"/>
        <v>-0.66269816574246632</v>
      </c>
    </row>
    <row r="664" spans="1:32" x14ac:dyDescent="0.2">
      <c r="A664" s="30">
        <v>662</v>
      </c>
      <c r="B664" s="9" t="s">
        <v>1375</v>
      </c>
      <c r="C664" s="12">
        <v>555558376</v>
      </c>
      <c r="D664" s="13" t="s">
        <v>663</v>
      </c>
      <c r="E664" s="17">
        <v>140.92672914400001</v>
      </c>
      <c r="F664" s="17">
        <v>-38.048996002499997</v>
      </c>
      <c r="G664" s="14">
        <v>12</v>
      </c>
      <c r="H664" s="17">
        <v>13.73</v>
      </c>
      <c r="I664" s="17">
        <v>15.66</v>
      </c>
      <c r="J664" s="17">
        <v>16.62</v>
      </c>
      <c r="K664" s="17">
        <v>17.239999999999998</v>
      </c>
      <c r="L664" s="17">
        <v>17.920000000000002</v>
      </c>
      <c r="M664" s="17">
        <f t="shared" si="124"/>
        <v>1.9299999999999997</v>
      </c>
      <c r="N664" s="17">
        <f t="shared" si="125"/>
        <v>2.8900000000000006</v>
      </c>
      <c r="O664" s="17">
        <f t="shared" si="126"/>
        <v>3.509999999999998</v>
      </c>
      <c r="P664" s="17">
        <f t="shared" si="127"/>
        <v>4.1900000000000013</v>
      </c>
      <c r="Q664" s="17">
        <f t="shared" si="128"/>
        <v>1.302287179241844</v>
      </c>
      <c r="R664" s="17">
        <f t="shared" si="121"/>
        <v>1.1047340337563007</v>
      </c>
      <c r="S664" s="17">
        <f t="shared" si="122"/>
        <v>3.5533227462820199E-2</v>
      </c>
      <c r="T664" s="17">
        <f t="shared" si="123"/>
        <v>-0.55352977042337947</v>
      </c>
      <c r="U664" s="16">
        <v>0</v>
      </c>
      <c r="V664" s="16">
        <v>0</v>
      </c>
      <c r="W664" s="16">
        <v>0</v>
      </c>
      <c r="X664" s="16">
        <v>0</v>
      </c>
      <c r="Y664" s="15">
        <v>0.45500000000000002</v>
      </c>
      <c r="Z664" s="15">
        <v>0.55800000000000005</v>
      </c>
      <c r="AA664" s="15">
        <v>0.65600000000000003</v>
      </c>
      <c r="AB664" s="15">
        <v>0.73199999999999998</v>
      </c>
      <c r="AC664" s="3">
        <f t="shared" si="129"/>
        <v>5.4468165361195114E-2</v>
      </c>
      <c r="AD664" s="3">
        <f t="shared" si="130"/>
        <v>-9.8040070861244208E-2</v>
      </c>
      <c r="AE664" s="3">
        <f t="shared" si="131"/>
        <v>-0.19204378246866982</v>
      </c>
      <c r="AF664" s="3">
        <f t="shared" si="132"/>
        <v>-0.36697422156247717</v>
      </c>
    </row>
    <row r="665" spans="1:32" x14ac:dyDescent="0.2">
      <c r="A665" s="30">
        <v>663</v>
      </c>
      <c r="B665" s="9" t="s">
        <v>1376</v>
      </c>
      <c r="C665" s="12">
        <v>555558392</v>
      </c>
      <c r="D665" s="13" t="s">
        <v>664</v>
      </c>
      <c r="E665" s="17">
        <v>119.085607314</v>
      </c>
      <c r="F665" s="17">
        <v>37.7697876075</v>
      </c>
      <c r="G665" s="14">
        <v>1467</v>
      </c>
      <c r="H665" s="17">
        <v>9.8000000000000007</v>
      </c>
      <c r="I665" s="17">
        <v>13.24</v>
      </c>
      <c r="J665" s="17">
        <v>13.99</v>
      </c>
      <c r="K665" s="17">
        <v>15.2</v>
      </c>
      <c r="L665" s="17">
        <v>17.84</v>
      </c>
      <c r="M665" s="17">
        <f t="shared" si="124"/>
        <v>3.4399999999999995</v>
      </c>
      <c r="N665" s="17">
        <f t="shared" si="125"/>
        <v>4.1899999999999995</v>
      </c>
      <c r="O665" s="17">
        <f t="shared" si="126"/>
        <v>5.3999999999999986</v>
      </c>
      <c r="P665" s="17">
        <f t="shared" si="127"/>
        <v>8.0399999999999991</v>
      </c>
      <c r="Q665" s="17">
        <f t="shared" si="128"/>
        <v>3.1420251829949959</v>
      </c>
      <c r="R665" s="17">
        <f t="shared" si="121"/>
        <v>2.934951148579235</v>
      </c>
      <c r="S665" s="17">
        <f t="shared" si="122"/>
        <v>2.2303040125390265</v>
      </c>
      <c r="T665" s="17">
        <f t="shared" si="123"/>
        <v>3.3433446924902839</v>
      </c>
      <c r="U665" s="16">
        <v>127</v>
      </c>
      <c r="V665" s="16">
        <v>182</v>
      </c>
      <c r="W665" s="16">
        <v>236</v>
      </c>
      <c r="X665" s="16">
        <v>277</v>
      </c>
      <c r="Y665" s="15">
        <v>0.38500000000000001</v>
      </c>
      <c r="Z665" s="15">
        <v>0.51200000000000001</v>
      </c>
      <c r="AA665" s="15">
        <v>0.66200000000000003</v>
      </c>
      <c r="AB665" s="15">
        <v>0.77900000000000003</v>
      </c>
      <c r="AC665" s="3">
        <f t="shared" si="129"/>
        <v>-0.59237916326010298</v>
      </c>
      <c r="AD665" s="3">
        <f t="shared" si="130"/>
        <v>-0.5108171406405575</v>
      </c>
      <c r="AE665" s="3">
        <f t="shared" si="131"/>
        <v>-0.14264429410506441</v>
      </c>
      <c r="AF665" s="3">
        <f t="shared" si="132"/>
        <v>1.9109816672508613E-2</v>
      </c>
    </row>
    <row r="666" spans="1:32" x14ac:dyDescent="0.2">
      <c r="A666" s="30">
        <v>664</v>
      </c>
      <c r="B666" s="9" t="s">
        <v>1216</v>
      </c>
      <c r="C666" s="12">
        <v>555558393</v>
      </c>
      <c r="D666" s="13" t="s">
        <v>665</v>
      </c>
      <c r="E666" s="17">
        <v>-23.226884987999998</v>
      </c>
      <c r="F666" s="17">
        <v>15.1567872637</v>
      </c>
      <c r="G666" s="14">
        <v>7</v>
      </c>
      <c r="H666" s="17">
        <v>23.81</v>
      </c>
      <c r="I666" s="17">
        <v>24.58</v>
      </c>
      <c r="J666" s="17">
        <v>25.39</v>
      </c>
      <c r="K666" s="17">
        <v>25.76</v>
      </c>
      <c r="L666" s="17">
        <v>27.04</v>
      </c>
      <c r="M666" s="17">
        <f t="shared" si="124"/>
        <v>0.76999999999999957</v>
      </c>
      <c r="N666" s="17">
        <f t="shared" si="125"/>
        <v>1.5800000000000018</v>
      </c>
      <c r="O666" s="17">
        <f t="shared" si="126"/>
        <v>1.9500000000000028</v>
      </c>
      <c r="P666" s="17">
        <f t="shared" si="127"/>
        <v>3.2300000000000004</v>
      </c>
      <c r="Q666" s="17">
        <f t="shared" si="128"/>
        <v>-0.11102148589302789</v>
      </c>
      <c r="R666" s="17">
        <f t="shared" si="121"/>
        <v>-0.73956167425757902</v>
      </c>
      <c r="S666" s="17">
        <f t="shared" si="122"/>
        <v>-1.7760236110127725</v>
      </c>
      <c r="T666" s="17">
        <f t="shared" si="123"/>
        <v>-1.5252179481888657</v>
      </c>
      <c r="U666" s="16">
        <v>4</v>
      </c>
      <c r="V666" s="16">
        <v>4</v>
      </c>
      <c r="W666" s="16">
        <v>4</v>
      </c>
      <c r="X666" s="16">
        <v>4</v>
      </c>
      <c r="Y666" s="15">
        <v>0.49199999999999999</v>
      </c>
      <c r="Z666" s="15">
        <v>0.61699999999999999</v>
      </c>
      <c r="AA666" s="15">
        <v>0.72599999999999998</v>
      </c>
      <c r="AB666" s="15">
        <v>0.81799999999999995</v>
      </c>
      <c r="AC666" s="3">
        <f t="shared" si="129"/>
        <v>0.39637318191816673</v>
      </c>
      <c r="AD666" s="3">
        <f t="shared" si="130"/>
        <v>0.43139138820352613</v>
      </c>
      <c r="AE666" s="3">
        <f t="shared" si="131"/>
        <v>0.38428358177339234</v>
      </c>
      <c r="AF666" s="3">
        <f t="shared" si="132"/>
        <v>0.33947742286749588</v>
      </c>
    </row>
    <row r="667" spans="1:32" x14ac:dyDescent="0.2">
      <c r="A667" s="30">
        <v>665</v>
      </c>
      <c r="B667" s="9" t="s">
        <v>1217</v>
      </c>
      <c r="C667" s="12">
        <v>555558402</v>
      </c>
      <c r="D667" s="13" t="s">
        <v>666</v>
      </c>
      <c r="E667" s="17">
        <v>15.5850570813</v>
      </c>
      <c r="F667" s="17">
        <v>43.896052131200001</v>
      </c>
      <c r="G667" s="14">
        <v>50</v>
      </c>
      <c r="H667" s="17">
        <v>15.27</v>
      </c>
      <c r="I667" s="17">
        <v>16.100000000000001</v>
      </c>
      <c r="J667" s="17">
        <v>17.61</v>
      </c>
      <c r="K667" s="17">
        <v>19.579999999999998</v>
      </c>
      <c r="L667" s="17">
        <v>21.33</v>
      </c>
      <c r="M667" s="17">
        <f t="shared" si="124"/>
        <v>0.83000000000000185</v>
      </c>
      <c r="N667" s="17">
        <f t="shared" si="125"/>
        <v>2.34</v>
      </c>
      <c r="O667" s="17">
        <f t="shared" si="126"/>
        <v>4.3099999999999987</v>
      </c>
      <c r="P667" s="17">
        <f t="shared" si="127"/>
        <v>6.0599999999999987</v>
      </c>
      <c r="Q667" s="17">
        <f t="shared" si="128"/>
        <v>-3.7919313558462786E-2</v>
      </c>
      <c r="R667" s="17">
        <f t="shared" si="121"/>
        <v>0.33041140825428839</v>
      </c>
      <c r="S667" s="17">
        <f t="shared" si="122"/>
        <v>0.96453673437338427</v>
      </c>
      <c r="T667" s="17">
        <f t="shared" si="123"/>
        <v>1.3392378258489697</v>
      </c>
      <c r="U667" s="16">
        <v>6</v>
      </c>
      <c r="V667" s="16">
        <v>6</v>
      </c>
      <c r="W667" s="16">
        <v>6</v>
      </c>
      <c r="X667" s="16">
        <v>7</v>
      </c>
      <c r="Y667" s="15">
        <v>0.376</v>
      </c>
      <c r="Z667" s="15">
        <v>0.47566666666700003</v>
      </c>
      <c r="AA667" s="15">
        <v>0.57633333333299996</v>
      </c>
      <c r="AB667" s="15">
        <v>0.66700000000000004</v>
      </c>
      <c r="AC667" s="3">
        <f t="shared" si="129"/>
        <v>-0.67554524836855567</v>
      </c>
      <c r="AD667" s="3">
        <f t="shared" si="130"/>
        <v>-0.83685120299948723</v>
      </c>
      <c r="AE667" s="3">
        <f t="shared" si="131"/>
        <v>-0.84795921129928598</v>
      </c>
      <c r="AF667" s="3">
        <f t="shared" si="132"/>
        <v>-0.90092023188745662</v>
      </c>
    </row>
    <row r="668" spans="1:32" x14ac:dyDescent="0.2">
      <c r="A668" s="30">
        <v>666</v>
      </c>
      <c r="B668" s="9" t="s">
        <v>907</v>
      </c>
      <c r="C668" s="12">
        <v>555558407</v>
      </c>
      <c r="D668" s="13" t="s">
        <v>667</v>
      </c>
      <c r="E668" s="17">
        <v>-111.881294364</v>
      </c>
      <c r="F668" s="17">
        <v>28.787439025499999</v>
      </c>
      <c r="G668" s="14">
        <v>63</v>
      </c>
      <c r="H668" s="17">
        <v>22.81</v>
      </c>
      <c r="I668" s="17">
        <v>24.36</v>
      </c>
      <c r="J668" s="17">
        <v>25.57</v>
      </c>
      <c r="K668" s="17">
        <v>26.68</v>
      </c>
      <c r="L668" s="17">
        <v>28.03</v>
      </c>
      <c r="M668" s="17">
        <f t="shared" si="124"/>
        <v>1.5500000000000007</v>
      </c>
      <c r="N668" s="17">
        <f t="shared" si="125"/>
        <v>2.7600000000000016</v>
      </c>
      <c r="O668" s="17">
        <f t="shared" si="126"/>
        <v>3.870000000000001</v>
      </c>
      <c r="P668" s="17">
        <f t="shared" si="127"/>
        <v>5.2200000000000024</v>
      </c>
      <c r="Q668" s="17">
        <f t="shared" si="128"/>
        <v>0.83930675445628378</v>
      </c>
      <c r="R668" s="17">
        <f t="shared" si="121"/>
        <v>0.92171232227400857</v>
      </c>
      <c r="S668" s="17">
        <f t="shared" si="122"/>
        <v>0.45358480557257713</v>
      </c>
      <c r="T668" s="17">
        <f t="shared" si="123"/>
        <v>0.48901067030417378</v>
      </c>
      <c r="U668" s="16">
        <v>8</v>
      </c>
      <c r="V668" s="16">
        <v>9</v>
      </c>
      <c r="W668" s="16">
        <v>10</v>
      </c>
      <c r="X668" s="16">
        <v>10</v>
      </c>
      <c r="Y668" s="15">
        <v>0.51800000000000002</v>
      </c>
      <c r="Z668" s="15">
        <v>0.61699999999999999</v>
      </c>
      <c r="AA668" s="15">
        <v>0.72399999999999998</v>
      </c>
      <c r="AB668" s="15">
        <v>0.80700000000000005</v>
      </c>
      <c r="AC668" s="3">
        <f t="shared" si="129"/>
        <v>0.63663076112036332</v>
      </c>
      <c r="AD668" s="3">
        <f t="shared" si="130"/>
        <v>0.43139138820352613</v>
      </c>
      <c r="AE668" s="3">
        <f t="shared" si="131"/>
        <v>0.36781708565219057</v>
      </c>
      <c r="AF668" s="3">
        <f t="shared" si="132"/>
        <v>0.24911732881250015</v>
      </c>
    </row>
    <row r="669" spans="1:32" x14ac:dyDescent="0.2">
      <c r="A669" s="30">
        <v>667</v>
      </c>
      <c r="B669" s="9" t="s">
        <v>1377</v>
      </c>
      <c r="C669" s="12">
        <v>555558446</v>
      </c>
      <c r="D669" s="13" t="s">
        <v>668</v>
      </c>
      <c r="E669" s="17">
        <v>98.285300041400006</v>
      </c>
      <c r="F669" s="17">
        <v>9.1126034806000007</v>
      </c>
      <c r="G669" s="14">
        <v>38</v>
      </c>
      <c r="H669" s="17">
        <v>25.96</v>
      </c>
      <c r="I669" s="17">
        <v>27.14</v>
      </c>
      <c r="J669" s="17">
        <v>28.25</v>
      </c>
      <c r="K669" s="17">
        <v>29.55</v>
      </c>
      <c r="L669" s="17">
        <v>30.47</v>
      </c>
      <c r="M669" s="17">
        <f t="shared" si="124"/>
        <v>1.1799999999999997</v>
      </c>
      <c r="N669" s="17">
        <f t="shared" si="125"/>
        <v>2.2899999999999991</v>
      </c>
      <c r="O669" s="17">
        <f t="shared" si="126"/>
        <v>3.59</v>
      </c>
      <c r="P669" s="17">
        <f t="shared" si="127"/>
        <v>4.509999999999998</v>
      </c>
      <c r="Q669" s="17">
        <f t="shared" si="128"/>
        <v>0.38851002505981486</v>
      </c>
      <c r="R669" s="17">
        <f t="shared" si="121"/>
        <v>0.26001844229955906</v>
      </c>
      <c r="S669" s="17">
        <f t="shared" si="122"/>
        <v>0.12843357815387868</v>
      </c>
      <c r="T669" s="17">
        <f t="shared" si="123"/>
        <v>-0.22963371116822093</v>
      </c>
      <c r="U669" s="16">
        <v>1</v>
      </c>
      <c r="V669" s="16">
        <v>1</v>
      </c>
      <c r="W669" s="16">
        <v>1</v>
      </c>
      <c r="X669" s="16">
        <v>1</v>
      </c>
      <c r="Y669" s="15">
        <v>0.45300000000000001</v>
      </c>
      <c r="Z669" s="15">
        <v>0.56200000000000006</v>
      </c>
      <c r="AA669" s="15">
        <v>0.67400000000000004</v>
      </c>
      <c r="AB669" s="15">
        <v>0.78</v>
      </c>
      <c r="AC669" s="3">
        <f t="shared" si="129"/>
        <v>3.5986813114872299E-2</v>
      </c>
      <c r="AD669" s="3">
        <f t="shared" si="130"/>
        <v>-6.2146412619564793E-2</v>
      </c>
      <c r="AE669" s="3">
        <f t="shared" si="131"/>
        <v>-4.384531737785359E-2</v>
      </c>
      <c r="AF669" s="3">
        <f t="shared" si="132"/>
        <v>2.732437067750831E-2</v>
      </c>
    </row>
    <row r="670" spans="1:32" x14ac:dyDescent="0.2">
      <c r="A670" s="30">
        <v>668</v>
      </c>
      <c r="B670" s="9" t="s">
        <v>1218</v>
      </c>
      <c r="C670" s="12">
        <v>555558449</v>
      </c>
      <c r="D670" s="13" t="s">
        <v>669</v>
      </c>
      <c r="E670" s="17">
        <v>10.450044523700001</v>
      </c>
      <c r="F670" s="17">
        <v>33.616860964700003</v>
      </c>
      <c r="G670" s="14">
        <v>5</v>
      </c>
      <c r="H670" s="17">
        <v>19.13</v>
      </c>
      <c r="I670" s="17">
        <v>20.89</v>
      </c>
      <c r="J670" s="17">
        <v>22.45</v>
      </c>
      <c r="K670" s="17">
        <v>23.56</v>
      </c>
      <c r="L670" s="17">
        <v>25.45</v>
      </c>
      <c r="M670" s="17">
        <f t="shared" si="124"/>
        <v>1.7600000000000016</v>
      </c>
      <c r="N670" s="17">
        <f t="shared" si="125"/>
        <v>3.3200000000000003</v>
      </c>
      <c r="O670" s="17">
        <f t="shared" si="126"/>
        <v>4.43</v>
      </c>
      <c r="P670" s="17">
        <f t="shared" si="127"/>
        <v>6.32</v>
      </c>
      <c r="Q670" s="17">
        <f t="shared" si="128"/>
        <v>1.0951643576272529</v>
      </c>
      <c r="R670" s="17">
        <f t="shared" si="121"/>
        <v>1.7101135409669637</v>
      </c>
      <c r="S670" s="17">
        <f t="shared" si="122"/>
        <v>1.1038872604099699</v>
      </c>
      <c r="T670" s="17">
        <f t="shared" si="123"/>
        <v>1.6024033739937904</v>
      </c>
      <c r="U670" s="16">
        <v>1</v>
      </c>
      <c r="V670" s="16">
        <v>1</v>
      </c>
      <c r="W670" s="16">
        <v>1</v>
      </c>
      <c r="X670" s="16">
        <v>1</v>
      </c>
      <c r="Y670" s="15">
        <v>0.42199999999999999</v>
      </c>
      <c r="Z670" s="15">
        <v>0.54</v>
      </c>
      <c r="AA670" s="15">
        <v>0.65</v>
      </c>
      <c r="AB670" s="15">
        <v>0.749</v>
      </c>
      <c r="AC670" s="3">
        <f t="shared" si="129"/>
        <v>-0.25047414670313134</v>
      </c>
      <c r="AD670" s="3">
        <f t="shared" si="130"/>
        <v>-0.25956153294880158</v>
      </c>
      <c r="AE670" s="3">
        <f t="shared" si="131"/>
        <v>-0.24144327083227521</v>
      </c>
      <c r="AF670" s="3">
        <f t="shared" si="132"/>
        <v>-0.2273268034774823</v>
      </c>
    </row>
    <row r="671" spans="1:32" x14ac:dyDescent="0.2">
      <c r="A671" s="30">
        <v>669</v>
      </c>
      <c r="B671" s="9" t="s">
        <v>1219</v>
      </c>
      <c r="C671" s="12">
        <v>555558450</v>
      </c>
      <c r="D671" s="13" t="s">
        <v>670</v>
      </c>
      <c r="E671" s="17">
        <v>10.245654565700001</v>
      </c>
      <c r="F671" s="17">
        <v>36.813304636600002</v>
      </c>
      <c r="G671" s="14">
        <v>58</v>
      </c>
      <c r="H671" s="17">
        <v>17.329999999999998</v>
      </c>
      <c r="I671" s="17">
        <v>18.899999999999999</v>
      </c>
      <c r="J671" s="17">
        <v>20.78</v>
      </c>
      <c r="K671" s="17">
        <v>22.23</v>
      </c>
      <c r="L671" s="17">
        <v>23.83</v>
      </c>
      <c r="M671" s="17">
        <f t="shared" si="124"/>
        <v>1.5700000000000003</v>
      </c>
      <c r="N671" s="17">
        <f t="shared" si="125"/>
        <v>3.4500000000000028</v>
      </c>
      <c r="O671" s="17">
        <f t="shared" si="126"/>
        <v>4.9000000000000021</v>
      </c>
      <c r="P671" s="17">
        <f t="shared" si="127"/>
        <v>6.5</v>
      </c>
      <c r="Q671" s="17">
        <f t="shared" si="128"/>
        <v>0.86367414523447072</v>
      </c>
      <c r="R671" s="17">
        <f t="shared" si="121"/>
        <v>1.8931352524492608</v>
      </c>
      <c r="S671" s="17">
        <f t="shared" si="122"/>
        <v>1.6496768207199286</v>
      </c>
      <c r="T671" s="17">
        <f t="shared" si="123"/>
        <v>1.7845949073248186</v>
      </c>
      <c r="U671" s="16">
        <v>3</v>
      </c>
      <c r="V671" s="16">
        <v>5</v>
      </c>
      <c r="W671" s="16">
        <v>7</v>
      </c>
      <c r="X671" s="16">
        <v>8</v>
      </c>
      <c r="Y671" s="15">
        <v>0.44600000000000001</v>
      </c>
      <c r="Z671" s="15">
        <v>0.56399999999999995</v>
      </c>
      <c r="AA671" s="15">
        <v>0.67300000000000004</v>
      </c>
      <c r="AB671" s="15">
        <v>0.77</v>
      </c>
      <c r="AC671" s="3">
        <f t="shared" si="129"/>
        <v>-2.8697919747257564E-2</v>
      </c>
      <c r="AD671" s="3">
        <f t="shared" si="130"/>
        <v>-4.4199583498726082E-2</v>
      </c>
      <c r="AE671" s="3">
        <f t="shared" si="131"/>
        <v>-5.2078565438454495E-2</v>
      </c>
      <c r="AF671" s="3">
        <f t="shared" si="132"/>
        <v>-5.4821169372488661E-2</v>
      </c>
    </row>
    <row r="672" spans="1:32" x14ac:dyDescent="0.2">
      <c r="A672" s="30">
        <v>670</v>
      </c>
      <c r="B672" s="9" t="s">
        <v>908</v>
      </c>
      <c r="C672" s="12">
        <v>555563757</v>
      </c>
      <c r="D672" s="13" t="s">
        <v>671</v>
      </c>
      <c r="E672" s="17">
        <v>-68.996622840100002</v>
      </c>
      <c r="F672" s="17">
        <v>12.168101911999999</v>
      </c>
      <c r="G672" s="14">
        <v>2</v>
      </c>
      <c r="H672" s="17">
        <v>25.92</v>
      </c>
      <c r="I672" s="17">
        <v>26.71</v>
      </c>
      <c r="J672" s="17">
        <v>27.62</v>
      </c>
      <c r="K672" s="17">
        <v>28.58</v>
      </c>
      <c r="L672" s="17">
        <v>30.07</v>
      </c>
      <c r="M672" s="17">
        <f t="shared" si="124"/>
        <v>0.78999999999999915</v>
      </c>
      <c r="N672" s="17">
        <f t="shared" si="125"/>
        <v>1.6999999999999993</v>
      </c>
      <c r="O672" s="17">
        <f t="shared" si="126"/>
        <v>2.6599999999999966</v>
      </c>
      <c r="P672" s="17">
        <f t="shared" si="127"/>
        <v>4.1499999999999986</v>
      </c>
      <c r="Q672" s="17">
        <f t="shared" si="128"/>
        <v>-8.6654095114840957E-2</v>
      </c>
      <c r="R672" s="17">
        <f t="shared" si="121"/>
        <v>-0.57061855596623479</v>
      </c>
      <c r="S672" s="17">
        <f t="shared" si="122"/>
        <v>-0.9515329986296549</v>
      </c>
      <c r="T672" s="17">
        <f t="shared" si="123"/>
        <v>-0.5940167778302774</v>
      </c>
      <c r="U672" s="16">
        <v>0</v>
      </c>
      <c r="V672" s="16">
        <v>0</v>
      </c>
      <c r="W672" s="16">
        <v>0</v>
      </c>
      <c r="X672" s="16">
        <v>0</v>
      </c>
      <c r="Y672" s="15">
        <v>0.51400000000000001</v>
      </c>
      <c r="Z672" s="15">
        <v>0.64300000000000002</v>
      </c>
      <c r="AA672" s="15">
        <v>0.76200000000000001</v>
      </c>
      <c r="AB672" s="15">
        <v>0.85199999999999998</v>
      </c>
      <c r="AC672" s="3">
        <f t="shared" si="129"/>
        <v>0.59966805662771772</v>
      </c>
      <c r="AD672" s="3">
        <f t="shared" si="130"/>
        <v>0.66470016677444232</v>
      </c>
      <c r="AE672" s="3">
        <f t="shared" si="131"/>
        <v>0.68068051195502477</v>
      </c>
      <c r="AF672" s="3">
        <f t="shared" si="132"/>
        <v>0.61877225903748556</v>
      </c>
    </row>
    <row r="673" spans="1:32" x14ac:dyDescent="0.2">
      <c r="A673" s="30">
        <v>671</v>
      </c>
      <c r="B673" s="9" t="s">
        <v>1220</v>
      </c>
      <c r="C673" s="12">
        <v>555570443</v>
      </c>
      <c r="D673" s="13" t="s">
        <v>672</v>
      </c>
      <c r="E673" s="17">
        <v>18.085799085400001</v>
      </c>
      <c r="F673" s="17">
        <v>-33.423281629900004</v>
      </c>
      <c r="G673" s="14">
        <v>16</v>
      </c>
      <c r="H673" s="17">
        <v>16.899999999999999</v>
      </c>
      <c r="I673" s="17">
        <v>18.260000000000002</v>
      </c>
      <c r="J673" s="17">
        <v>19.13</v>
      </c>
      <c r="K673" s="17">
        <v>20.11</v>
      </c>
      <c r="L673" s="17">
        <v>20.92</v>
      </c>
      <c r="M673" s="17">
        <f t="shared" si="124"/>
        <v>1.360000000000003</v>
      </c>
      <c r="N673" s="17">
        <f t="shared" si="125"/>
        <v>2.2300000000000004</v>
      </c>
      <c r="O673" s="17">
        <f t="shared" si="126"/>
        <v>3.2100000000000009</v>
      </c>
      <c r="P673" s="17">
        <f t="shared" si="127"/>
        <v>4.0200000000000031</v>
      </c>
      <c r="Q673" s="17">
        <f t="shared" si="128"/>
        <v>0.60781654206350588</v>
      </c>
      <c r="R673" s="17">
        <f t="shared" si="121"/>
        <v>0.17554688315388689</v>
      </c>
      <c r="S673" s="17">
        <f t="shared" si="122"/>
        <v>-0.31284308762863772</v>
      </c>
      <c r="T673" s="17">
        <f t="shared" si="123"/>
        <v>-0.72559955190268233</v>
      </c>
      <c r="U673" s="16">
        <v>0</v>
      </c>
      <c r="V673" s="16">
        <v>0</v>
      </c>
      <c r="W673" s="16">
        <v>0</v>
      </c>
      <c r="X673" s="16">
        <v>0</v>
      </c>
      <c r="Y673" s="15">
        <v>0.47399999999999998</v>
      </c>
      <c r="Z673" s="15">
        <v>0.59899999999999998</v>
      </c>
      <c r="AA673" s="15">
        <v>0.72799999999999998</v>
      </c>
      <c r="AB673" s="15">
        <v>0.81599999999999995</v>
      </c>
      <c r="AC673" s="3">
        <f t="shared" si="129"/>
        <v>0.23004101170126137</v>
      </c>
      <c r="AD673" s="3">
        <f t="shared" si="130"/>
        <v>0.26986992611596877</v>
      </c>
      <c r="AE673" s="3">
        <f t="shared" si="131"/>
        <v>0.40075007789459416</v>
      </c>
      <c r="AF673" s="3">
        <f t="shared" si="132"/>
        <v>0.32304831485749652</v>
      </c>
    </row>
    <row r="674" spans="1:32" x14ac:dyDescent="0.2">
      <c r="A674" s="30">
        <v>672</v>
      </c>
      <c r="B674" s="9" t="s">
        <v>1221</v>
      </c>
      <c r="C674" s="12">
        <v>555571008</v>
      </c>
      <c r="D674" s="13" t="s">
        <v>673</v>
      </c>
      <c r="E674" s="17">
        <v>18.514109534599999</v>
      </c>
      <c r="F674" s="17">
        <v>-34.0772718041</v>
      </c>
      <c r="G674" s="14">
        <v>11</v>
      </c>
      <c r="H674" s="17">
        <v>16.55</v>
      </c>
      <c r="I674" s="17">
        <v>17.93</v>
      </c>
      <c r="J674" s="17">
        <v>18.850000000000001</v>
      </c>
      <c r="K674" s="17">
        <v>19.82</v>
      </c>
      <c r="L674" s="17">
        <v>20.73</v>
      </c>
      <c r="M674" s="17">
        <f t="shared" si="124"/>
        <v>1.379999999999999</v>
      </c>
      <c r="N674" s="17">
        <f t="shared" si="125"/>
        <v>2.3000000000000007</v>
      </c>
      <c r="O674" s="17">
        <f t="shared" si="126"/>
        <v>3.2699999999999996</v>
      </c>
      <c r="P674" s="17">
        <f t="shared" si="127"/>
        <v>4.18</v>
      </c>
      <c r="Q674" s="17">
        <f t="shared" si="128"/>
        <v>0.63218393284168839</v>
      </c>
      <c r="R674" s="17">
        <f t="shared" si="121"/>
        <v>0.2740970354905069</v>
      </c>
      <c r="S674" s="17">
        <f t="shared" si="122"/>
        <v>-0.24316782461034697</v>
      </c>
      <c r="T674" s="17">
        <f t="shared" si="123"/>
        <v>-0.56365152227510484</v>
      </c>
      <c r="U674" s="16">
        <v>0</v>
      </c>
      <c r="V674" s="16">
        <v>0</v>
      </c>
      <c r="W674" s="16">
        <v>0</v>
      </c>
      <c r="X674" s="16">
        <v>0</v>
      </c>
      <c r="Y674" s="15">
        <v>0.46800000000000003</v>
      </c>
      <c r="Z674" s="15">
        <v>0.59399999999999997</v>
      </c>
      <c r="AA674" s="15">
        <v>0.72199999999999998</v>
      </c>
      <c r="AB674" s="15">
        <v>0.81</v>
      </c>
      <c r="AC674" s="3">
        <f t="shared" si="129"/>
        <v>0.17459695496229341</v>
      </c>
      <c r="AD674" s="3">
        <f t="shared" si="130"/>
        <v>0.22500285331386952</v>
      </c>
      <c r="AE674" s="3">
        <f t="shared" si="131"/>
        <v>0.35135058953098874</v>
      </c>
      <c r="AF674" s="3">
        <f t="shared" si="132"/>
        <v>0.27376099082749922</v>
      </c>
    </row>
    <row r="675" spans="1:32" x14ac:dyDescent="0.2">
      <c r="A675" s="30">
        <v>673</v>
      </c>
      <c r="B675" s="9" t="s">
        <v>1222</v>
      </c>
      <c r="C675" s="12">
        <v>555571057</v>
      </c>
      <c r="D675" s="13" t="s">
        <v>674</v>
      </c>
      <c r="E675" s="17">
        <v>19.111639208</v>
      </c>
      <c r="F675" s="17">
        <v>-34.3444906187</v>
      </c>
      <c r="G675" s="14">
        <v>35</v>
      </c>
      <c r="H675" s="17">
        <v>15.09</v>
      </c>
      <c r="I675" s="17">
        <v>16.510000000000002</v>
      </c>
      <c r="J675" s="17">
        <v>17.489999999999998</v>
      </c>
      <c r="K675" s="17">
        <v>18.489999999999998</v>
      </c>
      <c r="L675" s="17">
        <v>19.54</v>
      </c>
      <c r="M675" s="17">
        <f t="shared" si="124"/>
        <v>1.4200000000000017</v>
      </c>
      <c r="N675" s="17">
        <f t="shared" si="125"/>
        <v>2.3999999999999986</v>
      </c>
      <c r="O675" s="17">
        <f t="shared" si="126"/>
        <v>3.3999999999999986</v>
      </c>
      <c r="P675" s="17">
        <f t="shared" si="127"/>
        <v>4.4499999999999993</v>
      </c>
      <c r="Q675" s="17">
        <f t="shared" si="128"/>
        <v>0.68091871439806662</v>
      </c>
      <c r="R675" s="17">
        <f t="shared" si="121"/>
        <v>0.41488296739996056</v>
      </c>
      <c r="S675" s="17">
        <f t="shared" si="122"/>
        <v>-9.22047547373816E-2</v>
      </c>
      <c r="T675" s="17">
        <f t="shared" si="123"/>
        <v>-0.29036422227856246</v>
      </c>
      <c r="U675" s="16">
        <v>0</v>
      </c>
      <c r="V675" s="16">
        <v>0</v>
      </c>
      <c r="W675" s="16">
        <v>0</v>
      </c>
      <c r="X675" s="16">
        <v>0</v>
      </c>
      <c r="Y675" s="15">
        <v>0.46800000000000003</v>
      </c>
      <c r="Z675" s="15">
        <v>0.59399999999999997</v>
      </c>
      <c r="AA675" s="15">
        <v>0.72199999999999998</v>
      </c>
      <c r="AB675" s="15">
        <v>0.81</v>
      </c>
      <c r="AC675" s="3">
        <f t="shared" si="129"/>
        <v>0.17459695496229341</v>
      </c>
      <c r="AD675" s="3">
        <f t="shared" si="130"/>
        <v>0.22500285331386952</v>
      </c>
      <c r="AE675" s="3">
        <f t="shared" si="131"/>
        <v>0.35135058953098874</v>
      </c>
      <c r="AF675" s="3">
        <f t="shared" si="132"/>
        <v>0.27376099082749922</v>
      </c>
    </row>
    <row r="676" spans="1:32" x14ac:dyDescent="0.2">
      <c r="A676" s="30">
        <v>674</v>
      </c>
      <c r="B676" s="9" t="s">
        <v>1507</v>
      </c>
      <c r="C676" s="12">
        <v>555587168</v>
      </c>
      <c r="D676" s="13" t="s">
        <v>675</v>
      </c>
      <c r="E676" s="17">
        <v>-64.396535277699996</v>
      </c>
      <c r="F676" s="17">
        <v>-42.625167982599997</v>
      </c>
      <c r="G676" s="14">
        <v>16363</v>
      </c>
      <c r="H676" s="17">
        <v>13.23</v>
      </c>
      <c r="I676" s="17">
        <v>15.5</v>
      </c>
      <c r="J676" s="17">
        <v>16.05</v>
      </c>
      <c r="K676" s="17">
        <v>16.62</v>
      </c>
      <c r="L676" s="17">
        <v>17.579999999999998</v>
      </c>
      <c r="M676" s="17">
        <f t="shared" si="124"/>
        <v>2.2699999999999996</v>
      </c>
      <c r="N676" s="17">
        <f t="shared" si="125"/>
        <v>2.8200000000000003</v>
      </c>
      <c r="O676" s="17">
        <f t="shared" si="126"/>
        <v>3.3900000000000006</v>
      </c>
      <c r="P676" s="17">
        <f t="shared" si="127"/>
        <v>4.3499999999999979</v>
      </c>
      <c r="Q676" s="17">
        <f t="shared" si="128"/>
        <v>1.7165328224710303</v>
      </c>
      <c r="R676" s="17">
        <f t="shared" si="121"/>
        <v>1.0061838814196806</v>
      </c>
      <c r="S676" s="17">
        <f t="shared" si="122"/>
        <v>-0.10381729857376132</v>
      </c>
      <c r="T676" s="17">
        <f t="shared" si="123"/>
        <v>-0.39158174079580199</v>
      </c>
      <c r="U676" s="16">
        <v>71</v>
      </c>
      <c r="V676" s="16">
        <v>101</v>
      </c>
      <c r="W676" s="16">
        <v>107</v>
      </c>
      <c r="X676" s="16">
        <v>110</v>
      </c>
      <c r="Y676" s="15">
        <v>0.40500000000000003</v>
      </c>
      <c r="Z676" s="15">
        <v>0.51600000000000001</v>
      </c>
      <c r="AA676" s="15">
        <v>0.628</v>
      </c>
      <c r="AB676" s="15">
        <v>0.70199999999999996</v>
      </c>
      <c r="AC676" s="3">
        <f t="shared" si="129"/>
        <v>-0.4075656407968748</v>
      </c>
      <c r="AD676" s="3">
        <f t="shared" si="130"/>
        <v>-0.47492348239887805</v>
      </c>
      <c r="AE676" s="3">
        <f t="shared" si="131"/>
        <v>-0.42257472816549507</v>
      </c>
      <c r="AF676" s="3">
        <f t="shared" si="132"/>
        <v>-0.61341084171246807</v>
      </c>
    </row>
    <row r="677" spans="1:32" x14ac:dyDescent="0.2">
      <c r="A677" s="30">
        <v>675</v>
      </c>
      <c r="B677" s="9" t="s">
        <v>1223</v>
      </c>
      <c r="C677" s="12">
        <v>555592545</v>
      </c>
      <c r="D677" s="13" t="s">
        <v>676</v>
      </c>
      <c r="E677" s="17">
        <v>58.477915016799997</v>
      </c>
      <c r="F677" s="17">
        <v>23.6200425812</v>
      </c>
      <c r="G677" s="14">
        <v>5</v>
      </c>
      <c r="H677" s="17">
        <v>25.3</v>
      </c>
      <c r="I677" s="17">
        <v>26.66</v>
      </c>
      <c r="J677" s="17">
        <v>27.7</v>
      </c>
      <c r="K677" s="17">
        <v>29.24</v>
      </c>
      <c r="L677" s="17">
        <v>31.49</v>
      </c>
      <c r="M677" s="17">
        <f t="shared" si="124"/>
        <v>1.3599999999999994</v>
      </c>
      <c r="N677" s="17">
        <f t="shared" si="125"/>
        <v>2.3999999999999986</v>
      </c>
      <c r="O677" s="17">
        <f t="shared" si="126"/>
        <v>3.9399999999999977</v>
      </c>
      <c r="P677" s="17">
        <f t="shared" si="127"/>
        <v>6.1899999999999977</v>
      </c>
      <c r="Q677" s="17">
        <f t="shared" si="128"/>
        <v>0.60781654206350155</v>
      </c>
      <c r="R677" s="17">
        <f t="shared" si="121"/>
        <v>0.41488296739996056</v>
      </c>
      <c r="S677" s="17">
        <f t="shared" si="122"/>
        <v>0.5348726124272476</v>
      </c>
      <c r="T677" s="17">
        <f t="shared" si="123"/>
        <v>1.4708205999213781</v>
      </c>
      <c r="U677" s="16">
        <v>0</v>
      </c>
      <c r="V677" s="16">
        <v>0</v>
      </c>
      <c r="W677" s="16">
        <v>0</v>
      </c>
      <c r="X677" s="16">
        <v>0</v>
      </c>
      <c r="Y677" s="15">
        <v>0.378</v>
      </c>
      <c r="Z677" s="15">
        <v>0.504</v>
      </c>
      <c r="AA677" s="15">
        <v>0.63400000000000001</v>
      </c>
      <c r="AB677" s="15">
        <v>0.746</v>
      </c>
      <c r="AC677" s="3">
        <f t="shared" si="129"/>
        <v>-0.65706389612223282</v>
      </c>
      <c r="AD677" s="3">
        <f t="shared" si="130"/>
        <v>-0.58260445712391629</v>
      </c>
      <c r="AE677" s="3">
        <f t="shared" si="131"/>
        <v>-0.37317523980188966</v>
      </c>
      <c r="AF677" s="3">
        <f t="shared" si="132"/>
        <v>-0.25197046549248142</v>
      </c>
    </row>
    <row r="678" spans="1:32" x14ac:dyDescent="0.2">
      <c r="A678" s="30">
        <v>676</v>
      </c>
      <c r="B678" s="9" t="s">
        <v>1378</v>
      </c>
      <c r="C678" s="12">
        <v>555592554</v>
      </c>
      <c r="D678" s="13" t="s">
        <v>677</v>
      </c>
      <c r="E678" s="17">
        <v>112.003083645</v>
      </c>
      <c r="F678" s="17">
        <v>-3.0628865417400002</v>
      </c>
      <c r="G678" s="14">
        <v>506</v>
      </c>
      <c r="H678" s="17">
        <v>26.06</v>
      </c>
      <c r="I678" s="17">
        <v>27.23</v>
      </c>
      <c r="J678" s="17">
        <v>28.46</v>
      </c>
      <c r="K678" s="17">
        <v>29.54</v>
      </c>
      <c r="L678" s="17">
        <v>30.7</v>
      </c>
      <c r="M678" s="17">
        <f t="shared" si="124"/>
        <v>1.1700000000000017</v>
      </c>
      <c r="N678" s="17">
        <f t="shared" si="125"/>
        <v>2.4000000000000021</v>
      </c>
      <c r="O678" s="17">
        <f t="shared" si="126"/>
        <v>3.4800000000000004</v>
      </c>
      <c r="P678" s="17">
        <f t="shared" si="127"/>
        <v>4.6400000000000006</v>
      </c>
      <c r="Q678" s="17">
        <f t="shared" si="128"/>
        <v>0.37632632967072355</v>
      </c>
      <c r="R678" s="17">
        <f t="shared" si="121"/>
        <v>0.41488296739996555</v>
      </c>
      <c r="S678" s="17">
        <f t="shared" si="122"/>
        <v>6.9559595367687914E-4</v>
      </c>
      <c r="T678" s="17">
        <f t="shared" si="123"/>
        <v>-9.8050937095808866E-2</v>
      </c>
      <c r="U678" s="16">
        <v>18</v>
      </c>
      <c r="V678" s="16">
        <v>26</v>
      </c>
      <c r="W678" s="16">
        <v>30</v>
      </c>
      <c r="X678" s="16">
        <v>35</v>
      </c>
      <c r="Y678" s="15">
        <v>0.44700000000000001</v>
      </c>
      <c r="Z678" s="15">
        <v>0.55900000000000005</v>
      </c>
      <c r="AA678" s="15">
        <v>0.67800000000000005</v>
      </c>
      <c r="AB678" s="15">
        <v>0.78</v>
      </c>
      <c r="AC678" s="3">
        <f t="shared" si="129"/>
        <v>-1.9457243624096156E-2</v>
      </c>
      <c r="AD678" s="3">
        <f t="shared" si="130"/>
        <v>-8.9066656300824346E-2</v>
      </c>
      <c r="AE678" s="3">
        <f t="shared" si="131"/>
        <v>-1.0912325135449989E-2</v>
      </c>
      <c r="AF678" s="3">
        <f t="shared" si="132"/>
        <v>2.732437067750831E-2</v>
      </c>
    </row>
    <row r="679" spans="1:32" x14ac:dyDescent="0.2">
      <c r="A679" s="30">
        <v>677</v>
      </c>
      <c r="B679" s="9" t="s">
        <v>909</v>
      </c>
      <c r="C679" s="12">
        <v>555592565</v>
      </c>
      <c r="D679" s="13" t="s">
        <v>678</v>
      </c>
      <c r="E679" s="17">
        <v>-90.024993526599999</v>
      </c>
      <c r="F679" s="17">
        <v>13.712467181099999</v>
      </c>
      <c r="G679" s="14">
        <v>70</v>
      </c>
      <c r="H679" s="17">
        <v>26.86</v>
      </c>
      <c r="I679" s="17">
        <v>27.76</v>
      </c>
      <c r="J679" s="17">
        <v>29.09</v>
      </c>
      <c r="K679" s="17">
        <v>30.6</v>
      </c>
      <c r="L679" s="17">
        <v>31.02</v>
      </c>
      <c r="M679" s="17">
        <f t="shared" si="124"/>
        <v>0.90000000000000213</v>
      </c>
      <c r="N679" s="17">
        <f t="shared" si="125"/>
        <v>2.2300000000000004</v>
      </c>
      <c r="O679" s="17">
        <f t="shared" si="126"/>
        <v>3.740000000000002</v>
      </c>
      <c r="P679" s="17">
        <f t="shared" si="127"/>
        <v>4.16</v>
      </c>
      <c r="Q679" s="17">
        <f t="shared" si="128"/>
        <v>4.7366554165193614E-2</v>
      </c>
      <c r="R679" s="17">
        <f t="shared" si="121"/>
        <v>0.17554688315388689</v>
      </c>
      <c r="S679" s="17">
        <f t="shared" si="122"/>
        <v>0.30262173569961176</v>
      </c>
      <c r="T679" s="17">
        <f t="shared" si="123"/>
        <v>-0.58389502597855203</v>
      </c>
      <c r="U679" s="16">
        <v>0</v>
      </c>
      <c r="V679" s="16">
        <v>0</v>
      </c>
      <c r="W679" s="16">
        <v>1</v>
      </c>
      <c r="X679" s="16">
        <v>1</v>
      </c>
      <c r="Y679" s="15">
        <v>0.49049999999999999</v>
      </c>
      <c r="Z679" s="15">
        <v>0.59499999999999997</v>
      </c>
      <c r="AA679" s="15">
        <v>0.72799999999999998</v>
      </c>
      <c r="AB679" s="15">
        <v>0.80200000000000005</v>
      </c>
      <c r="AC679" s="3">
        <f t="shared" si="129"/>
        <v>0.38251216773342461</v>
      </c>
      <c r="AD679" s="3">
        <f t="shared" si="130"/>
        <v>0.23397626787428938</v>
      </c>
      <c r="AE679" s="3">
        <f t="shared" si="131"/>
        <v>0.40075007789459416</v>
      </c>
      <c r="AF679" s="3">
        <f t="shared" si="132"/>
        <v>0.20804455878750167</v>
      </c>
    </row>
    <row r="680" spans="1:32" x14ac:dyDescent="0.2">
      <c r="A680" s="30">
        <v>678</v>
      </c>
      <c r="B680" s="9" t="s">
        <v>1224</v>
      </c>
      <c r="C680" s="12">
        <v>555592571</v>
      </c>
      <c r="D680" s="13" t="s">
        <v>679</v>
      </c>
      <c r="E680" s="17">
        <v>-3.1483189327300001</v>
      </c>
      <c r="F680" s="17">
        <v>53.417356228000003</v>
      </c>
      <c r="G680" s="14">
        <v>60</v>
      </c>
      <c r="H680" s="17">
        <v>10.16</v>
      </c>
      <c r="I680" s="17">
        <v>9.73</v>
      </c>
      <c r="J680" s="17">
        <v>11.15</v>
      </c>
      <c r="K680" s="17">
        <v>12.68</v>
      </c>
      <c r="L680" s="17">
        <v>13.89</v>
      </c>
      <c r="M680" s="17">
        <f t="shared" si="124"/>
        <v>-0.42999999999999972</v>
      </c>
      <c r="N680" s="17">
        <f t="shared" si="125"/>
        <v>0.99000000000000021</v>
      </c>
      <c r="O680" s="17">
        <f t="shared" si="126"/>
        <v>2.5199999999999996</v>
      </c>
      <c r="P680" s="17">
        <f t="shared" si="127"/>
        <v>3.7300000000000004</v>
      </c>
      <c r="Q680" s="17">
        <f t="shared" si="128"/>
        <v>-1.5730649325842736</v>
      </c>
      <c r="R680" s="17">
        <f t="shared" si="121"/>
        <v>-1.5701986725233754</v>
      </c>
      <c r="S680" s="17">
        <f t="shared" si="122"/>
        <v>-1.114108612339</v>
      </c>
      <c r="T680" s="17">
        <f t="shared" si="123"/>
        <v>-1.0191303556026754</v>
      </c>
      <c r="U680" s="16">
        <v>0</v>
      </c>
      <c r="V680" s="16">
        <v>1</v>
      </c>
      <c r="W680" s="16">
        <v>1</v>
      </c>
      <c r="X680" s="16">
        <v>1</v>
      </c>
      <c r="Y680" s="15">
        <v>0.42099999999999999</v>
      </c>
      <c r="Z680" s="15">
        <v>0.53866666666700003</v>
      </c>
      <c r="AA680" s="15">
        <v>0.62466666666699999</v>
      </c>
      <c r="AB680" s="15">
        <v>0.72233333333299998</v>
      </c>
      <c r="AC680" s="3">
        <f t="shared" si="129"/>
        <v>-0.25971482282629277</v>
      </c>
      <c r="AD680" s="3">
        <f t="shared" si="130"/>
        <v>-0.27152608569303693</v>
      </c>
      <c r="AE680" s="3">
        <f t="shared" si="131"/>
        <v>-0.45001888836475368</v>
      </c>
      <c r="AF680" s="3">
        <f t="shared" si="132"/>
        <v>-0.44638157694687902</v>
      </c>
    </row>
    <row r="681" spans="1:32" x14ac:dyDescent="0.2">
      <c r="A681" s="30">
        <v>679</v>
      </c>
      <c r="B681" s="9" t="s">
        <v>1225</v>
      </c>
      <c r="C681" s="12">
        <v>555592573</v>
      </c>
      <c r="D681" s="13" t="s">
        <v>680</v>
      </c>
      <c r="E681" s="17">
        <v>-5.9571334549200001</v>
      </c>
      <c r="F681" s="17">
        <v>35.6061342928</v>
      </c>
      <c r="G681" s="14">
        <v>47</v>
      </c>
      <c r="H681" s="17">
        <v>18.29</v>
      </c>
      <c r="I681" s="17">
        <v>18.78</v>
      </c>
      <c r="J681" s="17">
        <v>19.73</v>
      </c>
      <c r="K681" s="17">
        <v>20.67</v>
      </c>
      <c r="L681" s="17">
        <v>21.93</v>
      </c>
      <c r="M681" s="17">
        <f t="shared" si="124"/>
        <v>0.49000000000000199</v>
      </c>
      <c r="N681" s="17">
        <f t="shared" si="125"/>
        <v>1.4400000000000013</v>
      </c>
      <c r="O681" s="17">
        <f t="shared" si="126"/>
        <v>2.3800000000000026</v>
      </c>
      <c r="P681" s="17">
        <f t="shared" si="127"/>
        <v>3.6400000000000006</v>
      </c>
      <c r="Q681" s="17">
        <f t="shared" si="128"/>
        <v>-0.45216495678764912</v>
      </c>
      <c r="R681" s="17">
        <f t="shared" si="121"/>
        <v>-0.93666197893081915</v>
      </c>
      <c r="S681" s="17">
        <f t="shared" si="122"/>
        <v>-1.2766842260483451</v>
      </c>
      <c r="T681" s="17">
        <f t="shared" si="123"/>
        <v>-1.1102261222681895</v>
      </c>
      <c r="U681" s="16">
        <v>1</v>
      </c>
      <c r="V681" s="16">
        <v>1</v>
      </c>
      <c r="W681" s="16">
        <v>1</v>
      </c>
      <c r="X681" s="16">
        <v>2</v>
      </c>
      <c r="Y681" s="15">
        <v>0.4375</v>
      </c>
      <c r="Z681" s="15">
        <v>0.55800000000000005</v>
      </c>
      <c r="AA681" s="15">
        <v>0.67100000000000004</v>
      </c>
      <c r="AB681" s="15">
        <v>0.76300000000000001</v>
      </c>
      <c r="AC681" s="3">
        <f t="shared" si="129"/>
        <v>-0.10724366679412953</v>
      </c>
      <c r="AD681" s="3">
        <f t="shared" si="130"/>
        <v>-9.8040070861244208E-2</v>
      </c>
      <c r="AE681" s="3">
        <f t="shared" si="131"/>
        <v>-6.8545061559656298E-2</v>
      </c>
      <c r="AF681" s="3">
        <f t="shared" si="132"/>
        <v>-0.11232304740748654</v>
      </c>
    </row>
    <row r="682" spans="1:32" x14ac:dyDescent="0.2">
      <c r="A682" s="30">
        <v>680</v>
      </c>
      <c r="B682" s="9" t="s">
        <v>1226</v>
      </c>
      <c r="C682" s="12">
        <v>555592574</v>
      </c>
      <c r="D682" s="13" t="s">
        <v>681</v>
      </c>
      <c r="E682" s="17">
        <v>-6.0808401314199996</v>
      </c>
      <c r="F682" s="17">
        <v>35.157575289599997</v>
      </c>
      <c r="G682" s="14">
        <v>25</v>
      </c>
      <c r="H682" s="17">
        <v>18.399999999999999</v>
      </c>
      <c r="I682" s="17">
        <v>19</v>
      </c>
      <c r="J682" s="17">
        <v>20.02</v>
      </c>
      <c r="K682" s="17">
        <v>20.81</v>
      </c>
      <c r="L682" s="17">
        <v>22.17</v>
      </c>
      <c r="M682" s="17">
        <f t="shared" si="124"/>
        <v>0.60000000000000142</v>
      </c>
      <c r="N682" s="17">
        <f t="shared" si="125"/>
        <v>1.620000000000001</v>
      </c>
      <c r="O682" s="17">
        <f t="shared" si="126"/>
        <v>2.41</v>
      </c>
      <c r="P682" s="17">
        <f t="shared" si="127"/>
        <v>3.7700000000000031</v>
      </c>
      <c r="Q682" s="17">
        <f t="shared" si="128"/>
        <v>-0.31814430750761891</v>
      </c>
      <c r="R682" s="17">
        <f t="shared" si="121"/>
        <v>-0.68324730149379764</v>
      </c>
      <c r="S682" s="17">
        <f t="shared" si="122"/>
        <v>-1.2418465945392019</v>
      </c>
      <c r="T682" s="17">
        <f t="shared" si="123"/>
        <v>-0.97864334819577747</v>
      </c>
      <c r="U682" s="16">
        <v>1</v>
      </c>
      <c r="V682" s="16">
        <v>1</v>
      </c>
      <c r="W682" s="16">
        <v>1</v>
      </c>
      <c r="X682" s="16">
        <v>1</v>
      </c>
      <c r="Y682" s="15">
        <v>0.45200000000000001</v>
      </c>
      <c r="Z682" s="15">
        <v>0.56999999999999995</v>
      </c>
      <c r="AA682" s="15">
        <v>0.68400000000000005</v>
      </c>
      <c r="AB682" s="15">
        <v>0.77800000000000002</v>
      </c>
      <c r="AC682" s="3">
        <f t="shared" si="129"/>
        <v>2.6746136991710887E-2</v>
      </c>
      <c r="AD682" s="3">
        <f t="shared" si="130"/>
        <v>9.6409038637930381E-3</v>
      </c>
      <c r="AE682" s="3">
        <f t="shared" si="131"/>
        <v>3.8487163228155416E-2</v>
      </c>
      <c r="AF682" s="3">
        <f t="shared" si="132"/>
        <v>1.0895262667508917E-2</v>
      </c>
    </row>
    <row r="683" spans="1:32" x14ac:dyDescent="0.2">
      <c r="A683" s="30">
        <v>681</v>
      </c>
      <c r="B683" s="9" t="s">
        <v>1227</v>
      </c>
      <c r="C683" s="12">
        <v>555592575</v>
      </c>
      <c r="D683" s="13" t="s">
        <v>682</v>
      </c>
      <c r="E683" s="17">
        <v>-2.8499156116500002</v>
      </c>
      <c r="F683" s="17">
        <v>35.161623739699998</v>
      </c>
      <c r="G683" s="14">
        <v>192</v>
      </c>
      <c r="H683" s="17">
        <v>18.059999999999999</v>
      </c>
      <c r="I683" s="17">
        <v>18.079999999999998</v>
      </c>
      <c r="J683" s="17">
        <v>19.73</v>
      </c>
      <c r="K683" s="17">
        <v>20.64</v>
      </c>
      <c r="L683" s="17">
        <v>22.34</v>
      </c>
      <c r="M683" s="17">
        <f t="shared" si="124"/>
        <v>1.9999999999999574E-2</v>
      </c>
      <c r="N683" s="17">
        <f t="shared" si="125"/>
        <v>1.6700000000000017</v>
      </c>
      <c r="O683" s="17">
        <f t="shared" si="126"/>
        <v>2.5800000000000018</v>
      </c>
      <c r="P683" s="17">
        <f t="shared" si="127"/>
        <v>4.2800000000000011</v>
      </c>
      <c r="Q683" s="17">
        <f t="shared" si="128"/>
        <v>-1.0247986400750571</v>
      </c>
      <c r="R683" s="17">
        <f t="shared" si="121"/>
        <v>-0.61285433553906832</v>
      </c>
      <c r="S683" s="17">
        <f t="shared" si="122"/>
        <v>-1.0444333493207052</v>
      </c>
      <c r="T683" s="17">
        <f t="shared" si="123"/>
        <v>-0.46243400375786531</v>
      </c>
      <c r="U683" s="16">
        <v>12</v>
      </c>
      <c r="V683" s="16">
        <v>12</v>
      </c>
      <c r="W683" s="16">
        <v>13</v>
      </c>
      <c r="X683" s="16">
        <v>20</v>
      </c>
      <c r="Y683" s="15">
        <v>0.44</v>
      </c>
      <c r="Z683" s="15">
        <v>0.56200000000000006</v>
      </c>
      <c r="AA683" s="15">
        <v>0.67200000000000004</v>
      </c>
      <c r="AB683" s="15">
        <v>0.76200000000000001</v>
      </c>
      <c r="AC683" s="3">
        <f t="shared" si="129"/>
        <v>-8.4141976486226011E-2</v>
      </c>
      <c r="AD683" s="3">
        <f t="shared" si="130"/>
        <v>-6.2146412619564793E-2</v>
      </c>
      <c r="AE683" s="3">
        <f t="shared" si="131"/>
        <v>-6.0311813499055393E-2</v>
      </c>
      <c r="AF683" s="3">
        <f t="shared" si="132"/>
        <v>-0.12053760141248625</v>
      </c>
    </row>
    <row r="684" spans="1:32" x14ac:dyDescent="0.2">
      <c r="A684" s="30">
        <v>682</v>
      </c>
      <c r="B684" s="9" t="s">
        <v>1228</v>
      </c>
      <c r="C684" s="12">
        <v>555622045</v>
      </c>
      <c r="D684" s="13" t="s">
        <v>683</v>
      </c>
      <c r="E684" s="17">
        <v>37.266594147200003</v>
      </c>
      <c r="F684" s="17">
        <v>20.938474514500001</v>
      </c>
      <c r="G684" s="14">
        <v>2669</v>
      </c>
      <c r="H684" s="17">
        <v>26.76</v>
      </c>
      <c r="I684" s="17">
        <v>28.27</v>
      </c>
      <c r="J684" s="17">
        <v>29.2</v>
      </c>
      <c r="K684" s="17">
        <v>30.39</v>
      </c>
      <c r="L684" s="17">
        <v>32.46</v>
      </c>
      <c r="M684" s="17">
        <f t="shared" si="124"/>
        <v>1.509999999999998</v>
      </c>
      <c r="N684" s="17">
        <f t="shared" si="125"/>
        <v>2.4399999999999977</v>
      </c>
      <c r="O684" s="17">
        <f t="shared" si="126"/>
        <v>3.629999999999999</v>
      </c>
      <c r="P684" s="17">
        <f t="shared" si="127"/>
        <v>5.6999999999999993</v>
      </c>
      <c r="Q684" s="17">
        <f t="shared" si="128"/>
        <v>0.79057197289990555</v>
      </c>
      <c r="R684" s="17">
        <f t="shared" si="121"/>
        <v>0.47119734016374198</v>
      </c>
      <c r="S684" s="17">
        <f t="shared" si="122"/>
        <v>0.17488375349940585</v>
      </c>
      <c r="T684" s="17">
        <f t="shared" si="123"/>
        <v>0.97485475918691333</v>
      </c>
      <c r="U684" s="16">
        <v>9</v>
      </c>
      <c r="V684" s="16">
        <v>16</v>
      </c>
      <c r="W684" s="16">
        <v>17</v>
      </c>
      <c r="X684" s="16">
        <v>25</v>
      </c>
      <c r="Y684" s="15">
        <v>0.41099999999999998</v>
      </c>
      <c r="Z684" s="15">
        <v>0.53100000000000003</v>
      </c>
      <c r="AA684" s="15">
        <v>0.66200000000000003</v>
      </c>
      <c r="AB684" s="15">
        <v>0.76600000000000001</v>
      </c>
      <c r="AC684" s="3">
        <f t="shared" si="129"/>
        <v>-0.35212158405790683</v>
      </c>
      <c r="AD684" s="3">
        <f t="shared" si="130"/>
        <v>-0.34032226399258025</v>
      </c>
      <c r="AE684" s="3">
        <f t="shared" si="131"/>
        <v>-0.14264429410506441</v>
      </c>
      <c r="AF684" s="3">
        <f t="shared" si="132"/>
        <v>-8.7679385392487458E-2</v>
      </c>
    </row>
    <row r="685" spans="1:32" x14ac:dyDescent="0.2">
      <c r="A685" s="30">
        <v>683</v>
      </c>
      <c r="B685" s="9" t="s">
        <v>910</v>
      </c>
      <c r="C685" s="12">
        <v>555622046</v>
      </c>
      <c r="D685" s="13" t="s">
        <v>684</v>
      </c>
      <c r="E685" s="17">
        <v>-53.200547449299997</v>
      </c>
      <c r="F685" s="17">
        <v>46.644694564200002</v>
      </c>
      <c r="G685" s="14">
        <v>11</v>
      </c>
      <c r="H685" s="17">
        <v>5.33</v>
      </c>
      <c r="I685" s="17">
        <v>6.95</v>
      </c>
      <c r="J685" s="17">
        <v>8.1300000000000008</v>
      </c>
      <c r="K685" s="17">
        <v>9.69</v>
      </c>
      <c r="L685" s="17">
        <v>11.05</v>
      </c>
      <c r="M685" s="17">
        <f t="shared" si="124"/>
        <v>1.62</v>
      </c>
      <c r="N685" s="17">
        <f t="shared" si="125"/>
        <v>2.8000000000000007</v>
      </c>
      <c r="O685" s="17">
        <f t="shared" si="126"/>
        <v>4.3599999999999994</v>
      </c>
      <c r="P685" s="17">
        <f t="shared" si="127"/>
        <v>5.7200000000000006</v>
      </c>
      <c r="Q685" s="17">
        <f t="shared" si="128"/>
        <v>0.92459262217993909</v>
      </c>
      <c r="R685" s="17">
        <f t="shared" si="121"/>
        <v>0.97802669503778994</v>
      </c>
      <c r="S685" s="17">
        <f t="shared" si="122"/>
        <v>1.0225994535552954</v>
      </c>
      <c r="T685" s="17">
        <f t="shared" si="123"/>
        <v>0.9950982628903623</v>
      </c>
      <c r="U685" s="16">
        <v>1</v>
      </c>
      <c r="V685" s="16">
        <v>2</v>
      </c>
      <c r="W685" s="16">
        <v>2</v>
      </c>
      <c r="X685" s="16">
        <v>2</v>
      </c>
      <c r="Y685" s="15">
        <v>0.56799999999999995</v>
      </c>
      <c r="Z685" s="15">
        <v>0.71</v>
      </c>
      <c r="AA685" s="15">
        <v>0.81299999999999994</v>
      </c>
      <c r="AB685" s="15">
        <v>0.93100000000000005</v>
      </c>
      <c r="AC685" s="3">
        <f t="shared" si="129"/>
        <v>1.0986645672784328</v>
      </c>
      <c r="AD685" s="3">
        <f t="shared" si="130"/>
        <v>1.2659189423225714</v>
      </c>
      <c r="AE685" s="3">
        <f t="shared" si="131"/>
        <v>1.1005761630456699</v>
      </c>
      <c r="AF685" s="3">
        <f t="shared" si="132"/>
        <v>1.2677220254324617</v>
      </c>
    </row>
    <row r="686" spans="1:32" x14ac:dyDescent="0.2">
      <c r="A686" s="30">
        <v>684</v>
      </c>
      <c r="B686" s="9" t="s">
        <v>1379</v>
      </c>
      <c r="C686" s="12">
        <v>555622710</v>
      </c>
      <c r="D686" s="13" t="s">
        <v>685</v>
      </c>
      <c r="E686" s="17">
        <v>126.61081748700001</v>
      </c>
      <c r="F686" s="17">
        <v>35.453757615100002</v>
      </c>
      <c r="G686" s="14">
        <v>113</v>
      </c>
      <c r="H686" s="17">
        <v>11.62</v>
      </c>
      <c r="I686" s="17">
        <v>13.22</v>
      </c>
      <c r="J686" s="17">
        <v>14.65</v>
      </c>
      <c r="K686" s="17">
        <v>16</v>
      </c>
      <c r="L686" s="17">
        <v>18.010000000000002</v>
      </c>
      <c r="M686" s="17">
        <f t="shared" si="124"/>
        <v>1.6000000000000014</v>
      </c>
      <c r="N686" s="17">
        <f t="shared" si="125"/>
        <v>3.0300000000000011</v>
      </c>
      <c r="O686" s="17">
        <f t="shared" si="126"/>
        <v>4.3800000000000008</v>
      </c>
      <c r="P686" s="17">
        <f t="shared" si="127"/>
        <v>6.3900000000000023</v>
      </c>
      <c r="Q686" s="17">
        <f t="shared" si="128"/>
        <v>0.90022523140175326</v>
      </c>
      <c r="R686" s="17">
        <f t="shared" si="121"/>
        <v>1.3018343384295408</v>
      </c>
      <c r="S686" s="17">
        <f t="shared" si="122"/>
        <v>1.0458245412280609</v>
      </c>
      <c r="T686" s="17">
        <f t="shared" si="123"/>
        <v>1.6732556369558591</v>
      </c>
      <c r="U686" s="16">
        <v>1</v>
      </c>
      <c r="V686" s="16">
        <v>1</v>
      </c>
      <c r="W686" s="16">
        <v>1</v>
      </c>
      <c r="X686" s="16">
        <v>1</v>
      </c>
      <c r="Y686" s="15">
        <v>0.432</v>
      </c>
      <c r="Z686" s="15">
        <v>0.56000000000000005</v>
      </c>
      <c r="AA686" s="15">
        <v>0.70599999999999996</v>
      </c>
      <c r="AB686" s="15">
        <v>0.81899999999999995</v>
      </c>
      <c r="AC686" s="3">
        <f t="shared" si="129"/>
        <v>-0.15806738547151727</v>
      </c>
      <c r="AD686" s="3">
        <f t="shared" si="130"/>
        <v>-8.0093241740404497E-2</v>
      </c>
      <c r="AE686" s="3">
        <f t="shared" si="131"/>
        <v>0.21961862056137432</v>
      </c>
      <c r="AF686" s="3">
        <f t="shared" si="132"/>
        <v>0.34769197687249559</v>
      </c>
    </row>
    <row r="687" spans="1:32" x14ac:dyDescent="0.2">
      <c r="A687" s="30">
        <v>685</v>
      </c>
      <c r="B687" s="9" t="s">
        <v>1229</v>
      </c>
      <c r="C687" s="12">
        <v>555623703</v>
      </c>
      <c r="D687" s="13" t="s">
        <v>686</v>
      </c>
      <c r="E687" s="17">
        <v>-6.2848650107399999</v>
      </c>
      <c r="F687" s="17">
        <v>34.833300943099999</v>
      </c>
      <c r="G687" s="14">
        <v>34</v>
      </c>
      <c r="H687" s="17">
        <v>18.440000000000001</v>
      </c>
      <c r="I687" s="17">
        <v>19.010000000000002</v>
      </c>
      <c r="J687" s="17">
        <v>19.97</v>
      </c>
      <c r="K687" s="17">
        <v>20.69</v>
      </c>
      <c r="L687" s="17">
        <v>22.05</v>
      </c>
      <c r="M687" s="17">
        <f t="shared" si="124"/>
        <v>0.57000000000000028</v>
      </c>
      <c r="N687" s="17">
        <f t="shared" si="125"/>
        <v>1.5299999999999976</v>
      </c>
      <c r="O687" s="17">
        <f t="shared" si="126"/>
        <v>2.25</v>
      </c>
      <c r="P687" s="17">
        <f t="shared" si="127"/>
        <v>3.6099999999999994</v>
      </c>
      <c r="Q687" s="17">
        <f t="shared" si="128"/>
        <v>-0.35469539367490144</v>
      </c>
      <c r="R687" s="17">
        <f t="shared" si="121"/>
        <v>-0.80995464021231334</v>
      </c>
      <c r="S687" s="17">
        <f t="shared" si="122"/>
        <v>-1.4276472959213147</v>
      </c>
      <c r="T687" s="17">
        <f t="shared" si="123"/>
        <v>-1.1405913778233621</v>
      </c>
      <c r="U687" s="16">
        <v>0</v>
      </c>
      <c r="V687" s="16">
        <v>1</v>
      </c>
      <c r="W687" s="16">
        <v>1</v>
      </c>
      <c r="X687" s="16">
        <v>4</v>
      </c>
      <c r="Y687" s="15">
        <v>0.45200000000000001</v>
      </c>
      <c r="Z687" s="15">
        <v>0.56999999999999995</v>
      </c>
      <c r="AA687" s="15">
        <v>0.68400000000000005</v>
      </c>
      <c r="AB687" s="15">
        <v>0.77800000000000002</v>
      </c>
      <c r="AC687" s="3">
        <f t="shared" si="129"/>
        <v>2.6746136991710887E-2</v>
      </c>
      <c r="AD687" s="3">
        <f t="shared" si="130"/>
        <v>9.6409038637930381E-3</v>
      </c>
      <c r="AE687" s="3">
        <f t="shared" si="131"/>
        <v>3.8487163228155416E-2</v>
      </c>
      <c r="AF687" s="3">
        <f t="shared" si="132"/>
        <v>1.0895262667508917E-2</v>
      </c>
    </row>
    <row r="688" spans="1:32" x14ac:dyDescent="0.2">
      <c r="A688" s="30">
        <v>686</v>
      </c>
      <c r="B688" s="9" t="s">
        <v>1380</v>
      </c>
      <c r="C688" s="12">
        <v>555624131</v>
      </c>
      <c r="D688" s="13" t="s">
        <v>687</v>
      </c>
      <c r="E688" s="17">
        <v>126.659014623</v>
      </c>
      <c r="F688" s="17">
        <v>37.387483580999998</v>
      </c>
      <c r="G688" s="14">
        <v>27</v>
      </c>
      <c r="H688" s="17">
        <v>10.01</v>
      </c>
      <c r="I688" s="17">
        <v>11.68</v>
      </c>
      <c r="J688" s="17">
        <v>13.38</v>
      </c>
      <c r="K688" s="17">
        <v>14.65</v>
      </c>
      <c r="L688" s="17">
        <v>16.72</v>
      </c>
      <c r="M688" s="17">
        <f t="shared" si="124"/>
        <v>1.67</v>
      </c>
      <c r="N688" s="17">
        <f t="shared" si="125"/>
        <v>3.370000000000001</v>
      </c>
      <c r="O688" s="17">
        <f t="shared" si="126"/>
        <v>4.6400000000000006</v>
      </c>
      <c r="P688" s="17">
        <f t="shared" si="127"/>
        <v>6.7099999999999991</v>
      </c>
      <c r="Q688" s="17">
        <f t="shared" si="128"/>
        <v>0.98551109912540746</v>
      </c>
      <c r="R688" s="17">
        <f t="shared" si="121"/>
        <v>1.780506506921693</v>
      </c>
      <c r="S688" s="17">
        <f t="shared" si="122"/>
        <v>1.3477506809739939</v>
      </c>
      <c r="T688" s="17">
        <f t="shared" si="123"/>
        <v>1.9971516962110176</v>
      </c>
      <c r="U688" s="16">
        <v>0</v>
      </c>
      <c r="V688" s="16">
        <v>0</v>
      </c>
      <c r="W688" s="16">
        <v>0</v>
      </c>
      <c r="X688" s="16">
        <v>0</v>
      </c>
      <c r="Y688" s="15">
        <v>0.40699999999999997</v>
      </c>
      <c r="Z688" s="15">
        <v>0.53300000000000003</v>
      </c>
      <c r="AA688" s="15">
        <v>0.68</v>
      </c>
      <c r="AB688" s="15">
        <v>0.79449999999999998</v>
      </c>
      <c r="AC688" s="3">
        <f t="shared" si="129"/>
        <v>-0.38908428855055249</v>
      </c>
      <c r="AD688" s="3">
        <f t="shared" si="130"/>
        <v>-0.32237543487174053</v>
      </c>
      <c r="AE688" s="3">
        <f t="shared" si="131"/>
        <v>5.5541709857518133E-3</v>
      </c>
      <c r="AF688" s="3">
        <f t="shared" si="132"/>
        <v>0.14643540375000347</v>
      </c>
    </row>
    <row r="689" spans="1:32" x14ac:dyDescent="0.2">
      <c r="A689" s="30">
        <v>687</v>
      </c>
      <c r="B689" s="9" t="s">
        <v>911</v>
      </c>
      <c r="C689" s="12">
        <v>555624132</v>
      </c>
      <c r="D689" s="13" t="s">
        <v>688</v>
      </c>
      <c r="E689" s="17">
        <v>-71.431092145999997</v>
      </c>
      <c r="F689" s="17">
        <v>17.741721652599999</v>
      </c>
      <c r="G689" s="14">
        <v>345</v>
      </c>
      <c r="H689" s="17">
        <v>25.26</v>
      </c>
      <c r="I689" s="17">
        <v>26.23</v>
      </c>
      <c r="J689" s="17">
        <v>27.17</v>
      </c>
      <c r="K689" s="17">
        <v>28.31</v>
      </c>
      <c r="L689" s="17">
        <v>29.7</v>
      </c>
      <c r="M689" s="17">
        <f t="shared" si="124"/>
        <v>0.96999999999999886</v>
      </c>
      <c r="N689" s="17">
        <f t="shared" si="125"/>
        <v>1.9100000000000001</v>
      </c>
      <c r="O689" s="17">
        <f t="shared" si="126"/>
        <v>3.0499999999999972</v>
      </c>
      <c r="P689" s="17">
        <f t="shared" si="127"/>
        <v>4.4399999999999977</v>
      </c>
      <c r="Q689" s="17">
        <f t="shared" si="128"/>
        <v>0.13265242188884568</v>
      </c>
      <c r="R689" s="17">
        <f t="shared" si="121"/>
        <v>-0.27496809895637464</v>
      </c>
      <c r="S689" s="17">
        <f t="shared" si="122"/>
        <v>-0.49864378901075468</v>
      </c>
      <c r="T689" s="17">
        <f t="shared" si="123"/>
        <v>-0.30048597413028788</v>
      </c>
      <c r="U689" s="16">
        <v>5</v>
      </c>
      <c r="V689" s="16">
        <v>26</v>
      </c>
      <c r="W689" s="16">
        <v>27</v>
      </c>
      <c r="X689" s="16">
        <v>28</v>
      </c>
      <c r="Y689" s="15">
        <v>0.49199999999999999</v>
      </c>
      <c r="Z689" s="15">
        <v>0.621</v>
      </c>
      <c r="AA689" s="15">
        <v>0.72199999999999998</v>
      </c>
      <c r="AB689" s="15">
        <v>0.80600000000000005</v>
      </c>
      <c r="AC689" s="3">
        <f t="shared" si="129"/>
        <v>0.39637318191816673</v>
      </c>
      <c r="AD689" s="3">
        <f t="shared" si="130"/>
        <v>0.46728504644520558</v>
      </c>
      <c r="AE689" s="3">
        <f t="shared" si="131"/>
        <v>0.35135058953098874</v>
      </c>
      <c r="AF689" s="3">
        <f t="shared" si="132"/>
        <v>0.24090277480750044</v>
      </c>
    </row>
    <row r="690" spans="1:32" x14ac:dyDescent="0.2">
      <c r="A690" s="30">
        <v>688</v>
      </c>
      <c r="B690" s="9" t="s">
        <v>1230</v>
      </c>
      <c r="C690" s="12">
        <v>555624133</v>
      </c>
      <c r="D690" s="13" t="s">
        <v>689</v>
      </c>
      <c r="E690" s="17">
        <v>4.2601794263499997</v>
      </c>
      <c r="F690" s="17">
        <v>51.4606556747</v>
      </c>
      <c r="G690" s="14">
        <v>29</v>
      </c>
      <c r="H690" s="17">
        <v>11.43</v>
      </c>
      <c r="I690" s="17">
        <v>11.03</v>
      </c>
      <c r="J690" s="17">
        <v>12.39</v>
      </c>
      <c r="K690" s="17">
        <v>14.74</v>
      </c>
      <c r="L690" s="17">
        <v>15.96</v>
      </c>
      <c r="M690" s="17">
        <f t="shared" si="124"/>
        <v>-0.40000000000000036</v>
      </c>
      <c r="N690" s="17">
        <f t="shared" si="125"/>
        <v>0.96000000000000085</v>
      </c>
      <c r="O690" s="17">
        <f t="shared" si="126"/>
        <v>3.3100000000000005</v>
      </c>
      <c r="P690" s="17">
        <f t="shared" si="127"/>
        <v>4.5300000000000011</v>
      </c>
      <c r="Q690" s="17">
        <f t="shared" si="128"/>
        <v>-1.5365138464169932</v>
      </c>
      <c r="R690" s="17">
        <f t="shared" si="121"/>
        <v>-1.6124344520962115</v>
      </c>
      <c r="S690" s="17">
        <f t="shared" si="122"/>
        <v>-0.19671764926481775</v>
      </c>
      <c r="T690" s="17">
        <f t="shared" si="123"/>
        <v>-0.20939020746477016</v>
      </c>
      <c r="U690" s="16">
        <v>6</v>
      </c>
      <c r="V690" s="16">
        <v>6</v>
      </c>
      <c r="W690" s="16">
        <v>6</v>
      </c>
      <c r="X690" s="16">
        <v>6</v>
      </c>
      <c r="Y690" s="15">
        <v>0.47099999999999997</v>
      </c>
      <c r="Z690" s="15">
        <v>0.59550000000000003</v>
      </c>
      <c r="AA690" s="15">
        <v>0.68799999999999994</v>
      </c>
      <c r="AB690" s="15">
        <v>0.80400000000000005</v>
      </c>
      <c r="AC690" s="3">
        <f t="shared" si="129"/>
        <v>0.20231898333177714</v>
      </c>
      <c r="AD690" s="3">
        <f t="shared" si="130"/>
        <v>0.2384629751544998</v>
      </c>
      <c r="AE690" s="3">
        <f t="shared" si="131"/>
        <v>7.1420155470558105E-2</v>
      </c>
      <c r="AF690" s="3">
        <f t="shared" si="132"/>
        <v>0.22447366679750105</v>
      </c>
    </row>
    <row r="691" spans="1:32" x14ac:dyDescent="0.2">
      <c r="A691" s="30">
        <v>689</v>
      </c>
      <c r="B691" s="9" t="s">
        <v>1231</v>
      </c>
      <c r="C691" s="12">
        <v>555624135</v>
      </c>
      <c r="D691" s="13" t="s">
        <v>690</v>
      </c>
      <c r="E691" s="17">
        <v>4.77664817393</v>
      </c>
      <c r="F691" s="17">
        <v>53.083420859599997</v>
      </c>
      <c r="G691" s="14">
        <v>14</v>
      </c>
      <c r="H691" s="17">
        <v>11.27</v>
      </c>
      <c r="I691" s="17">
        <v>11.02</v>
      </c>
      <c r="J691" s="17">
        <v>12.44</v>
      </c>
      <c r="K691" s="17">
        <v>14.39</v>
      </c>
      <c r="L691" s="17">
        <v>15.52</v>
      </c>
      <c r="M691" s="17">
        <f t="shared" si="124"/>
        <v>-0.25</v>
      </c>
      <c r="N691" s="17">
        <f t="shared" si="125"/>
        <v>1.17</v>
      </c>
      <c r="O691" s="17">
        <f t="shared" si="126"/>
        <v>3.120000000000001</v>
      </c>
      <c r="P691" s="17">
        <f t="shared" si="127"/>
        <v>4.25</v>
      </c>
      <c r="Q691" s="17">
        <f t="shared" si="128"/>
        <v>-1.3537584155805868</v>
      </c>
      <c r="R691" s="17">
        <f t="shared" si="121"/>
        <v>-1.3167839950863538</v>
      </c>
      <c r="S691" s="17">
        <f t="shared" si="122"/>
        <v>-0.41735598215607594</v>
      </c>
      <c r="T691" s="17">
        <f t="shared" si="123"/>
        <v>-0.49279925931303786</v>
      </c>
      <c r="U691" s="16">
        <v>0</v>
      </c>
      <c r="V691" s="16">
        <v>0</v>
      </c>
      <c r="W691" s="16">
        <v>0</v>
      </c>
      <c r="X691" s="16">
        <v>0</v>
      </c>
      <c r="Y691" s="15">
        <v>0.44824999999999998</v>
      </c>
      <c r="Z691" s="15">
        <v>0.57074999999999998</v>
      </c>
      <c r="AA691" s="15">
        <v>0.66349999999999998</v>
      </c>
      <c r="AB691" s="15">
        <v>0.77849999999999997</v>
      </c>
      <c r="AC691" s="3">
        <f t="shared" si="129"/>
        <v>-7.9063984701446509E-3</v>
      </c>
      <c r="AD691" s="3">
        <f t="shared" si="130"/>
        <v>1.6370964784108176E-2</v>
      </c>
      <c r="AE691" s="3">
        <f t="shared" si="131"/>
        <v>-0.13029442201416352</v>
      </c>
      <c r="AF691" s="3">
        <f t="shared" si="132"/>
        <v>1.500253967000831E-2</v>
      </c>
    </row>
    <row r="692" spans="1:32" x14ac:dyDescent="0.2">
      <c r="A692" s="30">
        <v>690</v>
      </c>
      <c r="B692" s="9" t="s">
        <v>1232</v>
      </c>
      <c r="C692" s="12">
        <v>555624137</v>
      </c>
      <c r="D692" s="13" t="s">
        <v>691</v>
      </c>
      <c r="E692" s="17">
        <v>5.30639815299</v>
      </c>
      <c r="F692" s="17">
        <v>53.399094767199998</v>
      </c>
      <c r="G692" s="14">
        <v>32</v>
      </c>
      <c r="H692" s="17">
        <v>10.95</v>
      </c>
      <c r="I692" s="17">
        <v>10.7</v>
      </c>
      <c r="J692" s="17">
        <v>12.11</v>
      </c>
      <c r="K692" s="17">
        <v>14.03</v>
      </c>
      <c r="L692" s="17">
        <v>15.23</v>
      </c>
      <c r="M692" s="17">
        <f t="shared" si="124"/>
        <v>-0.25</v>
      </c>
      <c r="N692" s="17">
        <f t="shared" si="125"/>
        <v>1.1600000000000001</v>
      </c>
      <c r="O692" s="17">
        <f t="shared" si="126"/>
        <v>3.08</v>
      </c>
      <c r="P692" s="17">
        <f t="shared" si="127"/>
        <v>4.2800000000000011</v>
      </c>
      <c r="Q692" s="17">
        <f t="shared" si="128"/>
        <v>-1.3537584155805868</v>
      </c>
      <c r="R692" s="17">
        <f t="shared" si="121"/>
        <v>-1.3308625882772993</v>
      </c>
      <c r="S692" s="17">
        <f t="shared" si="122"/>
        <v>-0.4638061575016052</v>
      </c>
      <c r="T692" s="17">
        <f t="shared" si="123"/>
        <v>-0.46243400375786531</v>
      </c>
      <c r="U692" s="16">
        <v>4</v>
      </c>
      <c r="V692" s="16">
        <v>5</v>
      </c>
      <c r="W692" s="16">
        <v>5</v>
      </c>
      <c r="X692" s="16">
        <v>10</v>
      </c>
      <c r="Y692" s="15">
        <v>0.44824999999999998</v>
      </c>
      <c r="Z692" s="15">
        <v>0.57074999999999998</v>
      </c>
      <c r="AA692" s="15">
        <v>0.66349999999999998</v>
      </c>
      <c r="AB692" s="15">
        <v>0.77849999999999997</v>
      </c>
      <c r="AC692" s="3">
        <f t="shared" si="129"/>
        <v>-7.9063984701446509E-3</v>
      </c>
      <c r="AD692" s="3">
        <f t="shared" si="130"/>
        <v>1.6370964784108176E-2</v>
      </c>
      <c r="AE692" s="3">
        <f t="shared" si="131"/>
        <v>-0.13029442201416352</v>
      </c>
      <c r="AF692" s="3">
        <f t="shared" si="132"/>
        <v>1.500253967000831E-2</v>
      </c>
    </row>
    <row r="693" spans="1:32" x14ac:dyDescent="0.2">
      <c r="A693" s="30">
        <v>691</v>
      </c>
      <c r="B693" s="9" t="s">
        <v>1233</v>
      </c>
      <c r="C693" s="12">
        <v>555624138</v>
      </c>
      <c r="D693" s="13" t="s">
        <v>692</v>
      </c>
      <c r="E693" s="17">
        <v>5.0098892107099999</v>
      </c>
      <c r="F693" s="17">
        <v>53.2810422071</v>
      </c>
      <c r="G693" s="14">
        <v>22</v>
      </c>
      <c r="H693" s="17">
        <v>11.14</v>
      </c>
      <c r="I693" s="17">
        <v>10.87</v>
      </c>
      <c r="J693" s="17">
        <v>12.3</v>
      </c>
      <c r="K693" s="17">
        <v>14.22</v>
      </c>
      <c r="L693" s="17">
        <v>15.38</v>
      </c>
      <c r="M693" s="17">
        <f t="shared" si="124"/>
        <v>-0.27000000000000135</v>
      </c>
      <c r="N693" s="17">
        <f t="shared" si="125"/>
        <v>1.1600000000000001</v>
      </c>
      <c r="O693" s="17">
        <f t="shared" si="126"/>
        <v>3.08</v>
      </c>
      <c r="P693" s="17">
        <f t="shared" si="127"/>
        <v>4.24</v>
      </c>
      <c r="Q693" s="17">
        <f t="shared" si="128"/>
        <v>-1.378125806358776</v>
      </c>
      <c r="R693" s="17">
        <f t="shared" si="121"/>
        <v>-1.3308625882772993</v>
      </c>
      <c r="S693" s="17">
        <f t="shared" si="122"/>
        <v>-0.4638061575016052</v>
      </c>
      <c r="T693" s="17">
        <f t="shared" si="123"/>
        <v>-0.50292101116476151</v>
      </c>
      <c r="U693" s="16">
        <v>2</v>
      </c>
      <c r="V693" s="16">
        <v>9</v>
      </c>
      <c r="W693" s="16">
        <v>9</v>
      </c>
      <c r="X693" s="16">
        <v>9</v>
      </c>
      <c r="Y693" s="15">
        <v>0.44824999999999998</v>
      </c>
      <c r="Z693" s="15">
        <v>0.57074999999999998</v>
      </c>
      <c r="AA693" s="15">
        <v>0.66349999999999998</v>
      </c>
      <c r="AB693" s="15">
        <v>0.77849999999999997</v>
      </c>
      <c r="AC693" s="3">
        <f t="shared" si="129"/>
        <v>-7.9063984701446509E-3</v>
      </c>
      <c r="AD693" s="3">
        <f t="shared" si="130"/>
        <v>1.6370964784108176E-2</v>
      </c>
      <c r="AE693" s="3">
        <f t="shared" si="131"/>
        <v>-0.13029442201416352</v>
      </c>
      <c r="AF693" s="3">
        <f t="shared" si="132"/>
        <v>1.500253967000831E-2</v>
      </c>
    </row>
    <row r="694" spans="1:32" x14ac:dyDescent="0.2">
      <c r="A694" s="30">
        <v>692</v>
      </c>
      <c r="B694" s="9" t="s">
        <v>1508</v>
      </c>
      <c r="C694" s="12">
        <v>555624146</v>
      </c>
      <c r="D694" s="13" t="s">
        <v>693</v>
      </c>
      <c r="E694" s="17">
        <v>-53.845775650299998</v>
      </c>
      <c r="F694" s="17">
        <v>-33.755531425199997</v>
      </c>
      <c r="G694" s="14">
        <v>6046</v>
      </c>
      <c r="H694" s="17">
        <v>14.99</v>
      </c>
      <c r="I694" s="17">
        <v>17.41</v>
      </c>
      <c r="J694" s="17">
        <v>17.63</v>
      </c>
      <c r="K694" s="17">
        <v>19.55</v>
      </c>
      <c r="L694" s="17">
        <v>20.420000000000002</v>
      </c>
      <c r="M694" s="17">
        <f t="shared" si="124"/>
        <v>2.42</v>
      </c>
      <c r="N694" s="17">
        <f t="shared" si="125"/>
        <v>2.6399999999999988</v>
      </c>
      <c r="O694" s="17">
        <f t="shared" si="126"/>
        <v>4.5600000000000005</v>
      </c>
      <c r="P694" s="17">
        <f t="shared" si="127"/>
        <v>5.4300000000000015</v>
      </c>
      <c r="Q694" s="17">
        <f t="shared" si="128"/>
        <v>1.8992882533074367</v>
      </c>
      <c r="R694" s="17">
        <f t="shared" si="121"/>
        <v>0.75276920398265668</v>
      </c>
      <c r="S694" s="17">
        <f t="shared" si="122"/>
        <v>1.2548503302829375</v>
      </c>
      <c r="T694" s="17">
        <f t="shared" si="123"/>
        <v>0.70156745919037278</v>
      </c>
      <c r="U694" s="16">
        <v>32</v>
      </c>
      <c r="V694" s="16">
        <v>135</v>
      </c>
      <c r="W694" s="16">
        <v>196</v>
      </c>
      <c r="X694" s="16">
        <v>228</v>
      </c>
      <c r="Y694" s="15">
        <v>0.372</v>
      </c>
      <c r="Z694" s="15">
        <v>0.503</v>
      </c>
      <c r="AA694" s="15">
        <v>0.63800000000000001</v>
      </c>
      <c r="AB694" s="15">
        <v>0.72199999999999998</v>
      </c>
      <c r="AC694" s="3">
        <f t="shared" si="129"/>
        <v>-0.71250795286120128</v>
      </c>
      <c r="AD694" s="3">
        <f t="shared" si="130"/>
        <v>-0.59157787168433618</v>
      </c>
      <c r="AE694" s="3">
        <f t="shared" si="131"/>
        <v>-0.34024224755948601</v>
      </c>
      <c r="AF694" s="3">
        <f t="shared" si="132"/>
        <v>-0.44911976161247413</v>
      </c>
    </row>
    <row r="695" spans="1:32" x14ac:dyDescent="0.2">
      <c r="A695" s="30">
        <v>693</v>
      </c>
      <c r="B695" s="9" t="s">
        <v>912</v>
      </c>
      <c r="C695" s="12">
        <v>555624149</v>
      </c>
      <c r="D695" s="13" t="s">
        <v>694</v>
      </c>
      <c r="E695" s="17">
        <v>-54.2924080027</v>
      </c>
      <c r="F695" s="17">
        <v>-34.619785075300001</v>
      </c>
      <c r="G695" s="14">
        <v>158</v>
      </c>
      <c r="H695" s="17">
        <v>14.19</v>
      </c>
      <c r="I695" s="17">
        <v>16.68</v>
      </c>
      <c r="J695" s="17">
        <v>16.89</v>
      </c>
      <c r="K695" s="17">
        <v>18.63</v>
      </c>
      <c r="L695" s="17">
        <v>19.55</v>
      </c>
      <c r="M695" s="17">
        <f t="shared" si="124"/>
        <v>2.4900000000000002</v>
      </c>
      <c r="N695" s="17">
        <f t="shared" si="125"/>
        <v>2.7000000000000011</v>
      </c>
      <c r="O695" s="17">
        <f t="shared" si="126"/>
        <v>4.4399999999999995</v>
      </c>
      <c r="P695" s="17">
        <f t="shared" si="127"/>
        <v>5.3600000000000012</v>
      </c>
      <c r="Q695" s="17">
        <f t="shared" si="128"/>
        <v>1.984574121031093</v>
      </c>
      <c r="R695" s="17">
        <f t="shared" si="121"/>
        <v>0.83724076312833384</v>
      </c>
      <c r="S695" s="17">
        <f t="shared" si="122"/>
        <v>1.1154998042463518</v>
      </c>
      <c r="T695" s="17">
        <f t="shared" si="123"/>
        <v>0.63071519622830585</v>
      </c>
      <c r="U695" s="16">
        <v>2</v>
      </c>
      <c r="V695" s="16">
        <v>4</v>
      </c>
      <c r="W695" s="16">
        <v>5</v>
      </c>
      <c r="X695" s="16">
        <v>10</v>
      </c>
      <c r="Y695" s="15">
        <v>0.372</v>
      </c>
      <c r="Z695" s="15">
        <v>0.502</v>
      </c>
      <c r="AA695" s="15">
        <v>0.63800000000000001</v>
      </c>
      <c r="AB695" s="15">
        <v>0.72</v>
      </c>
      <c r="AC695" s="3">
        <f t="shared" si="129"/>
        <v>-0.71250795286120128</v>
      </c>
      <c r="AD695" s="3">
        <f t="shared" si="130"/>
        <v>-0.60055128624475596</v>
      </c>
      <c r="AE695" s="3">
        <f t="shared" si="131"/>
        <v>-0.34024224755948601</v>
      </c>
      <c r="AF695" s="3">
        <f t="shared" si="132"/>
        <v>-0.46554886962247355</v>
      </c>
    </row>
    <row r="696" spans="1:32" x14ac:dyDescent="0.2">
      <c r="A696" s="30">
        <v>694</v>
      </c>
      <c r="B696" s="9" t="s">
        <v>1509</v>
      </c>
      <c r="C696" s="12">
        <v>555624168</v>
      </c>
      <c r="D696" s="13" t="s">
        <v>695</v>
      </c>
      <c r="E696" s="17">
        <v>-71.556835299100001</v>
      </c>
      <c r="F696" s="17">
        <v>-31.5765165201</v>
      </c>
      <c r="G696" s="14">
        <v>8</v>
      </c>
      <c r="H696" s="17">
        <v>15</v>
      </c>
      <c r="I696" s="17">
        <v>16.32</v>
      </c>
      <c r="J696" s="17">
        <v>17.489999999999998</v>
      </c>
      <c r="K696" s="17">
        <v>17.98</v>
      </c>
      <c r="L696" s="17">
        <v>18.71</v>
      </c>
      <c r="M696" s="17">
        <f t="shared" si="124"/>
        <v>1.3200000000000003</v>
      </c>
      <c r="N696" s="17">
        <f t="shared" si="125"/>
        <v>2.4899999999999984</v>
      </c>
      <c r="O696" s="17">
        <f t="shared" si="126"/>
        <v>2.9800000000000004</v>
      </c>
      <c r="P696" s="17">
        <f t="shared" si="127"/>
        <v>3.7100000000000009</v>
      </c>
      <c r="Q696" s="17">
        <f t="shared" si="128"/>
        <v>0.55908176050712766</v>
      </c>
      <c r="R696" s="17">
        <f t="shared" si="121"/>
        <v>0.54159030611847125</v>
      </c>
      <c r="S696" s="17">
        <f t="shared" si="122"/>
        <v>-0.5799315958654252</v>
      </c>
      <c r="T696" s="17">
        <f t="shared" si="123"/>
        <v>-1.0393738593061226</v>
      </c>
      <c r="U696" s="16">
        <v>0</v>
      </c>
      <c r="V696" s="16">
        <v>0</v>
      </c>
      <c r="W696" s="16">
        <v>0</v>
      </c>
      <c r="X696" s="16">
        <v>0</v>
      </c>
      <c r="Y696" s="15">
        <v>0.26400000000000001</v>
      </c>
      <c r="Z696" s="15">
        <v>0.37</v>
      </c>
      <c r="AA696" s="15">
        <v>0.48899999999999999</v>
      </c>
      <c r="AB696" s="15">
        <v>0.55800000000000005</v>
      </c>
      <c r="AC696" s="3">
        <f t="shared" si="129"/>
        <v>-1.7105009741626322</v>
      </c>
      <c r="AD696" s="3">
        <f t="shared" si="130"/>
        <v>-1.7850420082201757</v>
      </c>
      <c r="AE696" s="3">
        <f t="shared" si="131"/>
        <v>-1.5669962085890194</v>
      </c>
      <c r="AF696" s="3">
        <f t="shared" si="132"/>
        <v>-1.7963066184324228</v>
      </c>
    </row>
    <row r="697" spans="1:32" x14ac:dyDescent="0.2">
      <c r="A697" s="30">
        <v>695</v>
      </c>
      <c r="B697" s="9" t="s">
        <v>1510</v>
      </c>
      <c r="C697" s="12">
        <v>555624180</v>
      </c>
      <c r="D697" s="13" t="s">
        <v>696</v>
      </c>
      <c r="E697" s="17">
        <v>0.477800598119</v>
      </c>
      <c r="F697" s="17">
        <v>49.431282091999996</v>
      </c>
      <c r="G697" s="14">
        <v>33</v>
      </c>
      <c r="H697" s="17">
        <v>11.83</v>
      </c>
      <c r="I697" s="17">
        <v>11.17</v>
      </c>
      <c r="J697" s="17">
        <v>12.74</v>
      </c>
      <c r="K697" s="17">
        <v>15.05</v>
      </c>
      <c r="L697" s="17">
        <v>16.28</v>
      </c>
      <c r="M697" s="17">
        <f t="shared" si="124"/>
        <v>-0.66000000000000014</v>
      </c>
      <c r="N697" s="17">
        <f t="shared" si="125"/>
        <v>0.91000000000000014</v>
      </c>
      <c r="O697" s="17">
        <f t="shared" si="126"/>
        <v>3.2200000000000006</v>
      </c>
      <c r="P697" s="17">
        <f t="shared" si="127"/>
        <v>4.4500000000000011</v>
      </c>
      <c r="Q697" s="17">
        <f t="shared" si="128"/>
        <v>-1.8532899265334297</v>
      </c>
      <c r="R697" s="17">
        <f t="shared" si="121"/>
        <v>-1.6828274180509408</v>
      </c>
      <c r="S697" s="17">
        <f t="shared" si="122"/>
        <v>-0.30123054379225594</v>
      </c>
      <c r="T697" s="17">
        <f t="shared" si="123"/>
        <v>-0.29036422227856068</v>
      </c>
      <c r="U697" s="16">
        <v>0</v>
      </c>
      <c r="V697" s="16">
        <v>1</v>
      </c>
      <c r="W697" s="16">
        <v>1</v>
      </c>
      <c r="X697" s="16">
        <v>1</v>
      </c>
      <c r="Y697" s="15">
        <v>0.45650000000000002</v>
      </c>
      <c r="Z697" s="15">
        <v>0.57899999999999996</v>
      </c>
      <c r="AA697" s="15">
        <v>0.67400000000000004</v>
      </c>
      <c r="AB697" s="15">
        <v>0.77600000000000002</v>
      </c>
      <c r="AC697" s="3">
        <f t="shared" si="129"/>
        <v>6.832917954593723E-2</v>
      </c>
      <c r="AD697" s="3">
        <f t="shared" si="130"/>
        <v>9.0401634907571721E-2</v>
      </c>
      <c r="AE697" s="3">
        <f t="shared" si="131"/>
        <v>-4.384531737785359E-2</v>
      </c>
      <c r="AF697" s="3">
        <f t="shared" si="132"/>
        <v>-5.5338453424904786E-3</v>
      </c>
    </row>
    <row r="698" spans="1:32" x14ac:dyDescent="0.2">
      <c r="A698" s="30">
        <v>696</v>
      </c>
      <c r="B698" s="9" t="s">
        <v>1381</v>
      </c>
      <c r="C698" s="12">
        <v>555624182</v>
      </c>
      <c r="D698" s="13" t="s">
        <v>697</v>
      </c>
      <c r="E698" s="17">
        <v>117.255862081</v>
      </c>
      <c r="F698" s="17">
        <v>23.282243572399999</v>
      </c>
      <c r="G698" s="14">
        <v>516</v>
      </c>
      <c r="H698" s="17">
        <v>21.38</v>
      </c>
      <c r="I698" s="17">
        <v>22.95</v>
      </c>
      <c r="J698" s="17">
        <v>23.53</v>
      </c>
      <c r="K698" s="17">
        <v>24.38</v>
      </c>
      <c r="L698" s="17">
        <v>26.21</v>
      </c>
      <c r="M698" s="17">
        <f t="shared" si="124"/>
        <v>1.5700000000000003</v>
      </c>
      <c r="N698" s="17">
        <f t="shared" si="125"/>
        <v>2.1500000000000021</v>
      </c>
      <c r="O698" s="17">
        <f t="shared" si="126"/>
        <v>3</v>
      </c>
      <c r="P698" s="17">
        <f t="shared" si="127"/>
        <v>4.8300000000000018</v>
      </c>
      <c r="Q698" s="17">
        <f t="shared" si="128"/>
        <v>0.86367414523447072</v>
      </c>
      <c r="R698" s="17">
        <f t="shared" si="121"/>
        <v>6.2918137626324019E-2</v>
      </c>
      <c r="S698" s="17">
        <f t="shared" si="122"/>
        <v>-0.55670650819266154</v>
      </c>
      <c r="T698" s="17">
        <f t="shared" si="123"/>
        <v>9.4262348086944753E-2</v>
      </c>
      <c r="U698" s="16">
        <v>1</v>
      </c>
      <c r="V698" s="16">
        <v>1</v>
      </c>
      <c r="W698" s="16">
        <v>1</v>
      </c>
      <c r="X698" s="16">
        <v>1</v>
      </c>
      <c r="Y698" s="15">
        <v>0.434</v>
      </c>
      <c r="Z698" s="15">
        <v>0.57399999999999995</v>
      </c>
      <c r="AA698" s="15">
        <v>0.69399999999999995</v>
      </c>
      <c r="AB698" s="15">
        <v>0.79700000000000004</v>
      </c>
      <c r="AC698" s="3">
        <f t="shared" si="129"/>
        <v>-0.13958603322519447</v>
      </c>
      <c r="AD698" s="3">
        <f t="shared" si="130"/>
        <v>4.5534562105472451E-2</v>
      </c>
      <c r="AE698" s="3">
        <f t="shared" si="131"/>
        <v>0.12081964383416352</v>
      </c>
      <c r="AF698" s="3">
        <f t="shared" si="132"/>
        <v>0.16697178876250315</v>
      </c>
    </row>
    <row r="699" spans="1:32" x14ac:dyDescent="0.2">
      <c r="A699" s="30">
        <v>697</v>
      </c>
      <c r="B699" s="9" t="s">
        <v>1382</v>
      </c>
      <c r="C699" s="12">
        <v>555624200</v>
      </c>
      <c r="D699" s="13" t="s">
        <v>698</v>
      </c>
      <c r="E699" s="17">
        <v>127.51111992</v>
      </c>
      <c r="F699" s="17">
        <v>34.889559161699999</v>
      </c>
      <c r="G699" s="14">
        <v>4</v>
      </c>
      <c r="H699" s="17">
        <v>11.59</v>
      </c>
      <c r="I699" s="17">
        <v>13.19</v>
      </c>
      <c r="J699" s="17">
        <v>14.27</v>
      </c>
      <c r="K699" s="17">
        <v>15.84</v>
      </c>
      <c r="L699" s="17">
        <v>17.63</v>
      </c>
      <c r="M699" s="17">
        <f t="shared" si="124"/>
        <v>1.5999999999999996</v>
      </c>
      <c r="N699" s="17">
        <f t="shared" si="125"/>
        <v>2.6799999999999997</v>
      </c>
      <c r="O699" s="17">
        <f t="shared" si="126"/>
        <v>4.25</v>
      </c>
      <c r="P699" s="17">
        <f t="shared" si="127"/>
        <v>6.0399999999999991</v>
      </c>
      <c r="Q699" s="17">
        <f t="shared" si="128"/>
        <v>0.90022523140175104</v>
      </c>
      <c r="R699" s="17">
        <f t="shared" si="121"/>
        <v>0.8090835767464406</v>
      </c>
      <c r="S699" s="17">
        <f t="shared" si="122"/>
        <v>0.89486147135509353</v>
      </c>
      <c r="T699" s="17">
        <f t="shared" si="123"/>
        <v>1.3189943221455225</v>
      </c>
      <c r="U699" s="16">
        <v>0</v>
      </c>
      <c r="V699" s="16">
        <v>0</v>
      </c>
      <c r="W699" s="16">
        <v>0</v>
      </c>
      <c r="X699" s="16">
        <v>0</v>
      </c>
      <c r="Y699" s="15">
        <v>0.40533333333299998</v>
      </c>
      <c r="Z699" s="15">
        <v>0.53366666666700002</v>
      </c>
      <c r="AA699" s="15">
        <v>0.67733333333300005</v>
      </c>
      <c r="AB699" s="15">
        <v>0.79100000000000004</v>
      </c>
      <c r="AC699" s="3">
        <f t="shared" si="129"/>
        <v>-0.40448541542556832</v>
      </c>
      <c r="AD699" s="3">
        <f t="shared" si="130"/>
        <v>-0.31639315849513622</v>
      </c>
      <c r="AE699" s="3">
        <f t="shared" si="131"/>
        <v>-1.6401157178594944E-2</v>
      </c>
      <c r="AF699" s="3">
        <f t="shared" si="132"/>
        <v>0.11768446473250499</v>
      </c>
    </row>
    <row r="700" spans="1:32" x14ac:dyDescent="0.2">
      <c r="A700" s="30">
        <v>698</v>
      </c>
      <c r="B700" s="9" t="s">
        <v>913</v>
      </c>
      <c r="C700" s="12">
        <v>555624201</v>
      </c>
      <c r="D700" s="13" t="s">
        <v>699</v>
      </c>
      <c r="E700" s="17">
        <v>-63.121366231000003</v>
      </c>
      <c r="F700" s="17">
        <v>18.0478796483</v>
      </c>
      <c r="G700" s="14">
        <v>4</v>
      </c>
      <c r="H700" s="17">
        <v>24.98</v>
      </c>
      <c r="I700" s="17">
        <v>25.92</v>
      </c>
      <c r="J700" s="17">
        <v>26.69</v>
      </c>
      <c r="K700" s="17">
        <v>27.68</v>
      </c>
      <c r="L700" s="17">
        <v>29.19</v>
      </c>
      <c r="M700" s="17">
        <f t="shared" si="124"/>
        <v>0.94000000000000128</v>
      </c>
      <c r="N700" s="17">
        <f t="shared" si="125"/>
        <v>1.7100000000000009</v>
      </c>
      <c r="O700" s="17">
        <f t="shared" si="126"/>
        <v>2.6999999999999993</v>
      </c>
      <c r="P700" s="17">
        <f t="shared" si="127"/>
        <v>4.2100000000000009</v>
      </c>
      <c r="Q700" s="17">
        <f t="shared" si="128"/>
        <v>9.6101335721567455E-2</v>
      </c>
      <c r="R700" s="17">
        <f t="shared" si="121"/>
        <v>-0.55653996277528683</v>
      </c>
      <c r="S700" s="17">
        <f t="shared" si="122"/>
        <v>-0.90508282328412359</v>
      </c>
      <c r="T700" s="17">
        <f t="shared" si="123"/>
        <v>-0.53328626671993229</v>
      </c>
      <c r="U700" s="16">
        <v>2</v>
      </c>
      <c r="V700" s="16">
        <v>2</v>
      </c>
      <c r="W700" s="16">
        <v>2</v>
      </c>
      <c r="X700" s="16">
        <v>2</v>
      </c>
      <c r="Y700" s="15">
        <v>0.44</v>
      </c>
      <c r="Z700" s="15">
        <v>0.56200000000000006</v>
      </c>
      <c r="AA700" s="15">
        <v>0.66400000000000003</v>
      </c>
      <c r="AB700" s="15">
        <v>0.76</v>
      </c>
      <c r="AC700" s="3">
        <f t="shared" si="129"/>
        <v>-8.4141976486226011E-2</v>
      </c>
      <c r="AD700" s="3">
        <f t="shared" si="130"/>
        <v>-6.2146412619564793E-2</v>
      </c>
      <c r="AE700" s="3">
        <f t="shared" si="131"/>
        <v>-0.12617779798386261</v>
      </c>
      <c r="AF700" s="3">
        <f t="shared" si="132"/>
        <v>-0.13696670942248565</v>
      </c>
    </row>
    <row r="701" spans="1:32" x14ac:dyDescent="0.2">
      <c r="A701" s="30">
        <v>699</v>
      </c>
      <c r="B701" s="9" t="s">
        <v>1383</v>
      </c>
      <c r="C701" s="12">
        <v>555624202</v>
      </c>
      <c r="D701" s="13" t="s">
        <v>700</v>
      </c>
      <c r="E701" s="17">
        <v>122.772870485</v>
      </c>
      <c r="F701" s="17">
        <v>10.263373467599999</v>
      </c>
      <c r="G701" s="14">
        <v>716</v>
      </c>
      <c r="H701" s="17">
        <v>26.11</v>
      </c>
      <c r="I701" s="17">
        <v>27.17</v>
      </c>
      <c r="J701" s="17">
        <v>28.35</v>
      </c>
      <c r="K701" s="17">
        <v>29.55</v>
      </c>
      <c r="L701" s="17">
        <v>30.25</v>
      </c>
      <c r="M701" s="17">
        <f t="shared" si="124"/>
        <v>1.0600000000000023</v>
      </c>
      <c r="N701" s="17">
        <f t="shared" si="125"/>
        <v>2.240000000000002</v>
      </c>
      <c r="O701" s="17">
        <f t="shared" si="126"/>
        <v>3.4400000000000013</v>
      </c>
      <c r="P701" s="17">
        <f t="shared" si="127"/>
        <v>4.1400000000000006</v>
      </c>
      <c r="Q701" s="17">
        <f t="shared" si="128"/>
        <v>0.24230568039069333</v>
      </c>
      <c r="R701" s="17">
        <f t="shared" si="121"/>
        <v>0.18962547634483476</v>
      </c>
      <c r="S701" s="17">
        <f t="shared" si="122"/>
        <v>-4.5754579391850292E-2</v>
      </c>
      <c r="T701" s="17">
        <f t="shared" si="123"/>
        <v>-0.60413852968199921</v>
      </c>
      <c r="U701" s="16">
        <v>1</v>
      </c>
      <c r="V701" s="16">
        <v>2</v>
      </c>
      <c r="W701" s="16">
        <v>3</v>
      </c>
      <c r="X701" s="16">
        <v>5</v>
      </c>
      <c r="Y701" s="15">
        <v>0.45200000000000001</v>
      </c>
      <c r="Z701" s="15">
        <v>0.58199999999999996</v>
      </c>
      <c r="AA701" s="15">
        <v>0.68600000000000005</v>
      </c>
      <c r="AB701" s="15">
        <v>0.79100000000000004</v>
      </c>
      <c r="AC701" s="3">
        <f t="shared" si="129"/>
        <v>2.6746136991710887E-2</v>
      </c>
      <c r="AD701" s="3">
        <f t="shared" si="130"/>
        <v>0.11732187858883128</v>
      </c>
      <c r="AE701" s="3">
        <f t="shared" si="131"/>
        <v>5.4953659349357219E-2</v>
      </c>
      <c r="AF701" s="3">
        <f t="shared" si="132"/>
        <v>0.11768446473250499</v>
      </c>
    </row>
    <row r="702" spans="1:32" x14ac:dyDescent="0.2">
      <c r="A702" s="30">
        <v>700</v>
      </c>
      <c r="B702" s="9" t="s">
        <v>1234</v>
      </c>
      <c r="C702" s="12">
        <v>555624277</v>
      </c>
      <c r="D702" s="13" t="s">
        <v>701</v>
      </c>
      <c r="E702" s="17">
        <v>10.808377437500001</v>
      </c>
      <c r="F702" s="17">
        <v>33.589239175700001</v>
      </c>
      <c r="G702" s="14">
        <v>549</v>
      </c>
      <c r="H702" s="17">
        <v>19.32</v>
      </c>
      <c r="I702" s="17">
        <v>20.94</v>
      </c>
      <c r="J702" s="17">
        <v>22.47</v>
      </c>
      <c r="K702" s="17">
        <v>23.5</v>
      </c>
      <c r="L702" s="17">
        <v>25.31</v>
      </c>
      <c r="M702" s="17">
        <f t="shared" si="124"/>
        <v>1.620000000000001</v>
      </c>
      <c r="N702" s="17">
        <f t="shared" si="125"/>
        <v>3.1499999999999986</v>
      </c>
      <c r="O702" s="17">
        <f t="shared" si="126"/>
        <v>4.18</v>
      </c>
      <c r="P702" s="17">
        <f t="shared" si="127"/>
        <v>5.9899999999999984</v>
      </c>
      <c r="Q702" s="17">
        <f t="shared" si="128"/>
        <v>0.9245926221799402</v>
      </c>
      <c r="R702" s="17">
        <f t="shared" si="121"/>
        <v>1.4707774567208851</v>
      </c>
      <c r="S702" s="17">
        <f t="shared" si="122"/>
        <v>0.8135736645004189</v>
      </c>
      <c r="T702" s="17">
        <f t="shared" si="123"/>
        <v>1.2683855628869027</v>
      </c>
      <c r="U702" s="16">
        <v>5</v>
      </c>
      <c r="V702" s="16">
        <v>8</v>
      </c>
      <c r="W702" s="16">
        <v>8</v>
      </c>
      <c r="X702" s="16">
        <v>12</v>
      </c>
      <c r="Y702" s="15">
        <v>0.432</v>
      </c>
      <c r="Z702" s="15">
        <v>0.55000000000000004</v>
      </c>
      <c r="AA702" s="15">
        <v>0.66</v>
      </c>
      <c r="AB702" s="15">
        <v>0.76</v>
      </c>
      <c r="AC702" s="3">
        <f t="shared" si="129"/>
        <v>-0.15806738547151727</v>
      </c>
      <c r="AD702" s="3">
        <f t="shared" si="130"/>
        <v>-0.16982738734460304</v>
      </c>
      <c r="AE702" s="3">
        <f t="shared" si="131"/>
        <v>-0.1591107902262662</v>
      </c>
      <c r="AF702" s="3">
        <f t="shared" si="132"/>
        <v>-0.13696670942248565</v>
      </c>
    </row>
    <row r="703" spans="1:32" x14ac:dyDescent="0.2">
      <c r="A703" s="30">
        <v>701</v>
      </c>
      <c r="B703" s="9" t="s">
        <v>1235</v>
      </c>
      <c r="C703" s="12">
        <v>555624666</v>
      </c>
      <c r="D703" s="13" t="s">
        <v>702</v>
      </c>
      <c r="E703" s="17">
        <v>46.124639066500002</v>
      </c>
      <c r="F703" s="17">
        <v>-15.768806144199999</v>
      </c>
      <c r="G703" s="14">
        <v>26</v>
      </c>
      <c r="H703" s="17">
        <v>26.72</v>
      </c>
      <c r="I703" s="17">
        <v>28.08</v>
      </c>
      <c r="J703" s="17">
        <v>28.32</v>
      </c>
      <c r="K703" s="17">
        <v>29.93</v>
      </c>
      <c r="L703" s="17">
        <v>31.08</v>
      </c>
      <c r="M703" s="17">
        <f t="shared" si="124"/>
        <v>1.3599999999999994</v>
      </c>
      <c r="N703" s="17">
        <f t="shared" si="125"/>
        <v>1.6000000000000014</v>
      </c>
      <c r="O703" s="17">
        <f t="shared" si="126"/>
        <v>3.2100000000000009</v>
      </c>
      <c r="P703" s="17">
        <f t="shared" si="127"/>
        <v>4.3599999999999994</v>
      </c>
      <c r="Q703" s="17">
        <f t="shared" si="128"/>
        <v>0.60781654206350155</v>
      </c>
      <c r="R703" s="17">
        <f t="shared" si="121"/>
        <v>-0.71140448787568833</v>
      </c>
      <c r="S703" s="17">
        <f t="shared" si="122"/>
        <v>-0.31284308762863772</v>
      </c>
      <c r="T703" s="17">
        <f t="shared" si="123"/>
        <v>-0.38145998894407662</v>
      </c>
      <c r="U703" s="16">
        <v>3</v>
      </c>
      <c r="V703" s="16">
        <v>3</v>
      </c>
      <c r="W703" s="16">
        <v>3</v>
      </c>
      <c r="X703" s="16">
        <v>3</v>
      </c>
      <c r="Y703" s="15">
        <v>0.45500000000000002</v>
      </c>
      <c r="Z703" s="15">
        <v>0.57199999999999995</v>
      </c>
      <c r="AA703" s="15">
        <v>0.70399999999999996</v>
      </c>
      <c r="AB703" s="15">
        <v>0.78400000000000003</v>
      </c>
      <c r="AC703" s="3">
        <f t="shared" si="129"/>
        <v>5.4468165361195114E-2</v>
      </c>
      <c r="AD703" s="3">
        <f t="shared" si="130"/>
        <v>2.7587732984632744E-2</v>
      </c>
      <c r="AE703" s="3">
        <f t="shared" si="131"/>
        <v>0.20315212444017253</v>
      </c>
      <c r="AF703" s="3">
        <f t="shared" si="132"/>
        <v>6.0182586697507104E-2</v>
      </c>
    </row>
    <row r="704" spans="1:32" x14ac:dyDescent="0.2">
      <c r="A704" s="30">
        <v>702</v>
      </c>
      <c r="B704" s="9" t="s">
        <v>1236</v>
      </c>
      <c r="C704" s="12">
        <v>555624677</v>
      </c>
      <c r="D704" s="13" t="s">
        <v>703</v>
      </c>
      <c r="E704" s="17">
        <v>11.017553937100001</v>
      </c>
      <c r="F704" s="17">
        <v>42.670584089599998</v>
      </c>
      <c r="G704" s="14">
        <v>6</v>
      </c>
      <c r="H704" s="17">
        <v>15.64</v>
      </c>
      <c r="I704" s="17">
        <v>16.3</v>
      </c>
      <c r="J704" s="17">
        <v>17.96</v>
      </c>
      <c r="K704" s="17">
        <v>19.89</v>
      </c>
      <c r="L704" s="17">
        <v>21.36</v>
      </c>
      <c r="M704" s="17">
        <f t="shared" si="124"/>
        <v>0.66000000000000014</v>
      </c>
      <c r="N704" s="17">
        <f t="shared" si="125"/>
        <v>2.3200000000000003</v>
      </c>
      <c r="O704" s="17">
        <f t="shared" si="126"/>
        <v>4.25</v>
      </c>
      <c r="P704" s="17">
        <f t="shared" si="127"/>
        <v>5.7199999999999989</v>
      </c>
      <c r="Q704" s="17">
        <f t="shared" si="128"/>
        <v>-0.24504213517305812</v>
      </c>
      <c r="R704" s="17">
        <f t="shared" si="121"/>
        <v>0.30225422187239764</v>
      </c>
      <c r="S704" s="17">
        <f t="shared" si="122"/>
        <v>0.89486147135509353</v>
      </c>
      <c r="T704" s="17">
        <f t="shared" si="123"/>
        <v>0.99509826289036052</v>
      </c>
      <c r="U704" s="16">
        <v>1</v>
      </c>
      <c r="V704" s="16">
        <v>1</v>
      </c>
      <c r="W704" s="16">
        <v>2</v>
      </c>
      <c r="X704" s="16">
        <v>2</v>
      </c>
      <c r="Y704" s="15">
        <v>0.42499999999999999</v>
      </c>
      <c r="Z704" s="15">
        <v>0.54200000000000004</v>
      </c>
      <c r="AA704" s="15">
        <v>0.64</v>
      </c>
      <c r="AB704" s="15">
        <v>0.73499999999999999</v>
      </c>
      <c r="AC704" s="3">
        <f t="shared" si="129"/>
        <v>-0.22275211833364714</v>
      </c>
      <c r="AD704" s="3">
        <f t="shared" si="130"/>
        <v>-0.24161470382796185</v>
      </c>
      <c r="AE704" s="3">
        <f t="shared" si="131"/>
        <v>-0.32377575143828424</v>
      </c>
      <c r="AF704" s="3">
        <f t="shared" si="132"/>
        <v>-0.3423305595474781</v>
      </c>
    </row>
    <row r="705" spans="1:32" x14ac:dyDescent="0.2">
      <c r="A705" s="30">
        <v>703</v>
      </c>
      <c r="B705" s="9" t="s">
        <v>1384</v>
      </c>
      <c r="C705" s="12">
        <v>555624679</v>
      </c>
      <c r="D705" s="13" t="s">
        <v>704</v>
      </c>
      <c r="E705" s="17">
        <v>95.265901521299995</v>
      </c>
      <c r="F705" s="17">
        <v>15.845093417099999</v>
      </c>
      <c r="G705" s="14">
        <v>324</v>
      </c>
      <c r="H705" s="17">
        <v>26.11</v>
      </c>
      <c r="I705" s="17">
        <v>27.51</v>
      </c>
      <c r="J705" s="17">
        <v>28.59</v>
      </c>
      <c r="K705" s="17">
        <v>29.91</v>
      </c>
      <c r="L705" s="17">
        <v>30.96</v>
      </c>
      <c r="M705" s="17">
        <f t="shared" si="124"/>
        <v>1.4000000000000021</v>
      </c>
      <c r="N705" s="17">
        <f t="shared" si="125"/>
        <v>2.4800000000000004</v>
      </c>
      <c r="O705" s="17">
        <f t="shared" si="126"/>
        <v>3.8000000000000007</v>
      </c>
      <c r="P705" s="17">
        <f t="shared" si="127"/>
        <v>4.8500000000000014</v>
      </c>
      <c r="Q705" s="17">
        <f t="shared" si="128"/>
        <v>0.65655132361987967</v>
      </c>
      <c r="R705" s="17">
        <f t="shared" si="121"/>
        <v>0.52751171292752841</v>
      </c>
      <c r="S705" s="17">
        <f t="shared" si="122"/>
        <v>0.37229699871790251</v>
      </c>
      <c r="T705" s="17">
        <f t="shared" si="123"/>
        <v>0.11450585179039192</v>
      </c>
      <c r="U705" s="16">
        <v>4</v>
      </c>
      <c r="V705" s="16">
        <v>6</v>
      </c>
      <c r="W705" s="16">
        <v>8</v>
      </c>
      <c r="X705" s="16">
        <v>8</v>
      </c>
      <c r="Y705" s="15">
        <v>0.436</v>
      </c>
      <c r="Z705" s="15">
        <v>0.53600000000000003</v>
      </c>
      <c r="AA705" s="15">
        <v>0.64500000000000002</v>
      </c>
      <c r="AB705" s="15">
        <v>0.75600000000000001</v>
      </c>
      <c r="AC705" s="3">
        <f t="shared" si="129"/>
        <v>-0.12110468097887164</v>
      </c>
      <c r="AD705" s="3">
        <f t="shared" si="130"/>
        <v>-0.29545519119048097</v>
      </c>
      <c r="AE705" s="3">
        <f t="shared" si="131"/>
        <v>-0.28260951113527971</v>
      </c>
      <c r="AF705" s="3">
        <f t="shared" si="132"/>
        <v>-0.16982492544248443</v>
      </c>
    </row>
    <row r="706" spans="1:32" x14ac:dyDescent="0.2">
      <c r="A706" s="30">
        <v>704</v>
      </c>
      <c r="B706" s="9" t="s">
        <v>1237</v>
      </c>
      <c r="C706" s="12">
        <v>555624681</v>
      </c>
      <c r="D706" s="13" t="s">
        <v>705</v>
      </c>
      <c r="E706" s="17">
        <v>47.834148646700001</v>
      </c>
      <c r="F706" s="17">
        <v>-14.1861408561</v>
      </c>
      <c r="G706" s="14">
        <v>272</v>
      </c>
      <c r="H706" s="17">
        <v>25.8</v>
      </c>
      <c r="I706" s="17">
        <v>27.09</v>
      </c>
      <c r="J706" s="17">
        <v>27.62</v>
      </c>
      <c r="K706" s="17">
        <v>28.94</v>
      </c>
      <c r="L706" s="17">
        <v>30.12</v>
      </c>
      <c r="M706" s="17">
        <f t="shared" si="124"/>
        <v>1.2899999999999991</v>
      </c>
      <c r="N706" s="17">
        <f t="shared" si="125"/>
        <v>1.8200000000000003</v>
      </c>
      <c r="O706" s="17">
        <f t="shared" si="126"/>
        <v>3.1400000000000006</v>
      </c>
      <c r="P706" s="17">
        <f t="shared" si="127"/>
        <v>4.32</v>
      </c>
      <c r="Q706" s="17">
        <f t="shared" si="128"/>
        <v>0.52253067433984512</v>
      </c>
      <c r="R706" s="17">
        <f t="shared" si="121"/>
        <v>-0.40167543767488539</v>
      </c>
      <c r="S706" s="17">
        <f t="shared" si="122"/>
        <v>-0.39413089448331234</v>
      </c>
      <c r="T706" s="17">
        <f t="shared" si="123"/>
        <v>-0.42194699635097094</v>
      </c>
      <c r="U706" s="16">
        <v>3</v>
      </c>
      <c r="V706" s="16">
        <v>5</v>
      </c>
      <c r="W706" s="16">
        <v>5</v>
      </c>
      <c r="X706" s="16">
        <v>5</v>
      </c>
      <c r="Y706" s="15">
        <v>0.45800000000000002</v>
      </c>
      <c r="Z706" s="15">
        <v>0.57499999999999996</v>
      </c>
      <c r="AA706" s="15">
        <v>0.70699999999999996</v>
      </c>
      <c r="AB706" s="15">
        <v>0.78400000000000003</v>
      </c>
      <c r="AC706" s="3">
        <f t="shared" si="129"/>
        <v>8.2190193730679345E-2</v>
      </c>
      <c r="AD706" s="3">
        <f t="shared" si="130"/>
        <v>5.4507976665892306E-2</v>
      </c>
      <c r="AE706" s="3">
        <f t="shared" si="131"/>
        <v>0.22785186862197523</v>
      </c>
      <c r="AF706" s="3">
        <f t="shared" si="132"/>
        <v>6.0182586697507104E-2</v>
      </c>
    </row>
    <row r="707" spans="1:32" x14ac:dyDescent="0.2">
      <c r="A707" s="30">
        <v>705</v>
      </c>
      <c r="B707" s="9" t="s">
        <v>1511</v>
      </c>
      <c r="C707" s="12">
        <v>555624682</v>
      </c>
      <c r="D707" s="13" t="s">
        <v>706</v>
      </c>
      <c r="E707" s="17">
        <v>-2.0458674488600002</v>
      </c>
      <c r="F707" s="17">
        <v>46.914339544900002</v>
      </c>
      <c r="G707" s="14">
        <v>360</v>
      </c>
      <c r="H707" s="17">
        <v>14.1</v>
      </c>
      <c r="I707" s="17">
        <v>13.76</v>
      </c>
      <c r="J707" s="17">
        <v>15.2</v>
      </c>
      <c r="K707" s="17">
        <v>16.34</v>
      </c>
      <c r="L707" s="17">
        <v>17.71</v>
      </c>
      <c r="M707" s="17">
        <f t="shared" si="124"/>
        <v>-0.33999999999999986</v>
      </c>
      <c r="N707" s="17">
        <f t="shared" si="125"/>
        <v>1.0999999999999996</v>
      </c>
      <c r="O707" s="17">
        <f t="shared" si="126"/>
        <v>2.2400000000000002</v>
      </c>
      <c r="P707" s="17">
        <f t="shared" si="127"/>
        <v>3.6100000000000012</v>
      </c>
      <c r="Q707" s="17">
        <f t="shared" si="128"/>
        <v>-1.4634116740824303</v>
      </c>
      <c r="R707" s="17">
        <f t="shared" ref="R707:R763" si="133">(N707-N$764)/N$767</f>
        <v>-1.4153341474229739</v>
      </c>
      <c r="S707" s="17">
        <f t="shared" ref="S707:S763" si="134">(O707-O$764)/O$767</f>
        <v>-1.4392598397576966</v>
      </c>
      <c r="T707" s="17">
        <f t="shared" ref="T707:T763" si="135">(P707-P$764)/P$767</f>
        <v>-1.1405913778233603</v>
      </c>
      <c r="U707" s="16">
        <v>9</v>
      </c>
      <c r="V707" s="16">
        <v>12</v>
      </c>
      <c r="W707" s="16">
        <v>14</v>
      </c>
      <c r="X707" s="16">
        <v>16</v>
      </c>
      <c r="Y707" s="15">
        <v>0.41075</v>
      </c>
      <c r="Z707" s="15">
        <v>0.52075000000000005</v>
      </c>
      <c r="AA707" s="15">
        <v>0.62275000000000003</v>
      </c>
      <c r="AB707" s="15">
        <v>0.71650000000000003</v>
      </c>
      <c r="AC707" s="3">
        <f t="shared" si="129"/>
        <v>-0.35443175308869695</v>
      </c>
      <c r="AD707" s="3">
        <f t="shared" si="130"/>
        <v>-0.43229976323688346</v>
      </c>
      <c r="AE707" s="3">
        <f t="shared" si="131"/>
        <v>-0.46579928048364955</v>
      </c>
      <c r="AF707" s="3">
        <f t="shared" si="132"/>
        <v>-0.49429980863997203</v>
      </c>
    </row>
    <row r="708" spans="1:32" x14ac:dyDescent="0.2">
      <c r="A708" s="30">
        <v>706</v>
      </c>
      <c r="B708" s="9" t="s">
        <v>1238</v>
      </c>
      <c r="C708" s="12">
        <v>555624683</v>
      </c>
      <c r="D708" s="13" t="s">
        <v>707</v>
      </c>
      <c r="E708" s="17">
        <v>-2.4507851465899999</v>
      </c>
      <c r="F708" s="17">
        <v>49.481674809300003</v>
      </c>
      <c r="G708" s="14">
        <v>47</v>
      </c>
      <c r="H708" s="17">
        <v>13.04</v>
      </c>
      <c r="I708" s="17">
        <v>12.44</v>
      </c>
      <c r="J708" s="17">
        <v>13.92</v>
      </c>
      <c r="K708" s="17">
        <v>15.33</v>
      </c>
      <c r="L708" s="17">
        <v>16.71</v>
      </c>
      <c r="M708" s="17">
        <f t="shared" ref="M708:M763" si="136">I708-H708</f>
        <v>-0.59999999999999964</v>
      </c>
      <c r="N708" s="17">
        <f t="shared" ref="N708:N763" si="137">J708-H708</f>
        <v>0.88000000000000078</v>
      </c>
      <c r="O708" s="17">
        <f t="shared" ref="O708:O763" si="138">K708-H708</f>
        <v>2.2900000000000009</v>
      </c>
      <c r="P708" s="17">
        <f t="shared" ref="P708:P763" si="139">L708-H708</f>
        <v>3.6700000000000017</v>
      </c>
      <c r="Q708" s="17">
        <f t="shared" ref="Q708:Q763" si="140">(M708-M$764)/M$767</f>
        <v>-1.7801877541988669</v>
      </c>
      <c r="R708" s="17">
        <f t="shared" si="133"/>
        <v>-1.7250631976237769</v>
      </c>
      <c r="S708" s="17">
        <f t="shared" si="134"/>
        <v>-1.3811971205757854</v>
      </c>
      <c r="T708" s="17">
        <f t="shared" si="135"/>
        <v>-1.079860866713017</v>
      </c>
      <c r="U708" s="16">
        <v>0</v>
      </c>
      <c r="V708" s="16">
        <v>0</v>
      </c>
      <c r="W708" s="16">
        <v>2</v>
      </c>
      <c r="X708" s="16">
        <v>2</v>
      </c>
      <c r="Y708" s="15">
        <v>0.41333333333299999</v>
      </c>
      <c r="Z708" s="15">
        <v>0.53166666666700002</v>
      </c>
      <c r="AA708" s="15">
        <v>0.62733333333300001</v>
      </c>
      <c r="AB708" s="15">
        <v>0.72699999999999998</v>
      </c>
      <c r="AC708" s="3">
        <f t="shared" ref="AC708:AC763" si="141">(Y708-Y$764)/Y$767</f>
        <v>-0.33056000644027705</v>
      </c>
      <c r="AD708" s="3">
        <f t="shared" ref="AD708:AD763" si="142">(Z708-Z$764)/Z$767</f>
        <v>-0.33433998761597594</v>
      </c>
      <c r="AE708" s="3">
        <f t="shared" ref="AE708:AE763" si="143">(AA708-AA$764)/AA$767</f>
        <v>-0.42806356020864</v>
      </c>
      <c r="AF708" s="3">
        <f t="shared" ref="AF708:AF763" si="144">(AB708-AB$764)/AB$767</f>
        <v>-0.40804699158747565</v>
      </c>
    </row>
    <row r="709" spans="1:32" x14ac:dyDescent="0.2">
      <c r="A709" s="30">
        <v>707</v>
      </c>
      <c r="B709" s="9" t="s">
        <v>1239</v>
      </c>
      <c r="C709" s="12">
        <v>555624684</v>
      </c>
      <c r="D709" s="13" t="s">
        <v>708</v>
      </c>
      <c r="E709" s="17">
        <v>-5.6319808927599997</v>
      </c>
      <c r="F709" s="17">
        <v>54.254915192699997</v>
      </c>
      <c r="G709" s="14">
        <v>5</v>
      </c>
      <c r="H709" s="17">
        <v>9.11</v>
      </c>
      <c r="I709" s="17">
        <v>9.0299999999999994</v>
      </c>
      <c r="J709" s="17">
        <v>10.29</v>
      </c>
      <c r="K709" s="17">
        <v>11.8</v>
      </c>
      <c r="L709" s="17">
        <v>12.91</v>
      </c>
      <c r="M709" s="17">
        <f t="shared" si="136"/>
        <v>-8.0000000000000071E-2</v>
      </c>
      <c r="N709" s="17">
        <f t="shared" si="137"/>
        <v>1.1799999999999997</v>
      </c>
      <c r="O709" s="17">
        <f t="shared" si="138"/>
        <v>2.6900000000000013</v>
      </c>
      <c r="P709" s="17">
        <f t="shared" si="139"/>
        <v>3.8000000000000007</v>
      </c>
      <c r="Q709" s="17">
        <f t="shared" si="140"/>
        <v>-1.1466355939659938</v>
      </c>
      <c r="R709" s="17">
        <f t="shared" si="133"/>
        <v>-1.3027054018954085</v>
      </c>
      <c r="S709" s="17">
        <f t="shared" si="134"/>
        <v>-0.91669536712050337</v>
      </c>
      <c r="T709" s="17">
        <f t="shared" si="135"/>
        <v>-0.94827809264060847</v>
      </c>
      <c r="U709" s="16">
        <v>0</v>
      </c>
      <c r="V709" s="16">
        <v>0</v>
      </c>
      <c r="W709" s="16">
        <v>0</v>
      </c>
      <c r="X709" s="16">
        <v>0</v>
      </c>
      <c r="Y709" s="15">
        <v>0.34399999999999997</v>
      </c>
      <c r="Z709" s="15">
        <v>0.45800000000000002</v>
      </c>
      <c r="AA709" s="15">
        <v>0.54</v>
      </c>
      <c r="AB709" s="15">
        <v>0.63200000000000001</v>
      </c>
      <c r="AC709" s="3">
        <f t="shared" si="141"/>
        <v>-0.97124688430972073</v>
      </c>
      <c r="AD709" s="3">
        <f t="shared" si="142"/>
        <v>-0.99538152690322901</v>
      </c>
      <c r="AE709" s="3">
        <f t="shared" si="143"/>
        <v>-1.1471005574983735</v>
      </c>
      <c r="AF709" s="3">
        <f t="shared" si="144"/>
        <v>-1.188429622062446</v>
      </c>
    </row>
    <row r="710" spans="1:32" x14ac:dyDescent="0.2">
      <c r="A710" s="30">
        <v>708</v>
      </c>
      <c r="B710" s="9" t="s">
        <v>1240</v>
      </c>
      <c r="C710" s="12">
        <v>555624685</v>
      </c>
      <c r="D710" s="13" t="s">
        <v>709</v>
      </c>
      <c r="E710" s="17">
        <v>-5.5187643995000002</v>
      </c>
      <c r="F710" s="17">
        <v>54.540735917900001</v>
      </c>
      <c r="G710" s="14">
        <v>78</v>
      </c>
      <c r="H710" s="17">
        <v>9.1300000000000008</v>
      </c>
      <c r="I710" s="17">
        <v>9.11</v>
      </c>
      <c r="J710" s="17">
        <v>10.34</v>
      </c>
      <c r="K710" s="17">
        <v>11.83</v>
      </c>
      <c r="L710" s="17">
        <v>12.92</v>
      </c>
      <c r="M710" s="17">
        <f t="shared" si="136"/>
        <v>-2.000000000000135E-2</v>
      </c>
      <c r="N710" s="17">
        <f t="shared" si="137"/>
        <v>1.2099999999999991</v>
      </c>
      <c r="O710" s="17">
        <f t="shared" si="138"/>
        <v>2.6999999999999993</v>
      </c>
      <c r="P710" s="17">
        <f t="shared" si="139"/>
        <v>3.7899999999999991</v>
      </c>
      <c r="Q710" s="17">
        <f t="shared" si="140"/>
        <v>-1.0735334216314329</v>
      </c>
      <c r="R710" s="17">
        <f t="shared" si="133"/>
        <v>-1.2604696223225724</v>
      </c>
      <c r="S710" s="17">
        <f t="shared" si="134"/>
        <v>-0.90508282328412359</v>
      </c>
      <c r="T710" s="17">
        <f t="shared" si="135"/>
        <v>-0.95839984449233384</v>
      </c>
      <c r="U710" s="16">
        <v>6</v>
      </c>
      <c r="V710" s="16">
        <v>7</v>
      </c>
      <c r="W710" s="16">
        <v>8</v>
      </c>
      <c r="X710" s="16">
        <v>8</v>
      </c>
      <c r="Y710" s="15">
        <v>0.28749999999999998</v>
      </c>
      <c r="Z710" s="15">
        <v>0.39950000000000002</v>
      </c>
      <c r="AA710" s="15">
        <v>0.47749999999999998</v>
      </c>
      <c r="AB710" s="15">
        <v>0.57499999999999996</v>
      </c>
      <c r="AC710" s="3">
        <f t="shared" si="141"/>
        <v>-1.4933450852683399</v>
      </c>
      <c r="AD710" s="3">
        <f t="shared" si="142"/>
        <v>-1.52032627868779</v>
      </c>
      <c r="AE710" s="3">
        <f t="shared" si="143"/>
        <v>-1.6616785612859297</v>
      </c>
      <c r="AF710" s="3">
        <f t="shared" si="144"/>
        <v>-1.6566592003474288</v>
      </c>
    </row>
    <row r="711" spans="1:32" x14ac:dyDescent="0.2">
      <c r="A711" s="30">
        <v>709</v>
      </c>
      <c r="B711" s="9" t="s">
        <v>1241</v>
      </c>
      <c r="C711" s="12">
        <v>555624691</v>
      </c>
      <c r="D711" s="13" t="s">
        <v>710</v>
      </c>
      <c r="E711" s="17">
        <v>54.3498830666</v>
      </c>
      <c r="F711" s="17">
        <v>24.3032989881</v>
      </c>
      <c r="G711" s="14">
        <v>191</v>
      </c>
      <c r="H711" s="17">
        <v>25.97</v>
      </c>
      <c r="I711" s="17">
        <v>27.87</v>
      </c>
      <c r="J711" s="17">
        <v>28.43</v>
      </c>
      <c r="K711" s="17">
        <v>30.66</v>
      </c>
      <c r="L711" s="17">
        <v>32.799999999999997</v>
      </c>
      <c r="M711" s="17">
        <f t="shared" si="136"/>
        <v>1.9000000000000021</v>
      </c>
      <c r="N711" s="17">
        <f t="shared" si="137"/>
        <v>2.4600000000000009</v>
      </c>
      <c r="O711" s="17">
        <f t="shared" si="138"/>
        <v>4.6900000000000013</v>
      </c>
      <c r="P711" s="17">
        <f t="shared" si="139"/>
        <v>6.8299999999999983</v>
      </c>
      <c r="Q711" s="17">
        <f t="shared" si="140"/>
        <v>1.2657360930745658</v>
      </c>
      <c r="R711" s="17">
        <f t="shared" si="133"/>
        <v>0.49935452654563772</v>
      </c>
      <c r="S711" s="17">
        <f t="shared" si="134"/>
        <v>1.4058134001559048</v>
      </c>
      <c r="T711" s="17">
        <f t="shared" si="135"/>
        <v>2.1186127184317023</v>
      </c>
      <c r="U711" s="16">
        <v>11</v>
      </c>
      <c r="V711" s="16">
        <v>14</v>
      </c>
      <c r="W711" s="16">
        <v>15</v>
      </c>
      <c r="X711" s="16">
        <v>18</v>
      </c>
      <c r="Y711" s="15">
        <v>0.36199999999999999</v>
      </c>
      <c r="Z711" s="15">
        <v>0.48799999999999999</v>
      </c>
      <c r="AA711" s="15">
        <v>0.624</v>
      </c>
      <c r="AB711" s="15">
        <v>0.74</v>
      </c>
      <c r="AC711" s="3">
        <f t="shared" si="141"/>
        <v>-0.80491471409281534</v>
      </c>
      <c r="AD711" s="3">
        <f t="shared" si="142"/>
        <v>-0.72617909009063397</v>
      </c>
      <c r="AE711" s="3">
        <f t="shared" si="143"/>
        <v>-0.45550772040789866</v>
      </c>
      <c r="AF711" s="3">
        <f t="shared" si="144"/>
        <v>-0.30125778952247961</v>
      </c>
    </row>
    <row r="712" spans="1:32" x14ac:dyDescent="0.2">
      <c r="A712" s="30">
        <v>710</v>
      </c>
      <c r="B712" s="9" t="s">
        <v>1242</v>
      </c>
      <c r="C712" s="12">
        <v>555624844</v>
      </c>
      <c r="D712" s="13" t="s">
        <v>711</v>
      </c>
      <c r="E712" s="17">
        <v>44.046072440899998</v>
      </c>
      <c r="F712" s="17">
        <v>-23.513483105999999</v>
      </c>
      <c r="G712" s="14">
        <v>118</v>
      </c>
      <c r="H712" s="17">
        <v>24.4</v>
      </c>
      <c r="I712" s="17">
        <v>26.16</v>
      </c>
      <c r="J712" s="17">
        <v>26.99</v>
      </c>
      <c r="K712" s="17">
        <v>28.01</v>
      </c>
      <c r="L712" s="17">
        <v>29.35</v>
      </c>
      <c r="M712" s="17">
        <f t="shared" si="136"/>
        <v>1.7600000000000016</v>
      </c>
      <c r="N712" s="17">
        <f t="shared" si="137"/>
        <v>2.59</v>
      </c>
      <c r="O712" s="17">
        <f t="shared" si="138"/>
        <v>3.610000000000003</v>
      </c>
      <c r="P712" s="17">
        <f t="shared" si="139"/>
        <v>4.9500000000000028</v>
      </c>
      <c r="Q712" s="17">
        <f t="shared" si="140"/>
        <v>1.0951643576272529</v>
      </c>
      <c r="R712" s="17">
        <f t="shared" si="133"/>
        <v>0.6823762380279299</v>
      </c>
      <c r="S712" s="17">
        <f t="shared" si="134"/>
        <v>0.15165866582664639</v>
      </c>
      <c r="T712" s="17">
        <f t="shared" si="135"/>
        <v>0.21572337030763145</v>
      </c>
      <c r="U712" s="16">
        <v>0</v>
      </c>
      <c r="V712" s="16">
        <v>0</v>
      </c>
      <c r="W712" s="16">
        <v>0</v>
      </c>
      <c r="X712" s="16">
        <v>0</v>
      </c>
      <c r="Y712" s="15">
        <v>0.45800000000000002</v>
      </c>
      <c r="Z712" s="15">
        <v>0.57899999999999996</v>
      </c>
      <c r="AA712" s="15">
        <v>0.71799999999999997</v>
      </c>
      <c r="AB712" s="15">
        <v>0.79400000000000004</v>
      </c>
      <c r="AC712" s="3">
        <f t="shared" si="141"/>
        <v>8.2190193730679345E-2</v>
      </c>
      <c r="AD712" s="3">
        <f t="shared" si="142"/>
        <v>9.0401634907571721E-2</v>
      </c>
      <c r="AE712" s="3">
        <f t="shared" si="143"/>
        <v>0.31841759728858515</v>
      </c>
      <c r="AF712" s="3">
        <f t="shared" si="144"/>
        <v>0.14232812674750409</v>
      </c>
    </row>
    <row r="713" spans="1:32" x14ac:dyDescent="0.2">
      <c r="A713" s="30">
        <v>711</v>
      </c>
      <c r="B713" s="9" t="s">
        <v>1512</v>
      </c>
      <c r="C713" s="12">
        <v>555624849</v>
      </c>
      <c r="D713" s="13" t="s">
        <v>712</v>
      </c>
      <c r="E713" s="17">
        <v>-48.371806085300001</v>
      </c>
      <c r="F713" s="17">
        <v>-25.285981774100001</v>
      </c>
      <c r="G713" s="14">
        <v>56</v>
      </c>
      <c r="H713" s="17">
        <v>17.510000000000002</v>
      </c>
      <c r="I713" s="17">
        <v>18.79</v>
      </c>
      <c r="J713" s="17">
        <v>20.32</v>
      </c>
      <c r="K713" s="17">
        <v>21.24</v>
      </c>
      <c r="L713" s="17">
        <v>22.09</v>
      </c>
      <c r="M713" s="17">
        <f t="shared" si="136"/>
        <v>1.2799999999999976</v>
      </c>
      <c r="N713" s="17">
        <f t="shared" si="137"/>
        <v>2.8099999999999987</v>
      </c>
      <c r="O713" s="17">
        <f t="shared" si="138"/>
        <v>3.7299999999999969</v>
      </c>
      <c r="P713" s="17">
        <f t="shared" si="139"/>
        <v>4.5799999999999983</v>
      </c>
      <c r="Q713" s="17">
        <f t="shared" si="140"/>
        <v>0.51034697895074943</v>
      </c>
      <c r="R713" s="17">
        <f t="shared" si="133"/>
        <v>0.99210528822873278</v>
      </c>
      <c r="S713" s="17">
        <f t="shared" si="134"/>
        <v>0.29100919186322377</v>
      </c>
      <c r="T713" s="17">
        <f t="shared" si="135"/>
        <v>-0.158781448206154</v>
      </c>
      <c r="U713" s="16">
        <v>2</v>
      </c>
      <c r="V713" s="16">
        <v>2</v>
      </c>
      <c r="W713" s="16">
        <v>2</v>
      </c>
      <c r="X713" s="16">
        <v>2</v>
      </c>
      <c r="Y713" s="15">
        <v>0.55049999999999999</v>
      </c>
      <c r="Z713" s="15">
        <v>0.6865</v>
      </c>
      <c r="AA713" s="15">
        <v>0.81899999999999995</v>
      </c>
      <c r="AB713" s="15">
        <v>0.90449999999999997</v>
      </c>
      <c r="AC713" s="3">
        <f t="shared" si="141"/>
        <v>0.93695273512310862</v>
      </c>
      <c r="AD713" s="3">
        <f t="shared" si="142"/>
        <v>1.0550437001527055</v>
      </c>
      <c r="AE713" s="3">
        <f t="shared" si="143"/>
        <v>1.1499756514092752</v>
      </c>
      <c r="AF713" s="3">
        <f t="shared" si="144"/>
        <v>1.0500363442999692</v>
      </c>
    </row>
    <row r="714" spans="1:32" x14ac:dyDescent="0.2">
      <c r="A714" s="30">
        <v>712</v>
      </c>
      <c r="B714" s="9" t="s">
        <v>1243</v>
      </c>
      <c r="C714" s="12">
        <v>555624850</v>
      </c>
      <c r="D714" s="13" t="s">
        <v>713</v>
      </c>
      <c r="E714" s="17">
        <v>2.99878793307</v>
      </c>
      <c r="F714" s="17">
        <v>42.843995143100003</v>
      </c>
      <c r="G714" s="14">
        <v>86</v>
      </c>
      <c r="H714" s="17">
        <v>15.4</v>
      </c>
      <c r="I714" s="17">
        <v>15.6</v>
      </c>
      <c r="J714" s="17">
        <v>17.28</v>
      </c>
      <c r="K714" s="17">
        <v>18.8</v>
      </c>
      <c r="L714" s="17">
        <v>20.49</v>
      </c>
      <c r="M714" s="17">
        <f t="shared" si="136"/>
        <v>0.19999999999999929</v>
      </c>
      <c r="N714" s="17">
        <f t="shared" si="137"/>
        <v>1.8800000000000008</v>
      </c>
      <c r="O714" s="17">
        <f t="shared" si="138"/>
        <v>3.4000000000000004</v>
      </c>
      <c r="P714" s="17">
        <f t="shared" si="139"/>
        <v>5.0899999999999981</v>
      </c>
      <c r="Q714" s="17">
        <f t="shared" si="140"/>
        <v>-0.8054921230713703</v>
      </c>
      <c r="R714" s="17">
        <f t="shared" si="133"/>
        <v>-0.31720387852921073</v>
      </c>
      <c r="S714" s="17">
        <f t="shared" si="134"/>
        <v>-9.2204754737379532E-2</v>
      </c>
      <c r="T714" s="17">
        <f t="shared" si="135"/>
        <v>0.35742789623175991</v>
      </c>
      <c r="U714" s="16">
        <v>0</v>
      </c>
      <c r="V714" s="16">
        <v>0</v>
      </c>
      <c r="W714" s="16">
        <v>0</v>
      </c>
      <c r="X714" s="16">
        <v>0</v>
      </c>
      <c r="Y714" s="15">
        <v>0.43099999999999999</v>
      </c>
      <c r="Z714" s="15">
        <v>0.54700000000000004</v>
      </c>
      <c r="AA714" s="15">
        <v>0.64700000000000002</v>
      </c>
      <c r="AB714" s="15">
        <v>0.73750000000000004</v>
      </c>
      <c r="AC714" s="3">
        <f t="shared" si="141"/>
        <v>-0.16730806159467868</v>
      </c>
      <c r="AD714" s="3">
        <f t="shared" si="142"/>
        <v>-0.1967476310258626</v>
      </c>
      <c r="AE714" s="3">
        <f t="shared" si="143"/>
        <v>-0.26614301501407794</v>
      </c>
      <c r="AF714" s="3">
        <f t="shared" si="144"/>
        <v>-0.32179417453497838</v>
      </c>
    </row>
    <row r="715" spans="1:32" x14ac:dyDescent="0.2">
      <c r="A715" s="30">
        <v>713</v>
      </c>
      <c r="B715" s="9" t="s">
        <v>1385</v>
      </c>
      <c r="C715" s="12">
        <v>555624853</v>
      </c>
      <c r="D715" s="13" t="s">
        <v>714</v>
      </c>
      <c r="E715" s="17">
        <v>97.003235829600001</v>
      </c>
      <c r="F715" s="17">
        <v>17.1488020824</v>
      </c>
      <c r="G715" s="14">
        <v>575</v>
      </c>
      <c r="H715" s="17">
        <v>26.02</v>
      </c>
      <c r="I715" s="17">
        <v>27.53</v>
      </c>
      <c r="J715" s="17">
        <v>28.74</v>
      </c>
      <c r="K715" s="17">
        <v>30.08</v>
      </c>
      <c r="L715" s="17">
        <v>31.06</v>
      </c>
      <c r="M715" s="17">
        <f t="shared" si="136"/>
        <v>1.5100000000000016</v>
      </c>
      <c r="N715" s="17">
        <f t="shared" si="137"/>
        <v>2.7199999999999989</v>
      </c>
      <c r="O715" s="17">
        <f t="shared" si="138"/>
        <v>4.0599999999999987</v>
      </c>
      <c r="P715" s="17">
        <f t="shared" si="139"/>
        <v>5.0399999999999991</v>
      </c>
      <c r="Q715" s="17">
        <f t="shared" si="140"/>
        <v>0.79057197289990988</v>
      </c>
      <c r="R715" s="17">
        <f t="shared" si="133"/>
        <v>0.86539794951022209</v>
      </c>
      <c r="S715" s="17">
        <f t="shared" si="134"/>
        <v>0.6742231384638333</v>
      </c>
      <c r="T715" s="17">
        <f t="shared" si="135"/>
        <v>0.30681913697314195</v>
      </c>
      <c r="U715" s="16">
        <v>3</v>
      </c>
      <c r="V715" s="16">
        <v>4</v>
      </c>
      <c r="W715" s="16">
        <v>6</v>
      </c>
      <c r="X715" s="16">
        <v>6</v>
      </c>
      <c r="Y715" s="15">
        <v>0.41399999999999998</v>
      </c>
      <c r="Z715" s="15">
        <v>0.51</v>
      </c>
      <c r="AA715" s="15">
        <v>0.61499999999999999</v>
      </c>
      <c r="AB715" s="15">
        <v>0.72599999999999998</v>
      </c>
      <c r="AC715" s="3">
        <f t="shared" si="141"/>
        <v>-0.32439955568842266</v>
      </c>
      <c r="AD715" s="3">
        <f t="shared" si="142"/>
        <v>-0.52876396976139717</v>
      </c>
      <c r="AE715" s="3">
        <f t="shared" si="143"/>
        <v>-0.52960695295330673</v>
      </c>
      <c r="AF715" s="3">
        <f t="shared" si="144"/>
        <v>-0.41626154559247536</v>
      </c>
    </row>
    <row r="716" spans="1:32" x14ac:dyDescent="0.2">
      <c r="A716" s="30">
        <v>714</v>
      </c>
      <c r="B716" s="9" t="s">
        <v>1244</v>
      </c>
      <c r="C716" s="12">
        <v>555624854</v>
      </c>
      <c r="D716" s="13" t="s">
        <v>715</v>
      </c>
      <c r="E716" s="17">
        <v>44.458970132700003</v>
      </c>
      <c r="F716" s="17">
        <v>-19.739737076400001</v>
      </c>
      <c r="G716" s="14">
        <v>298</v>
      </c>
      <c r="H716" s="17">
        <v>26.44</v>
      </c>
      <c r="I716" s="17">
        <v>27.36</v>
      </c>
      <c r="J716" s="17">
        <v>28.14</v>
      </c>
      <c r="K716" s="17">
        <v>29.23</v>
      </c>
      <c r="L716" s="17">
        <v>30.59</v>
      </c>
      <c r="M716" s="17">
        <f t="shared" si="136"/>
        <v>0.91999999999999815</v>
      </c>
      <c r="N716" s="17">
        <f t="shared" si="137"/>
        <v>1.6999999999999993</v>
      </c>
      <c r="O716" s="17">
        <f t="shared" si="138"/>
        <v>2.7899999999999991</v>
      </c>
      <c r="P716" s="17">
        <f t="shared" si="139"/>
        <v>4.1499999999999986</v>
      </c>
      <c r="Q716" s="17">
        <f t="shared" si="140"/>
        <v>7.1733944943376204E-2</v>
      </c>
      <c r="R716" s="17">
        <f t="shared" si="133"/>
        <v>-0.57061855596623479</v>
      </c>
      <c r="S716" s="17">
        <f t="shared" si="134"/>
        <v>-0.80056992875668542</v>
      </c>
      <c r="T716" s="17">
        <f t="shared" si="135"/>
        <v>-0.5940167778302774</v>
      </c>
      <c r="U716" s="16">
        <v>8</v>
      </c>
      <c r="V716" s="16">
        <v>11</v>
      </c>
      <c r="W716" s="16">
        <v>14</v>
      </c>
      <c r="X716" s="16">
        <v>17</v>
      </c>
      <c r="Y716" s="15">
        <v>0.46600000000000003</v>
      </c>
      <c r="Z716" s="15">
        <v>0.58399999999999996</v>
      </c>
      <c r="AA716" s="15">
        <v>0.72199999999999998</v>
      </c>
      <c r="AB716" s="15">
        <v>0.8</v>
      </c>
      <c r="AC716" s="3">
        <f t="shared" si="141"/>
        <v>0.15611560271597061</v>
      </c>
      <c r="AD716" s="3">
        <f t="shared" si="142"/>
        <v>0.13526870770967098</v>
      </c>
      <c r="AE716" s="3">
        <f t="shared" si="143"/>
        <v>0.35135058953098874</v>
      </c>
      <c r="AF716" s="3">
        <f t="shared" si="144"/>
        <v>0.19161545077750225</v>
      </c>
    </row>
    <row r="717" spans="1:32" x14ac:dyDescent="0.2">
      <c r="A717" s="30">
        <v>715</v>
      </c>
      <c r="B717" s="9" t="s">
        <v>1245</v>
      </c>
      <c r="C717" s="12">
        <v>555624855</v>
      </c>
      <c r="D717" s="13" t="s">
        <v>716</v>
      </c>
      <c r="E717" s="17">
        <v>43.779808813700001</v>
      </c>
      <c r="F717" s="17">
        <v>-18.2680924997</v>
      </c>
      <c r="G717" s="14">
        <v>3749</v>
      </c>
      <c r="H717" s="17">
        <v>26.29</v>
      </c>
      <c r="I717" s="17">
        <v>27.17</v>
      </c>
      <c r="J717" s="17">
        <v>27.9</v>
      </c>
      <c r="K717" s="17">
        <v>29.11</v>
      </c>
      <c r="L717" s="17">
        <v>30.26</v>
      </c>
      <c r="M717" s="17">
        <f t="shared" si="136"/>
        <v>0.88000000000000256</v>
      </c>
      <c r="N717" s="17">
        <f t="shared" si="137"/>
        <v>1.6099999999999994</v>
      </c>
      <c r="O717" s="17">
        <f t="shared" si="138"/>
        <v>2.8200000000000003</v>
      </c>
      <c r="P717" s="17">
        <f t="shared" si="139"/>
        <v>3.9700000000000024</v>
      </c>
      <c r="Q717" s="17">
        <f t="shared" si="140"/>
        <v>2.2999163387006687E-2</v>
      </c>
      <c r="R717" s="17">
        <f t="shared" si="133"/>
        <v>-0.69732589468474548</v>
      </c>
      <c r="S717" s="17">
        <f t="shared" si="134"/>
        <v>-0.765732297247538</v>
      </c>
      <c r="T717" s="17">
        <f t="shared" si="135"/>
        <v>-0.77620831116130207</v>
      </c>
      <c r="U717" s="16">
        <v>0</v>
      </c>
      <c r="V717" s="16">
        <v>2</v>
      </c>
      <c r="W717" s="16">
        <v>3</v>
      </c>
      <c r="X717" s="16">
        <v>5</v>
      </c>
      <c r="Y717" s="15">
        <v>0.47199999999999998</v>
      </c>
      <c r="Z717" s="15">
        <v>0.59</v>
      </c>
      <c r="AA717" s="15">
        <v>0.72599999999999998</v>
      </c>
      <c r="AB717" s="15">
        <v>0.80500000000000005</v>
      </c>
      <c r="AC717" s="3">
        <f t="shared" si="141"/>
        <v>0.21155965945493854</v>
      </c>
      <c r="AD717" s="3">
        <f t="shared" si="142"/>
        <v>0.18910919507219009</v>
      </c>
      <c r="AE717" s="3">
        <f t="shared" si="143"/>
        <v>0.38428358177339234</v>
      </c>
      <c r="AF717" s="3">
        <f t="shared" si="144"/>
        <v>0.23268822080250073</v>
      </c>
    </row>
    <row r="718" spans="1:32" x14ac:dyDescent="0.2">
      <c r="A718" s="30">
        <v>716</v>
      </c>
      <c r="B718" s="9" t="s">
        <v>1246</v>
      </c>
      <c r="C718" s="12">
        <v>555625658</v>
      </c>
      <c r="D718" s="13" t="s">
        <v>717</v>
      </c>
      <c r="E718" s="17">
        <v>55.482932680899999</v>
      </c>
      <c r="F718" s="17">
        <v>25.425954679499998</v>
      </c>
      <c r="G718" s="14">
        <v>5</v>
      </c>
      <c r="H718" s="17">
        <v>25.16</v>
      </c>
      <c r="I718" s="17">
        <v>26.86</v>
      </c>
      <c r="J718" s="17">
        <v>27.59</v>
      </c>
      <c r="K718" s="17">
        <v>29.77</v>
      </c>
      <c r="L718" s="17">
        <v>31.91</v>
      </c>
      <c r="M718" s="17">
        <f t="shared" si="136"/>
        <v>1.6999999999999993</v>
      </c>
      <c r="N718" s="17">
        <f t="shared" si="137"/>
        <v>2.4299999999999997</v>
      </c>
      <c r="O718" s="17">
        <f t="shared" si="138"/>
        <v>4.6099999999999994</v>
      </c>
      <c r="P718" s="17">
        <f t="shared" si="139"/>
        <v>6.75</v>
      </c>
      <c r="Q718" s="17">
        <f t="shared" si="140"/>
        <v>1.0220621852926879</v>
      </c>
      <c r="R718" s="17">
        <f t="shared" si="133"/>
        <v>0.45711874697279914</v>
      </c>
      <c r="S718" s="17">
        <f t="shared" si="134"/>
        <v>1.3129130494648464</v>
      </c>
      <c r="T718" s="17">
        <f t="shared" si="135"/>
        <v>2.0376387036179135</v>
      </c>
      <c r="U718" s="16">
        <v>0</v>
      </c>
      <c r="V718" s="16">
        <v>0</v>
      </c>
      <c r="W718" s="16">
        <v>0</v>
      </c>
      <c r="X718" s="16">
        <v>0</v>
      </c>
      <c r="Y718" s="15">
        <v>0.35399999999999998</v>
      </c>
      <c r="Z718" s="15">
        <v>0.48</v>
      </c>
      <c r="AA718" s="15">
        <v>0.61399999999999999</v>
      </c>
      <c r="AB718" s="15">
        <v>0.73099999999999998</v>
      </c>
      <c r="AC718" s="3">
        <f t="shared" si="141"/>
        <v>-0.87884012307810666</v>
      </c>
      <c r="AD718" s="3">
        <f t="shared" si="142"/>
        <v>-0.79796640657399276</v>
      </c>
      <c r="AE718" s="3">
        <f t="shared" si="143"/>
        <v>-0.53784020101390762</v>
      </c>
      <c r="AF718" s="3">
        <f t="shared" si="144"/>
        <v>-0.37518877556747687</v>
      </c>
    </row>
    <row r="719" spans="1:32" x14ac:dyDescent="0.2">
      <c r="A719" s="30">
        <v>717</v>
      </c>
      <c r="B719" s="9" t="s">
        <v>1513</v>
      </c>
      <c r="C719" s="12">
        <v>555625769</v>
      </c>
      <c r="D719" s="13" t="s">
        <v>718</v>
      </c>
      <c r="E719" s="17">
        <v>-47.598105466699998</v>
      </c>
      <c r="F719" s="17">
        <v>-24.675836503100001</v>
      </c>
      <c r="G719" s="14">
        <v>270</v>
      </c>
      <c r="H719" s="17">
        <v>19.55</v>
      </c>
      <c r="I719" s="17">
        <v>20.85</v>
      </c>
      <c r="J719" s="17">
        <v>22.34</v>
      </c>
      <c r="K719" s="17">
        <v>23.23</v>
      </c>
      <c r="L719" s="17">
        <v>24.1</v>
      </c>
      <c r="M719" s="17">
        <f t="shared" si="136"/>
        <v>1.3000000000000007</v>
      </c>
      <c r="N719" s="17">
        <f t="shared" si="137"/>
        <v>2.7899999999999991</v>
      </c>
      <c r="O719" s="17">
        <f t="shared" si="138"/>
        <v>3.6799999999999997</v>
      </c>
      <c r="P719" s="17">
        <f t="shared" si="139"/>
        <v>4.5500000000000007</v>
      </c>
      <c r="Q719" s="17">
        <f t="shared" si="140"/>
        <v>0.53471436972894071</v>
      </c>
      <c r="R719" s="17">
        <f t="shared" si="133"/>
        <v>0.9639481018468421</v>
      </c>
      <c r="S719" s="17">
        <f t="shared" si="134"/>
        <v>0.23294647268131688</v>
      </c>
      <c r="T719" s="17">
        <f t="shared" si="135"/>
        <v>-0.18914670376132298</v>
      </c>
      <c r="U719" s="16">
        <v>9</v>
      </c>
      <c r="V719" s="16">
        <v>11</v>
      </c>
      <c r="W719" s="16">
        <v>11</v>
      </c>
      <c r="X719" s="16">
        <v>11</v>
      </c>
      <c r="Y719" s="15">
        <v>0.55049999999999999</v>
      </c>
      <c r="Z719" s="15">
        <v>0.6865</v>
      </c>
      <c r="AA719" s="15">
        <v>0.81899999999999995</v>
      </c>
      <c r="AB719" s="15">
        <v>0.90449999999999997</v>
      </c>
      <c r="AC719" s="3">
        <f t="shared" si="141"/>
        <v>0.93695273512310862</v>
      </c>
      <c r="AD719" s="3">
        <f t="shared" si="142"/>
        <v>1.0550437001527055</v>
      </c>
      <c r="AE719" s="3">
        <f t="shared" si="143"/>
        <v>1.1499756514092752</v>
      </c>
      <c r="AF719" s="3">
        <f t="shared" si="144"/>
        <v>1.0500363442999692</v>
      </c>
    </row>
    <row r="720" spans="1:32" x14ac:dyDescent="0.2">
      <c r="A720" s="30">
        <v>718</v>
      </c>
      <c r="B720" s="9" t="s">
        <v>1247</v>
      </c>
      <c r="C720" s="12">
        <v>555625770</v>
      </c>
      <c r="D720" s="13" t="s">
        <v>719</v>
      </c>
      <c r="E720" s="17">
        <v>10.302995857100001</v>
      </c>
      <c r="F720" s="17">
        <v>43.762823095000002</v>
      </c>
      <c r="G720" s="14">
        <v>51</v>
      </c>
      <c r="H720" s="17">
        <v>15.3</v>
      </c>
      <c r="I720" s="17">
        <v>15.85</v>
      </c>
      <c r="J720" s="17">
        <v>17.489999999999998</v>
      </c>
      <c r="K720" s="17">
        <v>19.43</v>
      </c>
      <c r="L720" s="17">
        <v>20.94</v>
      </c>
      <c r="M720" s="17">
        <f t="shared" si="136"/>
        <v>0.54999999999999893</v>
      </c>
      <c r="N720" s="17">
        <f t="shared" si="137"/>
        <v>2.1899999999999977</v>
      </c>
      <c r="O720" s="17">
        <f t="shared" si="138"/>
        <v>4.129999999999999</v>
      </c>
      <c r="P720" s="17">
        <f t="shared" si="139"/>
        <v>5.6400000000000006</v>
      </c>
      <c r="Q720" s="17">
        <f t="shared" si="140"/>
        <v>-0.37906278445309055</v>
      </c>
      <c r="R720" s="17">
        <f t="shared" si="133"/>
        <v>0.11923251039010045</v>
      </c>
      <c r="S720" s="17">
        <f t="shared" si="134"/>
        <v>0.75551094531850793</v>
      </c>
      <c r="T720" s="17">
        <f t="shared" si="135"/>
        <v>0.91412424807657178</v>
      </c>
      <c r="U720" s="16">
        <v>6</v>
      </c>
      <c r="V720" s="16">
        <v>6</v>
      </c>
      <c r="W720" s="16">
        <v>6</v>
      </c>
      <c r="X720" s="16">
        <v>6</v>
      </c>
      <c r="Y720" s="15">
        <v>0.41499999999999998</v>
      </c>
      <c r="Z720" s="15">
        <v>0.53100000000000003</v>
      </c>
      <c r="AA720" s="15">
        <v>0.628</v>
      </c>
      <c r="AB720" s="15">
        <v>0.72</v>
      </c>
      <c r="AC720" s="3">
        <f t="shared" si="141"/>
        <v>-0.31515887956526123</v>
      </c>
      <c r="AD720" s="3">
        <f t="shared" si="142"/>
        <v>-0.34032226399258025</v>
      </c>
      <c r="AE720" s="3">
        <f t="shared" si="143"/>
        <v>-0.42257472816549507</v>
      </c>
      <c r="AF720" s="3">
        <f t="shared" si="144"/>
        <v>-0.46554886962247355</v>
      </c>
    </row>
    <row r="721" spans="1:32" x14ac:dyDescent="0.2">
      <c r="A721" s="30">
        <v>719</v>
      </c>
      <c r="B721" s="9" t="s">
        <v>914</v>
      </c>
      <c r="C721" s="12">
        <v>555625777</v>
      </c>
      <c r="D721" s="13" t="s">
        <v>720</v>
      </c>
      <c r="E721" s="17">
        <v>-48.699633141</v>
      </c>
      <c r="F721" s="17">
        <v>-25.8583613785</v>
      </c>
      <c r="G721" s="14">
        <v>71</v>
      </c>
      <c r="H721" s="17">
        <v>16.399999999999999</v>
      </c>
      <c r="I721" s="17">
        <v>17.7</v>
      </c>
      <c r="J721" s="17">
        <v>19.260000000000002</v>
      </c>
      <c r="K721" s="17">
        <v>20.21</v>
      </c>
      <c r="L721" s="17">
        <v>21.1</v>
      </c>
      <c r="M721" s="17">
        <f t="shared" si="136"/>
        <v>1.3000000000000007</v>
      </c>
      <c r="N721" s="17">
        <f t="shared" si="137"/>
        <v>2.860000000000003</v>
      </c>
      <c r="O721" s="17">
        <f t="shared" si="138"/>
        <v>3.8100000000000023</v>
      </c>
      <c r="P721" s="17">
        <f t="shared" si="139"/>
        <v>4.7000000000000028</v>
      </c>
      <c r="Q721" s="17">
        <f t="shared" si="140"/>
        <v>0.53471436972894071</v>
      </c>
      <c r="R721" s="17">
        <f t="shared" si="133"/>
        <v>1.0624982541834671</v>
      </c>
      <c r="S721" s="17">
        <f t="shared" si="134"/>
        <v>0.38390954255428639</v>
      </c>
      <c r="T721" s="17">
        <f t="shared" si="135"/>
        <v>-3.7320425985463729E-2</v>
      </c>
      <c r="U721" s="16">
        <v>1</v>
      </c>
      <c r="V721" s="16">
        <v>2</v>
      </c>
      <c r="W721" s="16">
        <v>3</v>
      </c>
      <c r="X721" s="16">
        <v>3</v>
      </c>
      <c r="Y721" s="15">
        <v>0.51</v>
      </c>
      <c r="Z721" s="15">
        <v>0.64600000000000002</v>
      </c>
      <c r="AA721" s="15">
        <v>0.77900000000000003</v>
      </c>
      <c r="AB721" s="15">
        <v>0.86199999999999999</v>
      </c>
      <c r="AC721" s="3">
        <f t="shared" si="141"/>
        <v>0.56270535213507211</v>
      </c>
      <c r="AD721" s="3">
        <f t="shared" si="142"/>
        <v>0.69162041045570188</v>
      </c>
      <c r="AE721" s="3">
        <f t="shared" si="143"/>
        <v>0.82064572898524013</v>
      </c>
      <c r="AF721" s="3">
        <f t="shared" si="144"/>
        <v>0.70091779908748264</v>
      </c>
    </row>
    <row r="722" spans="1:32" x14ac:dyDescent="0.2">
      <c r="A722" s="30">
        <v>720</v>
      </c>
      <c r="B722" s="9" t="s">
        <v>1248</v>
      </c>
      <c r="C722" s="12">
        <v>555626085</v>
      </c>
      <c r="D722" s="13" t="s">
        <v>721</v>
      </c>
      <c r="E722" s="17">
        <v>18.927470643100001</v>
      </c>
      <c r="F722" s="17">
        <v>54.353752440900003</v>
      </c>
      <c r="G722" s="14">
        <v>45</v>
      </c>
      <c r="H722" s="17">
        <v>8.3699999999999992</v>
      </c>
      <c r="I722" s="17">
        <v>8.34</v>
      </c>
      <c r="J722" s="17">
        <v>10.75</v>
      </c>
      <c r="K722" s="17">
        <v>12.92</v>
      </c>
      <c r="L722" s="17">
        <v>13.41</v>
      </c>
      <c r="M722" s="17">
        <f t="shared" si="136"/>
        <v>-2.9999999999999361E-2</v>
      </c>
      <c r="N722" s="17">
        <f t="shared" si="137"/>
        <v>2.3800000000000008</v>
      </c>
      <c r="O722" s="17">
        <f t="shared" si="138"/>
        <v>4.5500000000000007</v>
      </c>
      <c r="P722" s="17">
        <f t="shared" si="139"/>
        <v>5.0400000000000009</v>
      </c>
      <c r="Q722" s="17">
        <f t="shared" si="140"/>
        <v>-1.0857171170205242</v>
      </c>
      <c r="R722" s="17">
        <f t="shared" si="133"/>
        <v>0.38672578101807231</v>
      </c>
      <c r="S722" s="17">
        <f t="shared" si="134"/>
        <v>1.2432377864465556</v>
      </c>
      <c r="T722" s="17">
        <f t="shared" si="135"/>
        <v>0.30681913697314372</v>
      </c>
      <c r="U722" s="16">
        <v>1</v>
      </c>
      <c r="V722" s="16">
        <v>3</v>
      </c>
      <c r="W722" s="16">
        <v>7</v>
      </c>
      <c r="X722" s="16">
        <v>9</v>
      </c>
      <c r="Y722" s="15">
        <v>0.50549999999999995</v>
      </c>
      <c r="Z722" s="15">
        <v>0.65200000000000002</v>
      </c>
      <c r="AA722" s="15">
        <v>0.746</v>
      </c>
      <c r="AB722" s="15">
        <v>0.86899999999999999</v>
      </c>
      <c r="AC722" s="3">
        <f t="shared" si="141"/>
        <v>0.52112230958084527</v>
      </c>
      <c r="AD722" s="3">
        <f t="shared" si="142"/>
        <v>0.745460897818221</v>
      </c>
      <c r="AE722" s="3">
        <f t="shared" si="143"/>
        <v>0.5489485429854104</v>
      </c>
      <c r="AF722" s="3">
        <f t="shared" si="144"/>
        <v>0.75841967712248048</v>
      </c>
    </row>
    <row r="723" spans="1:32" x14ac:dyDescent="0.2">
      <c r="A723" s="30">
        <v>721</v>
      </c>
      <c r="B723" s="9" t="s">
        <v>1249</v>
      </c>
      <c r="C723" s="12">
        <v>555626100</v>
      </c>
      <c r="D723" s="13" t="s">
        <v>722</v>
      </c>
      <c r="E723" s="17">
        <v>43.936216731099996</v>
      </c>
      <c r="F723" s="17">
        <v>-20.9066985686</v>
      </c>
      <c r="G723" s="14">
        <v>10</v>
      </c>
      <c r="H723" s="17">
        <v>26.33</v>
      </c>
      <c r="I723" s="17">
        <v>27.37</v>
      </c>
      <c r="J723" s="17">
        <v>28.21</v>
      </c>
      <c r="K723" s="17">
        <v>29.16</v>
      </c>
      <c r="L723" s="17">
        <v>30.56</v>
      </c>
      <c r="M723" s="17">
        <f t="shared" si="136"/>
        <v>1.0400000000000027</v>
      </c>
      <c r="N723" s="17">
        <f t="shared" si="137"/>
        <v>1.8800000000000026</v>
      </c>
      <c r="O723" s="17">
        <f t="shared" si="138"/>
        <v>2.8300000000000018</v>
      </c>
      <c r="P723" s="17">
        <f t="shared" si="139"/>
        <v>4.2300000000000004</v>
      </c>
      <c r="Q723" s="17">
        <f t="shared" si="140"/>
        <v>0.21793828961250641</v>
      </c>
      <c r="R723" s="17">
        <f t="shared" si="133"/>
        <v>-0.31720387852920823</v>
      </c>
      <c r="S723" s="17">
        <f t="shared" si="134"/>
        <v>-0.75411975341115411</v>
      </c>
      <c r="T723" s="17">
        <f t="shared" si="135"/>
        <v>-0.5130427630164851</v>
      </c>
      <c r="U723" s="16">
        <v>0</v>
      </c>
      <c r="V723" s="16">
        <v>0</v>
      </c>
      <c r="W723" s="16">
        <v>0</v>
      </c>
      <c r="X723" s="16">
        <v>0</v>
      </c>
      <c r="Y723" s="15">
        <v>0.46</v>
      </c>
      <c r="Z723" s="15">
        <v>0.57799999999999996</v>
      </c>
      <c r="AA723" s="15">
        <v>0.71599999999999997</v>
      </c>
      <c r="AB723" s="15">
        <v>0.79300000000000004</v>
      </c>
      <c r="AC723" s="3">
        <f t="shared" si="141"/>
        <v>0.10067154597700216</v>
      </c>
      <c r="AD723" s="3">
        <f t="shared" si="142"/>
        <v>8.1428220347151858E-2</v>
      </c>
      <c r="AE723" s="3">
        <f t="shared" si="143"/>
        <v>0.30195110116738333</v>
      </c>
      <c r="AF723" s="3">
        <f t="shared" si="144"/>
        <v>0.13411357274250438</v>
      </c>
    </row>
    <row r="724" spans="1:32" x14ac:dyDescent="0.2">
      <c r="A724" s="30">
        <v>722</v>
      </c>
      <c r="B724" s="9" t="s">
        <v>1250</v>
      </c>
      <c r="C724" s="12">
        <v>555626105</v>
      </c>
      <c r="D724" s="13" t="s">
        <v>723</v>
      </c>
      <c r="E724" s="17">
        <v>-16.194024713299999</v>
      </c>
      <c r="F724" s="17">
        <v>12.294637736</v>
      </c>
      <c r="G724" s="14">
        <v>218</v>
      </c>
      <c r="H724" s="17">
        <v>25.5</v>
      </c>
      <c r="I724" s="17">
        <v>26.85</v>
      </c>
      <c r="J724" s="17">
        <v>28.08</v>
      </c>
      <c r="K724" s="17">
        <v>28.42</v>
      </c>
      <c r="L724" s="17">
        <v>29.22</v>
      </c>
      <c r="M724" s="17">
        <f t="shared" si="136"/>
        <v>1.3500000000000014</v>
      </c>
      <c r="N724" s="17">
        <f t="shared" si="137"/>
        <v>2.5799999999999983</v>
      </c>
      <c r="O724" s="17">
        <f t="shared" si="138"/>
        <v>2.9200000000000017</v>
      </c>
      <c r="P724" s="17">
        <f t="shared" si="139"/>
        <v>3.7199999999999989</v>
      </c>
      <c r="Q724" s="17">
        <f t="shared" si="140"/>
        <v>0.59563284667441019</v>
      </c>
      <c r="R724" s="17">
        <f t="shared" si="133"/>
        <v>0.66829764483698206</v>
      </c>
      <c r="S724" s="17">
        <f t="shared" si="134"/>
        <v>-0.64960685888371594</v>
      </c>
      <c r="T724" s="17">
        <f t="shared" si="135"/>
        <v>-1.0292521074544008</v>
      </c>
      <c r="U724" s="16">
        <v>0</v>
      </c>
      <c r="V724" s="16">
        <v>3</v>
      </c>
      <c r="W724" s="16">
        <v>3</v>
      </c>
      <c r="X724" s="16">
        <v>5</v>
      </c>
      <c r="Y724" s="15">
        <v>0.45400000000000001</v>
      </c>
      <c r="Z724" s="15">
        <v>0.57699999999999996</v>
      </c>
      <c r="AA724" s="15">
        <v>0.68899999999999995</v>
      </c>
      <c r="AB724" s="15">
        <v>0.78200000000000003</v>
      </c>
      <c r="AC724" s="3">
        <f t="shared" si="141"/>
        <v>4.5227489238033707E-2</v>
      </c>
      <c r="AD724" s="3">
        <f t="shared" si="142"/>
        <v>7.245480578673201E-2</v>
      </c>
      <c r="AE724" s="3">
        <f t="shared" si="143"/>
        <v>7.9653403531159003E-2</v>
      </c>
      <c r="AF724" s="3">
        <f t="shared" si="144"/>
        <v>4.3753478687507709E-2</v>
      </c>
    </row>
    <row r="725" spans="1:32" x14ac:dyDescent="0.2">
      <c r="A725" s="30">
        <v>723</v>
      </c>
      <c r="B725" s="9" t="s">
        <v>1386</v>
      </c>
      <c r="C725" s="12">
        <v>555626109</v>
      </c>
      <c r="D725" s="13" t="s">
        <v>724</v>
      </c>
      <c r="E725" s="17">
        <v>130.26324763599999</v>
      </c>
      <c r="F725" s="17">
        <v>33.175198063300002</v>
      </c>
      <c r="G725" s="14">
        <v>11</v>
      </c>
      <c r="H725" s="17">
        <v>13.65</v>
      </c>
      <c r="I725" s="17">
        <v>14.85</v>
      </c>
      <c r="J725" s="17">
        <v>16.29</v>
      </c>
      <c r="K725" s="17">
        <v>17.39</v>
      </c>
      <c r="L725" s="17">
        <v>19.170000000000002</v>
      </c>
      <c r="M725" s="17">
        <f t="shared" si="136"/>
        <v>1.1999999999999993</v>
      </c>
      <c r="N725" s="17">
        <f t="shared" si="137"/>
        <v>2.6399999999999988</v>
      </c>
      <c r="O725" s="17">
        <f t="shared" si="138"/>
        <v>3.74</v>
      </c>
      <c r="P725" s="17">
        <f t="shared" si="139"/>
        <v>5.5200000000000014</v>
      </c>
      <c r="Q725" s="17">
        <f t="shared" si="140"/>
        <v>0.4128774158380018</v>
      </c>
      <c r="R725" s="17">
        <f t="shared" si="133"/>
        <v>0.75276920398265668</v>
      </c>
      <c r="S725" s="17">
        <f t="shared" si="134"/>
        <v>0.30262173569960971</v>
      </c>
      <c r="T725" s="17">
        <f t="shared" si="135"/>
        <v>0.79266322585588689</v>
      </c>
      <c r="U725" s="16">
        <v>0</v>
      </c>
      <c r="V725" s="16">
        <v>0</v>
      </c>
      <c r="W725" s="16">
        <v>0</v>
      </c>
      <c r="X725" s="16">
        <v>3</v>
      </c>
      <c r="Y725" s="15">
        <v>0.47071428571399998</v>
      </c>
      <c r="Z725" s="15">
        <v>0.60871428571399999</v>
      </c>
      <c r="AA725" s="15">
        <v>0.75242857142899999</v>
      </c>
      <c r="AB725" s="15">
        <v>0.86942857142899999</v>
      </c>
      <c r="AC725" s="3">
        <f t="shared" si="141"/>
        <v>0.19967879015109088</v>
      </c>
      <c r="AD725" s="3">
        <f t="shared" si="142"/>
        <v>0.35704023898605503</v>
      </c>
      <c r="AE725" s="3">
        <f t="shared" si="143"/>
        <v>0.60187656623565888</v>
      </c>
      <c r="AF725" s="3">
        <f t="shared" si="144"/>
        <v>0.76194020027100073</v>
      </c>
    </row>
    <row r="726" spans="1:32" x14ac:dyDescent="0.2">
      <c r="A726" s="30">
        <v>724</v>
      </c>
      <c r="B726" s="9" t="s">
        <v>1387</v>
      </c>
      <c r="C726" s="12">
        <v>555626110</v>
      </c>
      <c r="D726" s="13" t="s">
        <v>725</v>
      </c>
      <c r="E726" s="17">
        <v>130.129383136</v>
      </c>
      <c r="F726" s="17">
        <v>33.112667748200003</v>
      </c>
      <c r="G726" s="14">
        <v>3</v>
      </c>
      <c r="H726" s="17">
        <v>14.2</v>
      </c>
      <c r="I726" s="17">
        <v>15.44</v>
      </c>
      <c r="J726" s="17">
        <v>16.86</v>
      </c>
      <c r="K726" s="17">
        <v>17.940000000000001</v>
      </c>
      <c r="L726" s="17">
        <v>19.7</v>
      </c>
      <c r="M726" s="17">
        <f t="shared" si="136"/>
        <v>1.2400000000000002</v>
      </c>
      <c r="N726" s="17">
        <f t="shared" si="137"/>
        <v>2.66</v>
      </c>
      <c r="O726" s="17">
        <f t="shared" si="138"/>
        <v>3.740000000000002</v>
      </c>
      <c r="P726" s="17">
        <f t="shared" si="139"/>
        <v>5.5</v>
      </c>
      <c r="Q726" s="17">
        <f t="shared" si="140"/>
        <v>0.46161219739437781</v>
      </c>
      <c r="R726" s="17">
        <f t="shared" si="133"/>
        <v>0.78092639036454992</v>
      </c>
      <c r="S726" s="17">
        <f t="shared" si="134"/>
        <v>0.30262173569961176</v>
      </c>
      <c r="T726" s="17">
        <f t="shared" si="135"/>
        <v>0.77241972215243793</v>
      </c>
      <c r="U726" s="16">
        <v>0</v>
      </c>
      <c r="V726" s="16">
        <v>0</v>
      </c>
      <c r="W726" s="16">
        <v>0</v>
      </c>
      <c r="X726" s="16">
        <v>0</v>
      </c>
      <c r="Y726" s="15">
        <v>0.47071428571399998</v>
      </c>
      <c r="Z726" s="15">
        <v>0.60871428571399999</v>
      </c>
      <c r="AA726" s="15">
        <v>0.75242857142899999</v>
      </c>
      <c r="AB726" s="15">
        <v>0.86942857142899999</v>
      </c>
      <c r="AC726" s="3">
        <f t="shared" si="141"/>
        <v>0.19967879015109088</v>
      </c>
      <c r="AD726" s="3">
        <f t="shared" si="142"/>
        <v>0.35704023898605503</v>
      </c>
      <c r="AE726" s="3">
        <f t="shared" si="143"/>
        <v>0.60187656623565888</v>
      </c>
      <c r="AF726" s="3">
        <f t="shared" si="144"/>
        <v>0.76194020027100073</v>
      </c>
    </row>
    <row r="727" spans="1:32" x14ac:dyDescent="0.2">
      <c r="A727" s="30">
        <v>725</v>
      </c>
      <c r="B727" s="9" t="s">
        <v>1388</v>
      </c>
      <c r="C727" s="12">
        <v>555626111</v>
      </c>
      <c r="D727" s="13" t="s">
        <v>726</v>
      </c>
      <c r="E727" s="17">
        <v>100.015467012</v>
      </c>
      <c r="F727" s="17">
        <v>12.221664063</v>
      </c>
      <c r="G727" s="14">
        <v>26</v>
      </c>
      <c r="H727" s="17">
        <v>25.97</v>
      </c>
      <c r="I727" s="17">
        <v>27.3</v>
      </c>
      <c r="J727" s="17">
        <v>28.53</v>
      </c>
      <c r="K727" s="17">
        <v>29.93</v>
      </c>
      <c r="L727" s="17">
        <v>30.96</v>
      </c>
      <c r="M727" s="17">
        <f t="shared" si="136"/>
        <v>1.3300000000000018</v>
      </c>
      <c r="N727" s="17">
        <f t="shared" si="137"/>
        <v>2.5600000000000023</v>
      </c>
      <c r="O727" s="17">
        <f t="shared" si="138"/>
        <v>3.9600000000000009</v>
      </c>
      <c r="P727" s="17">
        <f t="shared" si="139"/>
        <v>4.990000000000002</v>
      </c>
      <c r="Q727" s="17">
        <f t="shared" si="140"/>
        <v>0.57126545589622324</v>
      </c>
      <c r="R727" s="17">
        <f t="shared" si="133"/>
        <v>0.64014045845509626</v>
      </c>
      <c r="S727" s="17">
        <f t="shared" si="134"/>
        <v>0.55809770010001536</v>
      </c>
      <c r="T727" s="17">
        <f t="shared" si="135"/>
        <v>0.25621037771452582</v>
      </c>
      <c r="U727" s="16">
        <v>0</v>
      </c>
      <c r="V727" s="16">
        <v>0</v>
      </c>
      <c r="W727" s="16">
        <v>0</v>
      </c>
      <c r="X727" s="16">
        <v>0</v>
      </c>
      <c r="Y727" s="15">
        <v>0.41499999999999998</v>
      </c>
      <c r="Z727" s="15">
        <v>0.53249999999999997</v>
      </c>
      <c r="AA727" s="15">
        <v>0.65100000000000002</v>
      </c>
      <c r="AB727" s="15">
        <v>0.75249999999999995</v>
      </c>
      <c r="AC727" s="3">
        <f t="shared" si="141"/>
        <v>-0.31515887956526123</v>
      </c>
      <c r="AD727" s="3">
        <f t="shared" si="142"/>
        <v>-0.32686214215195097</v>
      </c>
      <c r="AE727" s="3">
        <f t="shared" si="143"/>
        <v>-0.23321002277167432</v>
      </c>
      <c r="AF727" s="3">
        <f t="shared" si="144"/>
        <v>-0.19857586445998382</v>
      </c>
    </row>
    <row r="728" spans="1:32" x14ac:dyDescent="0.2">
      <c r="A728" s="30">
        <v>726</v>
      </c>
      <c r="B728" s="9" t="s">
        <v>1251</v>
      </c>
      <c r="C728" s="12">
        <v>555626112</v>
      </c>
      <c r="D728" s="13" t="s">
        <v>727</v>
      </c>
      <c r="E728" s="17">
        <v>48.129806772099997</v>
      </c>
      <c r="F728" s="17">
        <v>29.897579759700001</v>
      </c>
      <c r="G728" s="14">
        <v>278</v>
      </c>
      <c r="H728" s="17">
        <v>23.15</v>
      </c>
      <c r="I728" s="17">
        <v>25.89</v>
      </c>
      <c r="J728" s="17">
        <v>26.6</v>
      </c>
      <c r="K728" s="17">
        <v>27.71</v>
      </c>
      <c r="L728" s="17">
        <v>30.53</v>
      </c>
      <c r="M728" s="17">
        <f t="shared" si="136"/>
        <v>2.740000000000002</v>
      </c>
      <c r="N728" s="17">
        <f t="shared" si="137"/>
        <v>3.4500000000000028</v>
      </c>
      <c r="O728" s="17">
        <f t="shared" si="138"/>
        <v>4.5600000000000023</v>
      </c>
      <c r="P728" s="17">
        <f t="shared" si="139"/>
        <v>7.3800000000000026</v>
      </c>
      <c r="Q728" s="17">
        <f t="shared" si="140"/>
        <v>2.2891665057584381</v>
      </c>
      <c r="R728" s="17">
        <f t="shared" si="133"/>
        <v>1.8931352524492608</v>
      </c>
      <c r="S728" s="17">
        <f t="shared" si="134"/>
        <v>1.2548503302829395</v>
      </c>
      <c r="T728" s="17">
        <f t="shared" si="135"/>
        <v>2.6753090702765161</v>
      </c>
      <c r="U728" s="16">
        <v>25</v>
      </c>
      <c r="V728" s="16">
        <v>33</v>
      </c>
      <c r="W728" s="16">
        <v>37</v>
      </c>
      <c r="X728" s="16">
        <v>38</v>
      </c>
      <c r="Y728" s="15">
        <v>0.34200000000000003</v>
      </c>
      <c r="Z728" s="15">
        <v>0.46400000000000002</v>
      </c>
      <c r="AA728" s="15">
        <v>0.59799999999999998</v>
      </c>
      <c r="AB728" s="15">
        <v>0.71599999999999997</v>
      </c>
      <c r="AC728" s="3">
        <f t="shared" si="141"/>
        <v>-0.98972823655604303</v>
      </c>
      <c r="AD728" s="3">
        <f t="shared" si="142"/>
        <v>-0.94154103954070989</v>
      </c>
      <c r="AE728" s="3">
        <f t="shared" si="143"/>
        <v>-0.66957216998352209</v>
      </c>
      <c r="AF728" s="3">
        <f t="shared" si="144"/>
        <v>-0.49840708564247233</v>
      </c>
    </row>
    <row r="729" spans="1:32" x14ac:dyDescent="0.2">
      <c r="A729" s="30">
        <v>727</v>
      </c>
      <c r="B729" s="9" t="s">
        <v>1252</v>
      </c>
      <c r="C729" s="12">
        <v>555629210</v>
      </c>
      <c r="D729" s="13" t="s">
        <v>728</v>
      </c>
      <c r="E729" s="17">
        <v>11.8559133987</v>
      </c>
      <c r="F729" s="17">
        <v>-4.4188158916900004</v>
      </c>
      <c r="G729" s="14">
        <v>21</v>
      </c>
      <c r="H729" s="17">
        <v>25.19</v>
      </c>
      <c r="I729" s="17">
        <v>26.59</v>
      </c>
      <c r="J729" s="17">
        <v>27.69</v>
      </c>
      <c r="K729" s="17">
        <v>29.1</v>
      </c>
      <c r="L729" s="17">
        <v>30.37</v>
      </c>
      <c r="M729" s="17">
        <f t="shared" si="136"/>
        <v>1.3999999999999986</v>
      </c>
      <c r="N729" s="17">
        <f t="shared" si="137"/>
        <v>2.5</v>
      </c>
      <c r="O729" s="17">
        <f t="shared" si="138"/>
        <v>3.91</v>
      </c>
      <c r="P729" s="17">
        <f t="shared" si="139"/>
        <v>5.18</v>
      </c>
      <c r="Q729" s="17">
        <f t="shared" si="140"/>
        <v>0.65655132361987534</v>
      </c>
      <c r="R729" s="17">
        <f t="shared" si="133"/>
        <v>0.5556688993094191</v>
      </c>
      <c r="S729" s="17">
        <f t="shared" si="134"/>
        <v>0.50003498091810428</v>
      </c>
      <c r="T729" s="17">
        <f t="shared" si="135"/>
        <v>0.4485236628972758</v>
      </c>
      <c r="U729" s="16">
        <v>0</v>
      </c>
      <c r="V729" s="16">
        <v>0</v>
      </c>
      <c r="W729" s="16">
        <v>0</v>
      </c>
      <c r="X729" s="16">
        <v>0</v>
      </c>
      <c r="Y729" s="15">
        <v>0.45600000000000002</v>
      </c>
      <c r="Z729" s="15">
        <v>0.59399999999999997</v>
      </c>
      <c r="AA729" s="15">
        <v>0.748</v>
      </c>
      <c r="AB729" s="15">
        <v>0.85199999999999998</v>
      </c>
      <c r="AC729" s="3">
        <f t="shared" si="141"/>
        <v>6.3708841484356515E-2</v>
      </c>
      <c r="AD729" s="3">
        <f t="shared" si="142"/>
        <v>0.22500285331386952</v>
      </c>
      <c r="AE729" s="3">
        <f t="shared" si="143"/>
        <v>0.56541503910661217</v>
      </c>
      <c r="AF729" s="3">
        <f t="shared" si="144"/>
        <v>0.61877225903748556</v>
      </c>
    </row>
    <row r="730" spans="1:32" x14ac:dyDescent="0.2">
      <c r="A730" s="30">
        <v>728</v>
      </c>
      <c r="B730" s="9" t="s">
        <v>1253</v>
      </c>
      <c r="C730" s="12">
        <v>555629212</v>
      </c>
      <c r="D730" s="13" t="s">
        <v>729</v>
      </c>
      <c r="E730" s="17">
        <v>-16.713595791700001</v>
      </c>
      <c r="F730" s="17">
        <v>12.8099660269</v>
      </c>
      <c r="G730" s="14">
        <v>86</v>
      </c>
      <c r="H730" s="17">
        <v>24.69</v>
      </c>
      <c r="I730" s="17">
        <v>25.85</v>
      </c>
      <c r="J730" s="17">
        <v>26.85</v>
      </c>
      <c r="K730" s="17">
        <v>26.95</v>
      </c>
      <c r="L730" s="17">
        <v>27.81</v>
      </c>
      <c r="M730" s="17">
        <f t="shared" si="136"/>
        <v>1.1600000000000001</v>
      </c>
      <c r="N730" s="17">
        <f t="shared" si="137"/>
        <v>2.16</v>
      </c>
      <c r="O730" s="17">
        <f t="shared" si="138"/>
        <v>2.259999999999998</v>
      </c>
      <c r="P730" s="17">
        <f t="shared" si="139"/>
        <v>3.1199999999999974</v>
      </c>
      <c r="Q730" s="17">
        <f t="shared" si="140"/>
        <v>0.36414263428162796</v>
      </c>
      <c r="R730" s="17">
        <f t="shared" si="133"/>
        <v>7.6996730817266879E-2</v>
      </c>
      <c r="S730" s="17">
        <f t="shared" si="134"/>
        <v>-1.416034752084935</v>
      </c>
      <c r="T730" s="17">
        <f t="shared" si="135"/>
        <v>-1.6365572185578305</v>
      </c>
      <c r="U730" s="16">
        <v>1</v>
      </c>
      <c r="V730" s="16">
        <v>9</v>
      </c>
      <c r="W730" s="16">
        <v>14</v>
      </c>
      <c r="X730" s="16">
        <v>16</v>
      </c>
      <c r="Y730" s="15">
        <v>0.46500000000000002</v>
      </c>
      <c r="Z730" s="15">
        <v>0.59</v>
      </c>
      <c r="AA730" s="15">
        <v>0.70199999999999996</v>
      </c>
      <c r="AB730" s="15">
        <v>0.79600000000000004</v>
      </c>
      <c r="AC730" s="3">
        <f t="shared" si="141"/>
        <v>0.14687492659280921</v>
      </c>
      <c r="AD730" s="3">
        <f t="shared" si="142"/>
        <v>0.18910919507219009</v>
      </c>
      <c r="AE730" s="3">
        <f t="shared" si="143"/>
        <v>0.18668562831897073</v>
      </c>
      <c r="AF730" s="3">
        <f t="shared" si="144"/>
        <v>0.15875723475750347</v>
      </c>
    </row>
    <row r="731" spans="1:32" x14ac:dyDescent="0.2">
      <c r="A731" s="30">
        <v>729</v>
      </c>
      <c r="B731" s="9" t="s">
        <v>1514</v>
      </c>
      <c r="C731" s="12">
        <v>555629213</v>
      </c>
      <c r="D731" s="13" t="s">
        <v>730</v>
      </c>
      <c r="E731" s="17">
        <v>-17.069885998699998</v>
      </c>
      <c r="F731" s="17">
        <v>14.507371126100001</v>
      </c>
      <c r="G731" s="14">
        <v>2</v>
      </c>
      <c r="H731" s="17">
        <v>23.98</v>
      </c>
      <c r="I731" s="17">
        <v>24.94</v>
      </c>
      <c r="J731" s="17">
        <v>25.74</v>
      </c>
      <c r="K731" s="17">
        <v>25.88</v>
      </c>
      <c r="L731" s="17">
        <v>26.94</v>
      </c>
      <c r="M731" s="17">
        <f t="shared" si="136"/>
        <v>0.96000000000000085</v>
      </c>
      <c r="N731" s="17">
        <f t="shared" si="137"/>
        <v>1.759999999999998</v>
      </c>
      <c r="O731" s="17">
        <f t="shared" si="138"/>
        <v>1.8999999999999986</v>
      </c>
      <c r="P731" s="17">
        <f t="shared" si="139"/>
        <v>2.9600000000000009</v>
      </c>
      <c r="Q731" s="17">
        <f t="shared" si="140"/>
        <v>0.12046872649975437</v>
      </c>
      <c r="R731" s="17">
        <f t="shared" si="133"/>
        <v>-0.48614699682056256</v>
      </c>
      <c r="S731" s="17">
        <f t="shared" si="134"/>
        <v>-1.8340863301946877</v>
      </c>
      <c r="T731" s="17">
        <f t="shared" si="135"/>
        <v>-1.798505248185408</v>
      </c>
      <c r="U731" s="16">
        <v>0</v>
      </c>
      <c r="V731" s="16">
        <v>0</v>
      </c>
      <c r="W731" s="16">
        <v>0</v>
      </c>
      <c r="X731" s="16">
        <v>0</v>
      </c>
      <c r="Y731" s="15">
        <v>0.45450000000000002</v>
      </c>
      <c r="Z731" s="15">
        <v>0.57899999999999996</v>
      </c>
      <c r="AA731" s="15">
        <v>0.69099999999999995</v>
      </c>
      <c r="AB731" s="15">
        <v>0.78400000000000003</v>
      </c>
      <c r="AC731" s="3">
        <f t="shared" si="141"/>
        <v>4.9847827299614407E-2</v>
      </c>
      <c r="AD731" s="3">
        <f t="shared" si="142"/>
        <v>9.0401634907571721E-2</v>
      </c>
      <c r="AE731" s="3">
        <f t="shared" si="143"/>
        <v>9.6119899652360813E-2</v>
      </c>
      <c r="AF731" s="3">
        <f t="shared" si="144"/>
        <v>6.0182586697507104E-2</v>
      </c>
    </row>
    <row r="732" spans="1:32" x14ac:dyDescent="0.2">
      <c r="A732" s="30">
        <v>730</v>
      </c>
      <c r="B732" s="9" t="s">
        <v>1515</v>
      </c>
      <c r="C732" s="12">
        <v>555629214</v>
      </c>
      <c r="D732" s="13" t="s">
        <v>731</v>
      </c>
      <c r="E732" s="17">
        <v>-16.751202549199999</v>
      </c>
      <c r="F732" s="17">
        <v>14.0572888003</v>
      </c>
      <c r="G732" s="14">
        <v>79</v>
      </c>
      <c r="H732" s="17">
        <v>24.2</v>
      </c>
      <c r="I732" s="17">
        <v>25.22</v>
      </c>
      <c r="J732" s="17">
        <v>26.12</v>
      </c>
      <c r="K732" s="17">
        <v>26.2</v>
      </c>
      <c r="L732" s="17">
        <v>27.21</v>
      </c>
      <c r="M732" s="17">
        <f t="shared" si="136"/>
        <v>1.0199999999999996</v>
      </c>
      <c r="N732" s="17">
        <f t="shared" si="137"/>
        <v>1.9200000000000017</v>
      </c>
      <c r="O732" s="17">
        <f t="shared" si="138"/>
        <v>2</v>
      </c>
      <c r="P732" s="17">
        <f t="shared" si="139"/>
        <v>3.0100000000000016</v>
      </c>
      <c r="Q732" s="17">
        <f t="shared" si="140"/>
        <v>0.19357089883431516</v>
      </c>
      <c r="R732" s="17">
        <f t="shared" si="133"/>
        <v>-0.2608895057654268</v>
      </c>
      <c r="S732" s="17">
        <f t="shared" si="134"/>
        <v>-1.7179608918308658</v>
      </c>
      <c r="T732" s="17">
        <f t="shared" si="135"/>
        <v>-1.7478964889267883</v>
      </c>
      <c r="U732" s="16">
        <v>11</v>
      </c>
      <c r="V732" s="16">
        <v>19</v>
      </c>
      <c r="W732" s="16">
        <v>21</v>
      </c>
      <c r="X732" s="16">
        <v>25</v>
      </c>
      <c r="Y732" s="15">
        <v>0.46200000000000002</v>
      </c>
      <c r="Z732" s="15">
        <v>0.58799999999999997</v>
      </c>
      <c r="AA732" s="15">
        <v>0.69799999999999995</v>
      </c>
      <c r="AB732" s="15">
        <v>0.79200000000000004</v>
      </c>
      <c r="AC732" s="3">
        <f t="shared" si="141"/>
        <v>0.11915289822332498</v>
      </c>
      <c r="AD732" s="3">
        <f t="shared" si="142"/>
        <v>0.1711623659513504</v>
      </c>
      <c r="AE732" s="3">
        <f t="shared" si="143"/>
        <v>0.15375263607656711</v>
      </c>
      <c r="AF732" s="3">
        <f t="shared" si="144"/>
        <v>0.12589901873750467</v>
      </c>
    </row>
    <row r="733" spans="1:32" x14ac:dyDescent="0.2">
      <c r="A733" s="30">
        <v>731</v>
      </c>
      <c r="B733" s="9" t="s">
        <v>1254</v>
      </c>
      <c r="C733" s="12">
        <v>555629240</v>
      </c>
      <c r="D733" s="13" t="s">
        <v>732</v>
      </c>
      <c r="E733" s="17">
        <v>12.5156383147</v>
      </c>
      <c r="F733" s="17">
        <v>37.988463447299999</v>
      </c>
      <c r="G733" s="14">
        <v>14</v>
      </c>
      <c r="H733" s="17">
        <v>17.87</v>
      </c>
      <c r="I733" s="17">
        <v>18.96</v>
      </c>
      <c r="J733" s="17">
        <v>20.48</v>
      </c>
      <c r="K733" s="17">
        <v>22.02</v>
      </c>
      <c r="L733" s="17">
        <v>23.43</v>
      </c>
      <c r="M733" s="17">
        <f t="shared" si="136"/>
        <v>1.0899999999999999</v>
      </c>
      <c r="N733" s="17">
        <f t="shared" si="137"/>
        <v>2.6099999999999994</v>
      </c>
      <c r="O733" s="17">
        <f t="shared" si="138"/>
        <v>4.1499999999999986</v>
      </c>
      <c r="P733" s="17">
        <f t="shared" si="139"/>
        <v>5.5599999999999987</v>
      </c>
      <c r="Q733" s="17">
        <f t="shared" si="140"/>
        <v>0.27885676655797154</v>
      </c>
      <c r="R733" s="17">
        <f t="shared" si="133"/>
        <v>0.71053342440982059</v>
      </c>
      <c r="S733" s="17">
        <f t="shared" si="134"/>
        <v>0.77873603299127148</v>
      </c>
      <c r="T733" s="17">
        <f t="shared" si="135"/>
        <v>0.83315023326277948</v>
      </c>
      <c r="U733" s="16">
        <v>3</v>
      </c>
      <c r="V733" s="16">
        <v>3</v>
      </c>
      <c r="W733" s="16">
        <v>3</v>
      </c>
      <c r="X733" s="16">
        <v>3</v>
      </c>
      <c r="Y733" s="15">
        <v>0.40100000000000002</v>
      </c>
      <c r="Z733" s="15">
        <v>0.52300000000000002</v>
      </c>
      <c r="AA733" s="15">
        <v>0.629</v>
      </c>
      <c r="AB733" s="15">
        <v>0.73099999999999998</v>
      </c>
      <c r="AC733" s="3">
        <f t="shared" si="141"/>
        <v>-0.44452834528952045</v>
      </c>
      <c r="AD733" s="3">
        <f t="shared" si="142"/>
        <v>-0.41210958047593904</v>
      </c>
      <c r="AE733" s="3">
        <f t="shared" si="143"/>
        <v>-0.41434148010489413</v>
      </c>
      <c r="AF733" s="3">
        <f t="shared" si="144"/>
        <v>-0.37518877556747687</v>
      </c>
    </row>
    <row r="734" spans="1:32" x14ac:dyDescent="0.2">
      <c r="A734" s="30">
        <v>732</v>
      </c>
      <c r="B734" s="9" t="s">
        <v>1255</v>
      </c>
      <c r="C734" s="12">
        <v>555635834</v>
      </c>
      <c r="D734" s="13" t="s">
        <v>733</v>
      </c>
      <c r="E734" s="17">
        <v>-0.187572445713</v>
      </c>
      <c r="F734" s="17">
        <v>39.745604849999999</v>
      </c>
      <c r="G734" s="14">
        <v>3</v>
      </c>
      <c r="H734" s="17">
        <v>14.18</v>
      </c>
      <c r="I734" s="17">
        <v>14.35</v>
      </c>
      <c r="J734" s="17">
        <v>16.88</v>
      </c>
      <c r="K734" s="17">
        <v>17.37</v>
      </c>
      <c r="L734" s="17">
        <v>19.5</v>
      </c>
      <c r="M734" s="17">
        <f t="shared" si="136"/>
        <v>0.16999999999999993</v>
      </c>
      <c r="N734" s="17">
        <f t="shared" si="137"/>
        <v>2.6999999999999993</v>
      </c>
      <c r="O734" s="17">
        <f t="shared" si="138"/>
        <v>3.1900000000000013</v>
      </c>
      <c r="P734" s="17">
        <f t="shared" si="139"/>
        <v>5.32</v>
      </c>
      <c r="Q734" s="17">
        <f t="shared" si="140"/>
        <v>-0.84204320923865073</v>
      </c>
      <c r="R734" s="17">
        <f t="shared" si="133"/>
        <v>0.8372407631283314</v>
      </c>
      <c r="S734" s="17">
        <f t="shared" si="134"/>
        <v>-0.33606817530140132</v>
      </c>
      <c r="T734" s="17">
        <f t="shared" si="135"/>
        <v>0.5902281888214097</v>
      </c>
      <c r="U734" s="16">
        <v>0</v>
      </c>
      <c r="V734" s="16">
        <v>2</v>
      </c>
      <c r="W734" s="16">
        <v>2</v>
      </c>
      <c r="X734" s="16">
        <v>2</v>
      </c>
      <c r="Y734" s="15">
        <v>0.44800000000000001</v>
      </c>
      <c r="Z734" s="15">
        <v>0.56000000000000005</v>
      </c>
      <c r="AA734" s="15">
        <v>0.67300000000000004</v>
      </c>
      <c r="AB734" s="15">
        <v>0.76800000000000002</v>
      </c>
      <c r="AC734" s="3">
        <f t="shared" si="141"/>
        <v>-1.0216567500934746E-2</v>
      </c>
      <c r="AD734" s="3">
        <f t="shared" si="142"/>
        <v>-8.0093241740404497E-2</v>
      </c>
      <c r="AE734" s="3">
        <f t="shared" si="143"/>
        <v>-5.2078565438454495E-2</v>
      </c>
      <c r="AF734" s="3">
        <f t="shared" si="144"/>
        <v>-7.1250277382488056E-2</v>
      </c>
    </row>
    <row r="735" spans="1:32" x14ac:dyDescent="0.2">
      <c r="A735" s="30">
        <v>733</v>
      </c>
      <c r="B735" s="9" t="s">
        <v>915</v>
      </c>
      <c r="C735" s="12">
        <v>555637331</v>
      </c>
      <c r="D735" s="13" t="s">
        <v>734</v>
      </c>
      <c r="E735" s="17">
        <v>-48.525695129399999</v>
      </c>
      <c r="F735" s="17">
        <v>-0.78976073753499998</v>
      </c>
      <c r="G735" s="14">
        <v>13972</v>
      </c>
      <c r="H735" s="17">
        <v>25.35</v>
      </c>
      <c r="I735" s="17">
        <v>26.23</v>
      </c>
      <c r="J735" s="17">
        <v>27.47</v>
      </c>
      <c r="K735" s="17">
        <v>28.84</v>
      </c>
      <c r="L735" s="17">
        <v>30.21</v>
      </c>
      <c r="M735" s="17">
        <f t="shared" si="136"/>
        <v>0.87999999999999901</v>
      </c>
      <c r="N735" s="17">
        <f t="shared" si="137"/>
        <v>2.1199999999999974</v>
      </c>
      <c r="O735" s="17">
        <f t="shared" si="138"/>
        <v>3.4899999999999984</v>
      </c>
      <c r="P735" s="17">
        <f t="shared" si="139"/>
        <v>4.8599999999999994</v>
      </c>
      <c r="Q735" s="17">
        <f t="shared" si="140"/>
        <v>2.299916338700236E-2</v>
      </c>
      <c r="R735" s="17">
        <f t="shared" si="133"/>
        <v>2.068235805348043E-2</v>
      </c>
      <c r="S735" s="17">
        <f t="shared" si="134"/>
        <v>1.230813979005661E-2</v>
      </c>
      <c r="T735" s="17">
        <f t="shared" si="135"/>
        <v>0.12462760364211373</v>
      </c>
      <c r="U735" s="16">
        <v>177</v>
      </c>
      <c r="V735" s="16">
        <v>255</v>
      </c>
      <c r="W735" s="16">
        <v>292</v>
      </c>
      <c r="X735" s="16">
        <v>338</v>
      </c>
      <c r="Y735" s="15">
        <v>0.4395</v>
      </c>
      <c r="Z735" s="15">
        <v>0.56999999999999995</v>
      </c>
      <c r="AA735" s="15">
        <v>0.6855</v>
      </c>
      <c r="AB735" s="15">
        <v>0.77300000000000002</v>
      </c>
      <c r="AC735" s="3">
        <f t="shared" si="141"/>
        <v>-8.8762314547806712E-2</v>
      </c>
      <c r="AD735" s="3">
        <f t="shared" si="142"/>
        <v>9.6409038637930381E-3</v>
      </c>
      <c r="AE735" s="3">
        <f t="shared" si="143"/>
        <v>5.0837035319056312E-2</v>
      </c>
      <c r="AF735" s="3">
        <f t="shared" si="144"/>
        <v>-3.0177507357489572E-2</v>
      </c>
    </row>
    <row r="736" spans="1:32" x14ac:dyDescent="0.2">
      <c r="A736" s="30">
        <v>734</v>
      </c>
      <c r="B736" s="9" t="s">
        <v>1390</v>
      </c>
      <c r="C736" s="12">
        <v>555637355</v>
      </c>
      <c r="D736" s="13" t="s">
        <v>735</v>
      </c>
      <c r="E736" s="17">
        <v>141.17414240100001</v>
      </c>
      <c r="F736" s="17">
        <v>-38.091008628600001</v>
      </c>
      <c r="G736" s="14">
        <v>29</v>
      </c>
      <c r="H736" s="17">
        <v>13.71</v>
      </c>
      <c r="I736" s="17">
        <v>15.67</v>
      </c>
      <c r="J736" s="17">
        <v>16.649999999999999</v>
      </c>
      <c r="K736" s="17">
        <v>17.239999999999998</v>
      </c>
      <c r="L736" s="17">
        <v>17.940000000000001</v>
      </c>
      <c r="M736" s="17">
        <f t="shared" si="136"/>
        <v>1.9599999999999991</v>
      </c>
      <c r="N736" s="17">
        <f t="shared" si="137"/>
        <v>2.9399999999999977</v>
      </c>
      <c r="O736" s="17">
        <f t="shared" si="138"/>
        <v>3.5299999999999976</v>
      </c>
      <c r="P736" s="17">
        <f t="shared" si="139"/>
        <v>4.2300000000000004</v>
      </c>
      <c r="Q736" s="17">
        <f t="shared" si="140"/>
        <v>1.3388382654091244</v>
      </c>
      <c r="R736" s="17">
        <f t="shared" si="133"/>
        <v>1.175126999711025</v>
      </c>
      <c r="S736" s="17">
        <f t="shared" si="134"/>
        <v>5.8758315135583786E-2</v>
      </c>
      <c r="T736" s="17">
        <f t="shared" si="135"/>
        <v>-0.5130427630164851</v>
      </c>
      <c r="U736" s="16">
        <v>2</v>
      </c>
      <c r="V736" s="16">
        <v>2</v>
      </c>
      <c r="W736" s="16">
        <v>2</v>
      </c>
      <c r="X736" s="16">
        <v>2</v>
      </c>
      <c r="Y736" s="15">
        <v>0.45500000000000002</v>
      </c>
      <c r="Z736" s="15">
        <v>0.55800000000000005</v>
      </c>
      <c r="AA736" s="15">
        <v>0.65600000000000003</v>
      </c>
      <c r="AB736" s="15">
        <v>0.73199999999999998</v>
      </c>
      <c r="AC736" s="3">
        <f t="shared" si="141"/>
        <v>5.4468165361195114E-2</v>
      </c>
      <c r="AD736" s="3">
        <f t="shared" si="142"/>
        <v>-9.8040070861244208E-2</v>
      </c>
      <c r="AE736" s="3">
        <f t="shared" si="143"/>
        <v>-0.19204378246866982</v>
      </c>
      <c r="AF736" s="3">
        <f t="shared" si="144"/>
        <v>-0.36697422156247717</v>
      </c>
    </row>
    <row r="737" spans="1:32" x14ac:dyDescent="0.2">
      <c r="A737" s="30">
        <v>735</v>
      </c>
      <c r="B737" s="9" t="s">
        <v>916</v>
      </c>
      <c r="C737" s="12">
        <v>555637432</v>
      </c>
      <c r="D737" s="13" t="s">
        <v>736</v>
      </c>
      <c r="E737" s="17">
        <v>-65.768331926499997</v>
      </c>
      <c r="F737" s="17">
        <v>-44.759799974800003</v>
      </c>
      <c r="G737" s="14">
        <v>13352</v>
      </c>
      <c r="H737" s="17">
        <v>11.12</v>
      </c>
      <c r="I737" s="17">
        <v>13.13</v>
      </c>
      <c r="J737" s="17">
        <v>13.99</v>
      </c>
      <c r="K737" s="17">
        <v>14.54</v>
      </c>
      <c r="L737" s="17">
        <v>15.46</v>
      </c>
      <c r="M737" s="17">
        <f t="shared" si="136"/>
        <v>2.0100000000000016</v>
      </c>
      <c r="N737" s="17">
        <f t="shared" si="137"/>
        <v>2.870000000000001</v>
      </c>
      <c r="O737" s="17">
        <f t="shared" si="138"/>
        <v>3.42</v>
      </c>
      <c r="P737" s="17">
        <f t="shared" si="139"/>
        <v>4.3400000000000016</v>
      </c>
      <c r="Q737" s="17">
        <f t="shared" si="140"/>
        <v>1.399756742354596</v>
      </c>
      <c r="R737" s="17">
        <f t="shared" si="133"/>
        <v>1.07657684737441</v>
      </c>
      <c r="S737" s="17">
        <f t="shared" si="134"/>
        <v>-6.8979667064615946E-2</v>
      </c>
      <c r="T737" s="17">
        <f t="shared" si="135"/>
        <v>-0.40170349264752198</v>
      </c>
      <c r="U737" s="16">
        <v>16</v>
      </c>
      <c r="V737" s="16">
        <v>21</v>
      </c>
      <c r="W737" s="16">
        <v>31</v>
      </c>
      <c r="X737" s="16">
        <v>31</v>
      </c>
      <c r="Y737" s="15">
        <v>0.37</v>
      </c>
      <c r="Z737" s="15">
        <v>0.47899999999999998</v>
      </c>
      <c r="AA737" s="15">
        <v>0.58699999999999997</v>
      </c>
      <c r="AB737" s="15">
        <v>0.66</v>
      </c>
      <c r="AC737" s="3">
        <f t="shared" si="141"/>
        <v>-0.73098930510752413</v>
      </c>
      <c r="AD737" s="3">
        <f t="shared" si="142"/>
        <v>-0.80693982113441265</v>
      </c>
      <c r="AE737" s="3">
        <f t="shared" si="143"/>
        <v>-0.76013789865013204</v>
      </c>
      <c r="AF737" s="3">
        <f t="shared" si="144"/>
        <v>-0.95842210992245447</v>
      </c>
    </row>
    <row r="738" spans="1:32" x14ac:dyDescent="0.2">
      <c r="A738" s="30">
        <v>736</v>
      </c>
      <c r="B738" s="9" t="s">
        <v>1516</v>
      </c>
      <c r="C738" s="12">
        <v>555637439</v>
      </c>
      <c r="D738" s="13" t="s">
        <v>737</v>
      </c>
      <c r="E738" s="17">
        <v>-68.643575243300006</v>
      </c>
      <c r="F738" s="17">
        <v>11.990208605299999</v>
      </c>
      <c r="G738" s="14">
        <v>4</v>
      </c>
      <c r="H738" s="17">
        <v>25.92</v>
      </c>
      <c r="I738" s="17">
        <v>26.7</v>
      </c>
      <c r="J738" s="17">
        <v>27.62</v>
      </c>
      <c r="K738" s="17">
        <v>28.6</v>
      </c>
      <c r="L738" s="17">
        <v>30.06</v>
      </c>
      <c r="M738" s="17">
        <f t="shared" si="136"/>
        <v>0.77999999999999758</v>
      </c>
      <c r="N738" s="17">
        <f t="shared" si="137"/>
        <v>1.6999999999999993</v>
      </c>
      <c r="O738" s="17">
        <f t="shared" si="138"/>
        <v>2.6799999999999997</v>
      </c>
      <c r="P738" s="17">
        <f t="shared" si="139"/>
        <v>4.139999999999997</v>
      </c>
      <c r="Q738" s="17">
        <f t="shared" si="140"/>
        <v>-9.8837790503936582E-2</v>
      </c>
      <c r="R738" s="17">
        <f t="shared" si="133"/>
        <v>-0.57061855596623479</v>
      </c>
      <c r="S738" s="17">
        <f t="shared" si="134"/>
        <v>-0.92830791095688725</v>
      </c>
      <c r="T738" s="17">
        <f t="shared" si="135"/>
        <v>-0.60413852968200277</v>
      </c>
      <c r="U738" s="16">
        <v>0</v>
      </c>
      <c r="V738" s="16">
        <v>0</v>
      </c>
      <c r="W738" s="16">
        <v>0</v>
      </c>
      <c r="X738" s="16">
        <v>0</v>
      </c>
      <c r="Y738" s="15">
        <v>0.51400000000000001</v>
      </c>
      <c r="Z738" s="15">
        <v>0.64300000000000002</v>
      </c>
      <c r="AA738" s="15">
        <v>0.76200000000000001</v>
      </c>
      <c r="AB738" s="15">
        <v>0.85199999999999998</v>
      </c>
      <c r="AC738" s="3">
        <f t="shared" si="141"/>
        <v>0.59966805662771772</v>
      </c>
      <c r="AD738" s="3">
        <f t="shared" si="142"/>
        <v>0.66470016677444232</v>
      </c>
      <c r="AE738" s="3">
        <f t="shared" si="143"/>
        <v>0.68068051195502477</v>
      </c>
      <c r="AF738" s="3">
        <f t="shared" si="144"/>
        <v>0.61877225903748556</v>
      </c>
    </row>
    <row r="739" spans="1:32" x14ac:dyDescent="0.2">
      <c r="A739" s="30">
        <v>737</v>
      </c>
      <c r="B739" s="9" t="s">
        <v>1256</v>
      </c>
      <c r="C739" s="12">
        <v>555697868</v>
      </c>
      <c r="D739" s="13" t="s">
        <v>738</v>
      </c>
      <c r="E739" s="17">
        <v>62.8114445386</v>
      </c>
      <c r="F739" s="17">
        <v>-47.7250965701</v>
      </c>
      <c r="G739" s="14">
        <v>34362</v>
      </c>
      <c r="H739" s="17">
        <v>5.19</v>
      </c>
      <c r="I739" s="17">
        <v>6.29</v>
      </c>
      <c r="J739" s="17">
        <v>7</v>
      </c>
      <c r="K739" s="17">
        <v>7.35</v>
      </c>
      <c r="L739" s="17">
        <v>8.06</v>
      </c>
      <c r="M739" s="17">
        <f t="shared" si="136"/>
        <v>1.0999999999999996</v>
      </c>
      <c r="N739" s="17">
        <f t="shared" si="137"/>
        <v>1.8099999999999996</v>
      </c>
      <c r="O739" s="17">
        <f t="shared" si="138"/>
        <v>2.1599999999999993</v>
      </c>
      <c r="P739" s="17">
        <f t="shared" si="139"/>
        <v>2.87</v>
      </c>
      <c r="Q739" s="17">
        <f t="shared" si="140"/>
        <v>0.29104046194706501</v>
      </c>
      <c r="R739" s="17">
        <f t="shared" si="133"/>
        <v>-0.41575403086583201</v>
      </c>
      <c r="S739" s="17">
        <f t="shared" si="134"/>
        <v>-1.5321601904487538</v>
      </c>
      <c r="T739" s="17">
        <f t="shared" si="135"/>
        <v>-1.889601014850923</v>
      </c>
      <c r="U739" s="16">
        <v>55</v>
      </c>
      <c r="V739" s="16">
        <v>67</v>
      </c>
      <c r="W739" s="16">
        <v>93</v>
      </c>
      <c r="X739" s="16">
        <v>101</v>
      </c>
      <c r="Y739" s="15">
        <v>0.51600000000000001</v>
      </c>
      <c r="Z739" s="15">
        <v>0.66700000000000004</v>
      </c>
      <c r="AA739" s="15">
        <v>0.82399999999999995</v>
      </c>
      <c r="AB739" s="15">
        <v>0.93100000000000005</v>
      </c>
      <c r="AC739" s="3">
        <f t="shared" si="141"/>
        <v>0.61814940887404046</v>
      </c>
      <c r="AD739" s="3">
        <f t="shared" si="142"/>
        <v>0.8800621162245188</v>
      </c>
      <c r="AE739" s="3">
        <f t="shared" si="143"/>
        <v>1.1911418917122798</v>
      </c>
      <c r="AF739" s="3">
        <f t="shared" si="144"/>
        <v>1.2677220254324617</v>
      </c>
    </row>
    <row r="740" spans="1:32" x14ac:dyDescent="0.2">
      <c r="A740" s="30">
        <v>738</v>
      </c>
      <c r="B740" s="9" t="s">
        <v>1257</v>
      </c>
      <c r="C740" s="12">
        <v>555698088</v>
      </c>
      <c r="D740" s="13" t="s">
        <v>739</v>
      </c>
      <c r="E740" s="17">
        <v>-9.8386859150700001</v>
      </c>
      <c r="F740" s="17">
        <v>30.70936717</v>
      </c>
      <c r="G740" s="14">
        <v>89</v>
      </c>
      <c r="H740" s="17">
        <v>18.82</v>
      </c>
      <c r="I740" s="17">
        <v>19.100000000000001</v>
      </c>
      <c r="J740" s="17">
        <v>19.829999999999998</v>
      </c>
      <c r="K740" s="17">
        <v>20.190000000000001</v>
      </c>
      <c r="L740" s="17">
        <v>21.63</v>
      </c>
      <c r="M740" s="17">
        <f t="shared" si="136"/>
        <v>0.28000000000000114</v>
      </c>
      <c r="N740" s="17">
        <f t="shared" si="137"/>
        <v>1.009999999999998</v>
      </c>
      <c r="O740" s="17">
        <f t="shared" si="138"/>
        <v>1.370000000000001</v>
      </c>
      <c r="P740" s="17">
        <f t="shared" si="139"/>
        <v>2.8099999999999987</v>
      </c>
      <c r="Q740" s="17">
        <f t="shared" si="140"/>
        <v>-0.70802255995861829</v>
      </c>
      <c r="R740" s="17">
        <f t="shared" si="133"/>
        <v>-1.5420414861414871</v>
      </c>
      <c r="S740" s="17">
        <f t="shared" si="134"/>
        <v>-2.4495511535229331</v>
      </c>
      <c r="T740" s="17">
        <f t="shared" si="135"/>
        <v>-1.9503315259612672</v>
      </c>
      <c r="U740" s="16">
        <v>0</v>
      </c>
      <c r="V740" s="16">
        <v>0</v>
      </c>
      <c r="W740" s="16">
        <v>0</v>
      </c>
      <c r="X740" s="16">
        <v>0</v>
      </c>
      <c r="Y740" s="15">
        <v>0.46800000000000003</v>
      </c>
      <c r="Z740" s="15">
        <v>0.58699999999999997</v>
      </c>
      <c r="AA740" s="15">
        <v>0.70699999999999996</v>
      </c>
      <c r="AB740" s="15">
        <v>0.80100000000000005</v>
      </c>
      <c r="AC740" s="3">
        <f t="shared" si="141"/>
        <v>0.17459695496229341</v>
      </c>
      <c r="AD740" s="3">
        <f t="shared" si="142"/>
        <v>0.16218895139093054</v>
      </c>
      <c r="AE740" s="3">
        <f t="shared" si="143"/>
        <v>0.22785186862197523</v>
      </c>
      <c r="AF740" s="3">
        <f t="shared" si="144"/>
        <v>0.19983000478250196</v>
      </c>
    </row>
    <row r="741" spans="1:32" x14ac:dyDescent="0.2">
      <c r="A741" s="30">
        <v>739</v>
      </c>
      <c r="B741" s="9" t="s">
        <v>1391</v>
      </c>
      <c r="C741" s="12">
        <v>555703204</v>
      </c>
      <c r="D741" s="13" t="s">
        <v>740</v>
      </c>
      <c r="E741" s="17">
        <v>120.967498257</v>
      </c>
      <c r="F741" s="17">
        <v>33.103943957799999</v>
      </c>
      <c r="G741" s="14">
        <v>1976</v>
      </c>
      <c r="H741" s="17">
        <v>12.83</v>
      </c>
      <c r="I741" s="17">
        <v>15.58</v>
      </c>
      <c r="J741" s="17">
        <v>16.29</v>
      </c>
      <c r="K741" s="17">
        <v>17.850000000000001</v>
      </c>
      <c r="L741" s="17">
        <v>20.25</v>
      </c>
      <c r="M741" s="17">
        <f t="shared" si="136"/>
        <v>2.75</v>
      </c>
      <c r="N741" s="17">
        <f t="shared" si="137"/>
        <v>3.4599999999999991</v>
      </c>
      <c r="O741" s="17">
        <f t="shared" si="138"/>
        <v>5.0200000000000014</v>
      </c>
      <c r="P741" s="17">
        <f t="shared" si="139"/>
        <v>7.42</v>
      </c>
      <c r="Q741" s="17">
        <f t="shared" si="140"/>
        <v>2.3013502011475295</v>
      </c>
      <c r="R741" s="17">
        <f t="shared" si="133"/>
        <v>1.9072138456402012</v>
      </c>
      <c r="S741" s="17">
        <f t="shared" si="134"/>
        <v>1.7890273467565123</v>
      </c>
      <c r="T741" s="17">
        <f t="shared" si="135"/>
        <v>2.7157960776834087</v>
      </c>
      <c r="U741" s="16">
        <v>47</v>
      </c>
      <c r="V741" s="16">
        <v>62</v>
      </c>
      <c r="W741" s="16">
        <v>73</v>
      </c>
      <c r="X741" s="16">
        <v>80</v>
      </c>
      <c r="Y741" s="15">
        <v>0.42599999999999999</v>
      </c>
      <c r="Z741" s="15">
        <v>0.54800000000000004</v>
      </c>
      <c r="AA741" s="15">
        <v>0.69599999999999995</v>
      </c>
      <c r="AB741" s="15">
        <v>0.81</v>
      </c>
      <c r="AC741" s="3">
        <f t="shared" si="141"/>
        <v>-0.21351144221048574</v>
      </c>
      <c r="AD741" s="3">
        <f t="shared" si="142"/>
        <v>-0.18777421646544273</v>
      </c>
      <c r="AE741" s="3">
        <f t="shared" si="143"/>
        <v>0.13728613995536532</v>
      </c>
      <c r="AF741" s="3">
        <f t="shared" si="144"/>
        <v>0.27376099082749922</v>
      </c>
    </row>
    <row r="742" spans="1:32" x14ac:dyDescent="0.2">
      <c r="A742" s="30">
        <v>740</v>
      </c>
      <c r="B742" s="9" t="s">
        <v>917</v>
      </c>
      <c r="C742" s="12">
        <v>555703392</v>
      </c>
      <c r="D742" s="13" t="s">
        <v>741</v>
      </c>
      <c r="E742" s="17">
        <v>-89.765037164199995</v>
      </c>
      <c r="F742" s="17">
        <v>13.482463682600001</v>
      </c>
      <c r="G742" s="14">
        <v>232</v>
      </c>
      <c r="H742" s="17">
        <v>26.76</v>
      </c>
      <c r="I742" s="17">
        <v>27.63</v>
      </c>
      <c r="J742" s="17">
        <v>28.95</v>
      </c>
      <c r="K742" s="17">
        <v>30.46</v>
      </c>
      <c r="L742" s="17">
        <v>30.95</v>
      </c>
      <c r="M742" s="17">
        <f t="shared" si="136"/>
        <v>0.86999999999999744</v>
      </c>
      <c r="N742" s="17">
        <f t="shared" si="137"/>
        <v>2.1899999999999977</v>
      </c>
      <c r="O742" s="17">
        <f t="shared" si="138"/>
        <v>3.6999999999999993</v>
      </c>
      <c r="P742" s="17">
        <f t="shared" si="139"/>
        <v>4.1899999999999977</v>
      </c>
      <c r="Q742" s="17">
        <f t="shared" si="140"/>
        <v>1.0815467997906733E-2</v>
      </c>
      <c r="R742" s="17">
        <f t="shared" si="133"/>
        <v>0.11923251039010045</v>
      </c>
      <c r="S742" s="17">
        <f t="shared" si="134"/>
        <v>0.25617156035408045</v>
      </c>
      <c r="T742" s="17">
        <f t="shared" si="135"/>
        <v>-0.55352977042338303</v>
      </c>
      <c r="U742" s="16">
        <v>1</v>
      </c>
      <c r="V742" s="16">
        <v>1</v>
      </c>
      <c r="W742" s="16">
        <v>1</v>
      </c>
      <c r="X742" s="16">
        <v>1</v>
      </c>
      <c r="Y742" s="15">
        <v>0.504</v>
      </c>
      <c r="Z742" s="15">
        <v>0.61</v>
      </c>
      <c r="AA742" s="15">
        <v>0.74399999999999999</v>
      </c>
      <c r="AB742" s="15">
        <v>0.81799999999999995</v>
      </c>
      <c r="AC742" s="3">
        <f t="shared" si="141"/>
        <v>0.50726129539610365</v>
      </c>
      <c r="AD742" s="3">
        <f t="shared" si="142"/>
        <v>0.36857748628058717</v>
      </c>
      <c r="AE742" s="3">
        <f t="shared" si="143"/>
        <v>0.53248204686420852</v>
      </c>
      <c r="AF742" s="3">
        <f t="shared" si="144"/>
        <v>0.33947742286749588</v>
      </c>
    </row>
    <row r="743" spans="1:32" x14ac:dyDescent="0.2">
      <c r="A743" s="30">
        <v>741</v>
      </c>
      <c r="B743" s="9" t="s">
        <v>1258</v>
      </c>
      <c r="C743" s="12">
        <v>555703541</v>
      </c>
      <c r="D743" s="13" t="s">
        <v>742</v>
      </c>
      <c r="E743" s="17">
        <v>54.958457520300001</v>
      </c>
      <c r="F743" s="17">
        <v>24.9494317009</v>
      </c>
      <c r="G743" s="14">
        <v>53</v>
      </c>
      <c r="H743" s="17">
        <v>25.41</v>
      </c>
      <c r="I743" s="17">
        <v>27.18</v>
      </c>
      <c r="J743" s="17">
        <v>27.8</v>
      </c>
      <c r="K743" s="17">
        <v>29.99</v>
      </c>
      <c r="L743" s="17">
        <v>32.049999999999997</v>
      </c>
      <c r="M743" s="17">
        <f t="shared" si="136"/>
        <v>1.7699999999999996</v>
      </c>
      <c r="N743" s="17">
        <f t="shared" si="137"/>
        <v>2.3900000000000006</v>
      </c>
      <c r="O743" s="17">
        <f t="shared" si="138"/>
        <v>4.5799999999999983</v>
      </c>
      <c r="P743" s="17">
        <f t="shared" si="139"/>
        <v>6.639999999999997</v>
      </c>
      <c r="Q743" s="17">
        <f t="shared" si="140"/>
        <v>1.1073480530163442</v>
      </c>
      <c r="R743" s="17">
        <f t="shared" si="133"/>
        <v>0.40080437420901766</v>
      </c>
      <c r="S743" s="17">
        <f t="shared" si="134"/>
        <v>1.278075417955699</v>
      </c>
      <c r="T743" s="17">
        <f t="shared" si="135"/>
        <v>1.9262994332489489</v>
      </c>
      <c r="U743" s="16">
        <v>2</v>
      </c>
      <c r="V743" s="16">
        <v>2</v>
      </c>
      <c r="W743" s="16">
        <v>8</v>
      </c>
      <c r="X743" s="16">
        <v>8</v>
      </c>
      <c r="Y743" s="15">
        <v>0.35399999999999998</v>
      </c>
      <c r="Z743" s="15">
        <v>0.48</v>
      </c>
      <c r="AA743" s="15">
        <v>0.61399999999999999</v>
      </c>
      <c r="AB743" s="15">
        <v>0.73099999999999998</v>
      </c>
      <c r="AC743" s="3">
        <f t="shared" si="141"/>
        <v>-0.87884012307810666</v>
      </c>
      <c r="AD743" s="3">
        <f t="shared" si="142"/>
        <v>-0.79796640657399276</v>
      </c>
      <c r="AE743" s="3">
        <f t="shared" si="143"/>
        <v>-0.53784020101390762</v>
      </c>
      <c r="AF743" s="3">
        <f t="shared" si="144"/>
        <v>-0.37518877556747687</v>
      </c>
    </row>
    <row r="744" spans="1:32" x14ac:dyDescent="0.2">
      <c r="A744" s="30">
        <v>742</v>
      </c>
      <c r="B744" s="9" t="s">
        <v>1259</v>
      </c>
      <c r="C744" s="12">
        <v>555705849</v>
      </c>
      <c r="D744" s="13" t="s">
        <v>743</v>
      </c>
      <c r="E744" s="17">
        <v>-7.9013875662300004E-2</v>
      </c>
      <c r="F744" s="17">
        <v>50.868392560300002</v>
      </c>
      <c r="G744" s="14">
        <v>22</v>
      </c>
      <c r="H744" s="17">
        <v>12.06</v>
      </c>
      <c r="I744" s="17">
        <v>11.58</v>
      </c>
      <c r="J744" s="17">
        <v>13.18</v>
      </c>
      <c r="K744" s="17">
        <v>15.18</v>
      </c>
      <c r="L744" s="17">
        <v>16.440000000000001</v>
      </c>
      <c r="M744" s="17">
        <f t="shared" si="136"/>
        <v>-0.48000000000000043</v>
      </c>
      <c r="N744" s="17">
        <f t="shared" si="137"/>
        <v>1.1199999999999992</v>
      </c>
      <c r="O744" s="17">
        <f t="shared" si="138"/>
        <v>3.1199999999999992</v>
      </c>
      <c r="P744" s="17">
        <f t="shared" si="139"/>
        <v>4.3800000000000008</v>
      </c>
      <c r="Q744" s="17">
        <f t="shared" si="140"/>
        <v>-1.633983409529743</v>
      </c>
      <c r="R744" s="17">
        <f t="shared" si="133"/>
        <v>-1.3871769610410831</v>
      </c>
      <c r="S744" s="17">
        <f t="shared" si="134"/>
        <v>-0.417355982156078</v>
      </c>
      <c r="T744" s="17">
        <f t="shared" si="135"/>
        <v>-0.3612164852406276</v>
      </c>
      <c r="U744" s="16">
        <v>1</v>
      </c>
      <c r="V744" s="16">
        <v>1</v>
      </c>
      <c r="W744" s="16">
        <v>1</v>
      </c>
      <c r="X744" s="16">
        <v>1</v>
      </c>
      <c r="Y744" s="15">
        <v>0.45250000000000001</v>
      </c>
      <c r="Z744" s="15">
        <v>0.57799999999999996</v>
      </c>
      <c r="AA744" s="15">
        <v>0.66725000000000001</v>
      </c>
      <c r="AB744" s="15">
        <v>0.77524999999999999</v>
      </c>
      <c r="AC744" s="3">
        <f t="shared" si="141"/>
        <v>3.1366475053291591E-2</v>
      </c>
      <c r="AD744" s="3">
        <f t="shared" si="142"/>
        <v>8.1428220347151858E-2</v>
      </c>
      <c r="AE744" s="3">
        <f t="shared" si="143"/>
        <v>-9.9419741786909904E-2</v>
      </c>
      <c r="AF744" s="3">
        <f t="shared" si="144"/>
        <v>-1.1694760846240479E-2</v>
      </c>
    </row>
    <row r="745" spans="1:32" x14ac:dyDescent="0.2">
      <c r="A745" s="30">
        <v>743</v>
      </c>
      <c r="B745" s="9" t="s">
        <v>1260</v>
      </c>
      <c r="C745" s="12">
        <v>555705850</v>
      </c>
      <c r="D745" s="13" t="s">
        <v>744</v>
      </c>
      <c r="E745" s="17">
        <v>-1.18942728669</v>
      </c>
      <c r="F745" s="17">
        <v>50.670064345</v>
      </c>
      <c r="G745" s="14">
        <v>256</v>
      </c>
      <c r="H745" s="17">
        <v>12.04</v>
      </c>
      <c r="I745" s="17">
        <v>11.58</v>
      </c>
      <c r="J745" s="17">
        <v>13.05</v>
      </c>
      <c r="K745" s="17">
        <v>14.99</v>
      </c>
      <c r="L745" s="17">
        <v>16.260000000000002</v>
      </c>
      <c r="M745" s="17">
        <f t="shared" si="136"/>
        <v>-0.45999999999999908</v>
      </c>
      <c r="N745" s="17">
        <f t="shared" si="137"/>
        <v>1.0100000000000016</v>
      </c>
      <c r="O745" s="17">
        <f t="shared" si="138"/>
        <v>2.9500000000000011</v>
      </c>
      <c r="P745" s="17">
        <f t="shared" si="139"/>
        <v>4.2200000000000024</v>
      </c>
      <c r="Q745" s="17">
        <f t="shared" si="140"/>
        <v>-1.609616018751554</v>
      </c>
      <c r="R745" s="17">
        <f t="shared" si="133"/>
        <v>-1.5420414861414822</v>
      </c>
      <c r="S745" s="17">
        <f t="shared" si="134"/>
        <v>-0.61476922737457051</v>
      </c>
      <c r="T745" s="17">
        <f t="shared" si="135"/>
        <v>-0.52316451486820681</v>
      </c>
      <c r="U745" s="16">
        <v>0</v>
      </c>
      <c r="V745" s="16">
        <v>0</v>
      </c>
      <c r="W745" s="16">
        <v>0</v>
      </c>
      <c r="X745" s="16">
        <v>0</v>
      </c>
      <c r="Y745" s="15">
        <v>0.42849999999999999</v>
      </c>
      <c r="Z745" s="15">
        <v>0.55249999999999999</v>
      </c>
      <c r="AA745" s="15">
        <v>0.64200000000000002</v>
      </c>
      <c r="AB745" s="15">
        <v>0.74399999999999999</v>
      </c>
      <c r="AC745" s="3">
        <f t="shared" si="141"/>
        <v>-0.19040975190258222</v>
      </c>
      <c r="AD745" s="3">
        <f t="shared" si="142"/>
        <v>-0.14739385094355389</v>
      </c>
      <c r="AE745" s="3">
        <f t="shared" si="143"/>
        <v>-0.30730925531708242</v>
      </c>
      <c r="AF745" s="3">
        <f t="shared" si="144"/>
        <v>-0.26839957350248078</v>
      </c>
    </row>
    <row r="746" spans="1:32" x14ac:dyDescent="0.2">
      <c r="A746" s="30">
        <v>744</v>
      </c>
      <c r="B746" s="9" t="s">
        <v>1261</v>
      </c>
      <c r="C746" s="12">
        <v>555705851</v>
      </c>
      <c r="D746" s="13" t="s">
        <v>745</v>
      </c>
      <c r="E746" s="17">
        <v>-4.43314103246</v>
      </c>
      <c r="F746" s="17">
        <v>54.3043685162</v>
      </c>
      <c r="G746" s="14">
        <v>334</v>
      </c>
      <c r="H746" s="17">
        <v>10.66</v>
      </c>
      <c r="I746" s="17">
        <v>10.52</v>
      </c>
      <c r="J746" s="17">
        <v>11.74</v>
      </c>
      <c r="K746" s="17">
        <v>13.19</v>
      </c>
      <c r="L746" s="17">
        <v>14.42</v>
      </c>
      <c r="M746" s="17">
        <f t="shared" si="136"/>
        <v>-0.14000000000000057</v>
      </c>
      <c r="N746" s="17">
        <f t="shared" si="137"/>
        <v>1.08</v>
      </c>
      <c r="O746" s="17">
        <f t="shared" si="138"/>
        <v>2.5299999999999994</v>
      </c>
      <c r="P746" s="17">
        <f t="shared" si="139"/>
        <v>3.76</v>
      </c>
      <c r="Q746" s="17">
        <f t="shared" si="140"/>
        <v>-1.2197377663005566</v>
      </c>
      <c r="R746" s="17">
        <f t="shared" si="133"/>
        <v>-1.4434913338048647</v>
      </c>
      <c r="S746" s="17">
        <f t="shared" si="134"/>
        <v>-1.1024960685026182</v>
      </c>
      <c r="T746" s="17">
        <f t="shared" si="135"/>
        <v>-0.98876510004750462</v>
      </c>
      <c r="U746" s="16">
        <v>1</v>
      </c>
      <c r="V746" s="16">
        <v>1</v>
      </c>
      <c r="W746" s="16">
        <v>3</v>
      </c>
      <c r="X746" s="16">
        <v>3</v>
      </c>
      <c r="Y746" s="15">
        <v>0.35149999999999998</v>
      </c>
      <c r="Z746" s="15">
        <v>0.46400000000000002</v>
      </c>
      <c r="AA746" s="15">
        <v>0.54849999999999999</v>
      </c>
      <c r="AB746" s="15">
        <v>0.64200000000000002</v>
      </c>
      <c r="AC746" s="3">
        <f t="shared" si="141"/>
        <v>-0.90194181338601009</v>
      </c>
      <c r="AD746" s="3">
        <f t="shared" si="142"/>
        <v>-0.94154103954070989</v>
      </c>
      <c r="AE746" s="3">
        <f t="shared" si="143"/>
        <v>-1.0771179489832663</v>
      </c>
      <c r="AF746" s="3">
        <f t="shared" si="144"/>
        <v>-1.1062840820124491</v>
      </c>
    </row>
    <row r="747" spans="1:32" x14ac:dyDescent="0.2">
      <c r="A747" s="30">
        <v>745</v>
      </c>
      <c r="B747" s="9" t="s">
        <v>1392</v>
      </c>
      <c r="C747" s="12">
        <v>555720804</v>
      </c>
      <c r="D747" s="13" t="s">
        <v>746</v>
      </c>
      <c r="E747" s="17">
        <v>141.524373002</v>
      </c>
      <c r="F747" s="17">
        <v>38.680378071299998</v>
      </c>
      <c r="G747" s="14">
        <v>116</v>
      </c>
      <c r="H747" s="17">
        <v>10.94</v>
      </c>
      <c r="I747" s="17">
        <v>12.07</v>
      </c>
      <c r="J747" s="17">
        <v>13.57</v>
      </c>
      <c r="K747" s="17">
        <v>14.31</v>
      </c>
      <c r="L747" s="17">
        <v>16.829999999999998</v>
      </c>
      <c r="M747" s="17">
        <f t="shared" si="136"/>
        <v>1.1300000000000008</v>
      </c>
      <c r="N747" s="17">
        <f t="shared" si="137"/>
        <v>2.6300000000000008</v>
      </c>
      <c r="O747" s="17">
        <f t="shared" si="138"/>
        <v>3.370000000000001</v>
      </c>
      <c r="P747" s="17">
        <f t="shared" si="139"/>
        <v>5.8899999999999988</v>
      </c>
      <c r="Q747" s="17">
        <f t="shared" si="140"/>
        <v>0.32759154811434754</v>
      </c>
      <c r="R747" s="17">
        <f t="shared" si="133"/>
        <v>0.73869061079171383</v>
      </c>
      <c r="S747" s="17">
        <f t="shared" si="134"/>
        <v>-0.12704238624652492</v>
      </c>
      <c r="T747" s="17">
        <f t="shared" si="135"/>
        <v>1.167168044369665</v>
      </c>
      <c r="U747" s="16">
        <v>1</v>
      </c>
      <c r="V747" s="16">
        <v>1</v>
      </c>
      <c r="W747" s="16">
        <v>1</v>
      </c>
      <c r="X747" s="16">
        <v>1</v>
      </c>
      <c r="Y747" s="15">
        <v>0.883666666667</v>
      </c>
      <c r="Z747" s="15">
        <v>1.0226666666699999</v>
      </c>
      <c r="AA747" s="15">
        <v>1.2183333333299999</v>
      </c>
      <c r="AB747" s="15">
        <v>1.34066666667</v>
      </c>
      <c r="AC747" s="3">
        <f t="shared" si="141"/>
        <v>4.0156379968261291</v>
      </c>
      <c r="AD747" s="3">
        <f t="shared" si="142"/>
        <v>4.071606561577088</v>
      </c>
      <c r="AE747" s="3">
        <f t="shared" si="143"/>
        <v>4.437786043581788</v>
      </c>
      <c r="AF747" s="3">
        <f t="shared" si="144"/>
        <v>4.6329509828413826</v>
      </c>
    </row>
    <row r="748" spans="1:32" x14ac:dyDescent="0.2">
      <c r="A748" s="30">
        <v>746</v>
      </c>
      <c r="B748" s="9" t="s">
        <v>918</v>
      </c>
      <c r="C748" s="12">
        <v>555721652</v>
      </c>
      <c r="D748" s="13" t="s">
        <v>747</v>
      </c>
      <c r="E748" s="17">
        <v>-84.091495777399999</v>
      </c>
      <c r="F748" s="17">
        <v>9.2901449202500004</v>
      </c>
      <c r="G748" s="14">
        <v>502</v>
      </c>
      <c r="H748" s="17">
        <v>26.92</v>
      </c>
      <c r="I748" s="17">
        <v>27.55</v>
      </c>
      <c r="J748" s="17">
        <v>28.87</v>
      </c>
      <c r="K748" s="17">
        <v>30.26</v>
      </c>
      <c r="L748" s="17">
        <v>31.17</v>
      </c>
      <c r="M748" s="17">
        <f t="shared" si="136"/>
        <v>0.62999999999999901</v>
      </c>
      <c r="N748" s="17">
        <f t="shared" si="137"/>
        <v>1.9499999999999993</v>
      </c>
      <c r="O748" s="17">
        <f t="shared" si="138"/>
        <v>3.34</v>
      </c>
      <c r="P748" s="17">
        <f t="shared" si="139"/>
        <v>4.25</v>
      </c>
      <c r="Q748" s="17">
        <f t="shared" si="140"/>
        <v>-0.28159322134034065</v>
      </c>
      <c r="R748" s="17">
        <f t="shared" si="133"/>
        <v>-0.21865372619259321</v>
      </c>
      <c r="S748" s="17">
        <f t="shared" si="134"/>
        <v>-0.16188001775567235</v>
      </c>
      <c r="T748" s="17">
        <f t="shared" si="135"/>
        <v>-0.49279925931303786</v>
      </c>
      <c r="U748" s="16">
        <v>3</v>
      </c>
      <c r="V748" s="16">
        <v>4</v>
      </c>
      <c r="W748" s="16">
        <v>5</v>
      </c>
      <c r="X748" s="16">
        <v>6</v>
      </c>
      <c r="Y748" s="15">
        <v>0.5</v>
      </c>
      <c r="Z748" s="15">
        <v>0.60499999999999998</v>
      </c>
      <c r="AA748" s="15">
        <v>0.74</v>
      </c>
      <c r="AB748" s="15">
        <v>0.81599999999999995</v>
      </c>
      <c r="AC748" s="3">
        <f t="shared" si="141"/>
        <v>0.47029859090345799</v>
      </c>
      <c r="AD748" s="3">
        <f t="shared" si="142"/>
        <v>0.32371041347848789</v>
      </c>
      <c r="AE748" s="3">
        <f t="shared" si="143"/>
        <v>0.49954905462180499</v>
      </c>
      <c r="AF748" s="3">
        <f t="shared" si="144"/>
        <v>0.32304831485749652</v>
      </c>
    </row>
    <row r="749" spans="1:32" x14ac:dyDescent="0.2">
      <c r="A749" s="30">
        <v>747</v>
      </c>
      <c r="B749" s="9" t="s">
        <v>1400</v>
      </c>
      <c r="C749" s="12">
        <v>2</v>
      </c>
      <c r="D749" s="13" t="s">
        <v>748</v>
      </c>
      <c r="E749" s="17">
        <v>121.16005908699999</v>
      </c>
      <c r="F749" s="17">
        <v>38.820369411900003</v>
      </c>
      <c r="G749" s="14">
        <v>47</v>
      </c>
      <c r="H749" s="17">
        <v>9.33</v>
      </c>
      <c r="I749" s="17">
        <v>11.4</v>
      </c>
      <c r="J749" s="17">
        <v>13.29</v>
      </c>
      <c r="K749" s="17">
        <v>14.55</v>
      </c>
      <c r="L749" s="17">
        <v>16.670000000000002</v>
      </c>
      <c r="M749" s="17">
        <f t="shared" si="136"/>
        <v>2.0700000000000003</v>
      </c>
      <c r="N749" s="17">
        <f t="shared" si="137"/>
        <v>3.9599999999999991</v>
      </c>
      <c r="O749" s="17">
        <f t="shared" si="138"/>
        <v>5.2200000000000006</v>
      </c>
      <c r="P749" s="17">
        <f t="shared" si="139"/>
        <v>7.3400000000000016</v>
      </c>
      <c r="Q749" s="17">
        <f t="shared" si="140"/>
        <v>1.4728589146891569</v>
      </c>
      <c r="R749" s="17">
        <f t="shared" si="133"/>
        <v>2.6111435051874845</v>
      </c>
      <c r="S749" s="17">
        <f t="shared" si="134"/>
        <v>2.0212782234841522</v>
      </c>
      <c r="T749" s="17">
        <f t="shared" si="135"/>
        <v>2.63482206286962</v>
      </c>
      <c r="U749" s="16">
        <v>0</v>
      </c>
      <c r="V749" s="16">
        <v>0</v>
      </c>
      <c r="W749" s="16">
        <v>0</v>
      </c>
      <c r="X749" s="16">
        <v>1</v>
      </c>
      <c r="Y749" s="15">
        <v>0.41099999999999998</v>
      </c>
      <c r="Z749" s="15">
        <v>0.53800000000000003</v>
      </c>
      <c r="AA749" s="15">
        <v>0.68799999999999994</v>
      </c>
      <c r="AB749" s="15">
        <v>0.80500000000000005</v>
      </c>
      <c r="AC749" s="3">
        <f t="shared" si="141"/>
        <v>-0.35212158405790683</v>
      </c>
      <c r="AD749" s="3">
        <f t="shared" si="142"/>
        <v>-0.27750836206964125</v>
      </c>
      <c r="AE749" s="3">
        <f t="shared" si="143"/>
        <v>7.1420155470558105E-2</v>
      </c>
      <c r="AF749" s="3">
        <f t="shared" si="144"/>
        <v>0.23268822080250073</v>
      </c>
    </row>
    <row r="750" spans="1:32" x14ac:dyDescent="0.2">
      <c r="A750" s="30">
        <v>748</v>
      </c>
      <c r="B750" s="9" t="s">
        <v>1293</v>
      </c>
      <c r="C750" s="12">
        <v>67785</v>
      </c>
      <c r="D750" s="13" t="s">
        <v>749</v>
      </c>
      <c r="E750" s="17">
        <v>151.77454754600001</v>
      </c>
      <c r="F750" s="17">
        <v>-32.845600161199997</v>
      </c>
      <c r="G750" s="14">
        <v>21</v>
      </c>
      <c r="H750" s="33">
        <v>17.412006000000002</v>
      </c>
      <c r="I750" s="33">
        <v>19.248488999999999</v>
      </c>
      <c r="J750" s="33">
        <v>20.675920999999999</v>
      </c>
      <c r="K750" s="33">
        <v>23.254559</v>
      </c>
      <c r="L750" s="33">
        <v>24.158259999999999</v>
      </c>
      <c r="M750" s="17">
        <f t="shared" si="136"/>
        <v>1.8364829999999976</v>
      </c>
      <c r="N750" s="17">
        <f t="shared" si="137"/>
        <v>3.2639149999999972</v>
      </c>
      <c r="O750" s="17">
        <f t="shared" si="138"/>
        <v>5.8425529999999988</v>
      </c>
      <c r="P750" s="17">
        <f t="shared" si="139"/>
        <v>6.7462539999999969</v>
      </c>
      <c r="Q750" s="17">
        <f t="shared" si="140"/>
        <v>1.1883489150716537</v>
      </c>
      <c r="R750" s="17">
        <f t="shared" si="133"/>
        <v>1.6311537510555407</v>
      </c>
      <c r="S750" s="17">
        <f t="shared" si="134"/>
        <v>2.7442206237812652</v>
      </c>
      <c r="T750" s="17">
        <f t="shared" si="135"/>
        <v>2.0338470953742549</v>
      </c>
      <c r="U750" s="16">
        <v>2</v>
      </c>
      <c r="V750" s="16">
        <v>2</v>
      </c>
      <c r="W750" s="16">
        <v>2</v>
      </c>
      <c r="X750" s="16">
        <v>2</v>
      </c>
      <c r="Y750" s="15">
        <v>0.43719999999999998</v>
      </c>
      <c r="Z750" s="15">
        <v>0.57679999999999998</v>
      </c>
      <c r="AA750" s="15">
        <v>0.7218</v>
      </c>
      <c r="AB750" s="15">
        <v>0.82799999999999996</v>
      </c>
      <c r="AC750" s="3">
        <f t="shared" si="141"/>
        <v>-0.11001586963107816</v>
      </c>
      <c r="AD750" s="3">
        <f t="shared" si="142"/>
        <v>7.0660122874648235E-2</v>
      </c>
      <c r="AE750" s="3">
        <f t="shared" si="143"/>
        <v>0.34970393991886872</v>
      </c>
      <c r="AF750" s="3">
        <f t="shared" si="144"/>
        <v>0.42162296291749285</v>
      </c>
    </row>
    <row r="751" spans="1:32" ht="15" customHeight="1" x14ac:dyDescent="0.2">
      <c r="A751" s="30">
        <v>749</v>
      </c>
      <c r="B751" s="9" t="s">
        <v>1389</v>
      </c>
      <c r="C751" s="12">
        <v>555629253</v>
      </c>
      <c r="D751" s="34">
        <v>555629253</v>
      </c>
      <c r="E751" s="17">
        <v>179.039358703</v>
      </c>
      <c r="F751" s="17">
        <v>-16.366859237900002</v>
      </c>
      <c r="G751" s="14">
        <v>1456</v>
      </c>
      <c r="H751" s="33">
        <v>25.009229999999999</v>
      </c>
      <c r="I751" s="33">
        <v>25.699991000000001</v>
      </c>
      <c r="J751" s="33">
        <v>26.55856</v>
      </c>
      <c r="K751" s="33">
        <v>27.664750000000002</v>
      </c>
      <c r="L751" s="33">
        <v>28.905507</v>
      </c>
      <c r="M751" s="17">
        <f t="shared" si="136"/>
        <v>0.69076100000000196</v>
      </c>
      <c r="N751" s="17">
        <f t="shared" si="137"/>
        <v>1.5493300000000012</v>
      </c>
      <c r="O751" s="17">
        <f t="shared" si="138"/>
        <v>2.6555200000000028</v>
      </c>
      <c r="P751" s="17">
        <f t="shared" si="139"/>
        <v>3.8962770000000013</v>
      </c>
      <c r="Q751" s="17">
        <f t="shared" si="140"/>
        <v>-0.20756386978666472</v>
      </c>
      <c r="R751" s="17">
        <f t="shared" si="133"/>
        <v>-0.78274071957421032</v>
      </c>
      <c r="S751" s="17">
        <f t="shared" si="134"/>
        <v>-0.95673541826834696</v>
      </c>
      <c r="T751" s="17">
        <f t="shared" si="135"/>
        <v>-0.85082890233776653</v>
      </c>
      <c r="U751" s="16">
        <v>15</v>
      </c>
      <c r="V751" s="16">
        <v>19</v>
      </c>
      <c r="W751" s="16">
        <v>19</v>
      </c>
      <c r="X751" s="16">
        <v>28</v>
      </c>
      <c r="Y751" s="15">
        <v>0.47899999999999998</v>
      </c>
      <c r="Z751" s="15">
        <v>0.60599999999999998</v>
      </c>
      <c r="AA751" s="15">
        <v>0.73</v>
      </c>
      <c r="AB751" s="15">
        <v>0.84</v>
      </c>
      <c r="AC751" s="3">
        <f t="shared" si="141"/>
        <v>0.27624439231706838</v>
      </c>
      <c r="AD751" s="3">
        <f t="shared" si="142"/>
        <v>0.33268382803890773</v>
      </c>
      <c r="AE751" s="3">
        <f t="shared" si="143"/>
        <v>0.41721657401579598</v>
      </c>
      <c r="AF751" s="3">
        <f t="shared" si="144"/>
        <v>0.52019761097748929</v>
      </c>
    </row>
    <row r="752" spans="1:32" x14ac:dyDescent="0.2">
      <c r="A752" s="30">
        <v>750</v>
      </c>
      <c r="B752" s="9" t="s">
        <v>1262</v>
      </c>
      <c r="C752" s="12">
        <v>555744966</v>
      </c>
      <c r="D752" s="13" t="s">
        <v>1525</v>
      </c>
      <c r="E752" s="17">
        <v>43.707676793200001</v>
      </c>
      <c r="F752" s="17">
        <v>-12.279911910199999</v>
      </c>
      <c r="G752" s="14">
        <v>35</v>
      </c>
      <c r="H752" s="33">
        <v>25.601268000000001</v>
      </c>
      <c r="I752" s="33">
        <v>26.576758999999999</v>
      </c>
      <c r="J752" s="33">
        <v>27.423928</v>
      </c>
      <c r="K752" s="33">
        <v>28.748080000000002</v>
      </c>
      <c r="L752" s="33">
        <v>29.839113000000001</v>
      </c>
      <c r="M752" s="17">
        <f t="shared" si="136"/>
        <v>0.97549099999999811</v>
      </c>
      <c r="N752" s="17">
        <f t="shared" si="137"/>
        <v>1.8226599999999991</v>
      </c>
      <c r="O752" s="17">
        <f t="shared" si="138"/>
        <v>3.1468120000000006</v>
      </c>
      <c r="P752" s="17">
        <f t="shared" si="139"/>
        <v>4.2378450000000001</v>
      </c>
      <c r="Q752" s="17">
        <f t="shared" si="140"/>
        <v>0.13934248902699611</v>
      </c>
      <c r="R752" s="17">
        <f t="shared" si="133"/>
        <v>-0.39793053188609556</v>
      </c>
      <c r="S752" s="17">
        <f t="shared" si="134"/>
        <v>-0.38622042962196884</v>
      </c>
      <c r="T752" s="17">
        <f t="shared" si="135"/>
        <v>-0.50510224868880804</v>
      </c>
      <c r="U752" s="16">
        <v>0</v>
      </c>
      <c r="V752" s="16">
        <v>0</v>
      </c>
      <c r="W752" s="16">
        <v>0</v>
      </c>
      <c r="X752" s="16">
        <v>0</v>
      </c>
      <c r="Y752" s="15">
        <v>0.51</v>
      </c>
      <c r="Z752" s="15">
        <v>0.63100000000000001</v>
      </c>
      <c r="AA752" s="15">
        <v>0.76400000000000001</v>
      </c>
      <c r="AB752" s="15">
        <v>0.85899999999999999</v>
      </c>
      <c r="AC752" s="3">
        <f t="shared" si="141"/>
        <v>0.56270535213507211</v>
      </c>
      <c r="AD752" s="3">
        <f t="shared" si="142"/>
        <v>0.55701919204940409</v>
      </c>
      <c r="AE752" s="3">
        <f t="shared" si="143"/>
        <v>0.69714700807622665</v>
      </c>
      <c r="AF752" s="3">
        <f t="shared" si="144"/>
        <v>0.67627413707248352</v>
      </c>
    </row>
    <row r="753" spans="1:32" x14ac:dyDescent="0.2">
      <c r="A753" s="30">
        <v>751</v>
      </c>
      <c r="B753" s="9" t="s">
        <v>1263</v>
      </c>
      <c r="C753" s="12">
        <v>555744966</v>
      </c>
      <c r="D753" s="13" t="s">
        <v>750</v>
      </c>
      <c r="E753" s="17">
        <v>43.703886296999997</v>
      </c>
      <c r="F753" s="17">
        <v>-12.3684518164</v>
      </c>
      <c r="G753" s="14">
        <v>11</v>
      </c>
      <c r="H753" s="33">
        <v>25.654201</v>
      </c>
      <c r="I753" s="33">
        <v>26.627977999999999</v>
      </c>
      <c r="J753" s="33">
        <v>27.466899000000002</v>
      </c>
      <c r="K753" s="33">
        <v>28.785461999999999</v>
      </c>
      <c r="L753" s="33">
        <v>29.875795</v>
      </c>
      <c r="M753" s="17">
        <f t="shared" si="136"/>
        <v>0.97377699999999834</v>
      </c>
      <c r="N753" s="17">
        <f t="shared" si="137"/>
        <v>1.812698000000001</v>
      </c>
      <c r="O753" s="17">
        <f t="shared" si="138"/>
        <v>3.1312609999999985</v>
      </c>
      <c r="P753" s="17">
        <f t="shared" si="139"/>
        <v>4.2215939999999996</v>
      </c>
      <c r="Q753" s="17">
        <f t="shared" si="140"/>
        <v>0.13725420363730573</v>
      </c>
      <c r="R753" s="17">
        <f t="shared" si="133"/>
        <v>-0.41195562642291289</v>
      </c>
      <c r="S753" s="17">
        <f t="shared" si="134"/>
        <v>-0.40427909654192901</v>
      </c>
      <c r="T753" s="17">
        <f t="shared" si="135"/>
        <v>-0.52155110762304491</v>
      </c>
      <c r="U753" s="16">
        <v>0</v>
      </c>
      <c r="V753" s="16">
        <v>0</v>
      </c>
      <c r="W753" s="16">
        <v>0</v>
      </c>
      <c r="X753" s="16">
        <v>0</v>
      </c>
      <c r="Y753" s="15">
        <v>0.51</v>
      </c>
      <c r="Z753" s="15">
        <v>0.63100000000000001</v>
      </c>
      <c r="AA753" s="15">
        <v>0.76400000000000001</v>
      </c>
      <c r="AB753" s="15">
        <v>0.85899999999999999</v>
      </c>
      <c r="AC753" s="3">
        <f t="shared" si="141"/>
        <v>0.56270535213507211</v>
      </c>
      <c r="AD753" s="3">
        <f t="shared" si="142"/>
        <v>0.55701919204940409</v>
      </c>
      <c r="AE753" s="3">
        <f t="shared" si="143"/>
        <v>0.69714700807622665</v>
      </c>
      <c r="AF753" s="3">
        <f t="shared" si="144"/>
        <v>0.67627413707248352</v>
      </c>
    </row>
    <row r="754" spans="1:32" x14ac:dyDescent="0.2">
      <c r="A754" s="30">
        <v>752</v>
      </c>
      <c r="B754" s="9" t="s">
        <v>1264</v>
      </c>
      <c r="C754" s="12">
        <v>555744966</v>
      </c>
      <c r="D754" s="13" t="s">
        <v>751</v>
      </c>
      <c r="E754" s="17">
        <v>43.872680910600003</v>
      </c>
      <c r="F754" s="17">
        <v>-12.3717211815</v>
      </c>
      <c r="G754" s="14">
        <v>9</v>
      </c>
      <c r="H754" s="33">
        <v>25.663367000000001</v>
      </c>
      <c r="I754" s="33">
        <v>26.648128</v>
      </c>
      <c r="J754" s="33">
        <v>27.472244</v>
      </c>
      <c r="K754" s="33">
        <v>28.782463</v>
      </c>
      <c r="L754" s="33">
        <v>29.880407999999999</v>
      </c>
      <c r="M754" s="17">
        <f t="shared" si="136"/>
        <v>0.98476099999999889</v>
      </c>
      <c r="N754" s="17">
        <f t="shared" si="137"/>
        <v>1.808876999999999</v>
      </c>
      <c r="O754" s="17">
        <f t="shared" si="138"/>
        <v>3.119095999999999</v>
      </c>
      <c r="P754" s="17">
        <f t="shared" si="139"/>
        <v>4.2170409999999983</v>
      </c>
      <c r="Q754" s="17">
        <f t="shared" si="140"/>
        <v>0.15063677465268696</v>
      </c>
      <c r="R754" s="17">
        <f t="shared" si="133"/>
        <v>-0.41733505688117611</v>
      </c>
      <c r="S754" s="17">
        <f t="shared" si="134"/>
        <v>-0.4184057561188872</v>
      </c>
      <c r="T754" s="17">
        <f t="shared" si="135"/>
        <v>-0.52615954124113617</v>
      </c>
      <c r="U754" s="16">
        <v>0</v>
      </c>
      <c r="V754" s="16">
        <v>0</v>
      </c>
      <c r="W754" s="16">
        <v>0</v>
      </c>
      <c r="X754" s="16">
        <v>0</v>
      </c>
      <c r="Y754" s="15">
        <v>0.51</v>
      </c>
      <c r="Z754" s="15">
        <v>0.63100000000000001</v>
      </c>
      <c r="AA754" s="15">
        <v>0.76400000000000001</v>
      </c>
      <c r="AB754" s="15">
        <v>0.85899999999999999</v>
      </c>
      <c r="AC754" s="3">
        <f t="shared" si="141"/>
        <v>0.56270535213507211</v>
      </c>
      <c r="AD754" s="3">
        <f t="shared" si="142"/>
        <v>0.55701919204940409</v>
      </c>
      <c r="AE754" s="3">
        <f t="shared" si="143"/>
        <v>0.69714700807622665</v>
      </c>
      <c r="AF754" s="3">
        <f t="shared" si="144"/>
        <v>0.67627413707248352</v>
      </c>
    </row>
    <row r="755" spans="1:32" x14ac:dyDescent="0.2">
      <c r="A755" s="30">
        <v>753</v>
      </c>
      <c r="B755" s="9" t="s">
        <v>1265</v>
      </c>
      <c r="C755" s="12">
        <v>555744966</v>
      </c>
      <c r="D755" s="13" t="s">
        <v>752</v>
      </c>
      <c r="E755" s="17">
        <v>43.636819085500001</v>
      </c>
      <c r="F755" s="17">
        <v>-12.323332456699999</v>
      </c>
      <c r="G755" s="14">
        <v>12</v>
      </c>
      <c r="H755" s="33">
        <v>25.632213</v>
      </c>
      <c r="I755" s="33">
        <v>26.602528</v>
      </c>
      <c r="J755" s="33">
        <v>27.449847999999999</v>
      </c>
      <c r="K755" s="33">
        <v>28.772891000000001</v>
      </c>
      <c r="L755" s="33">
        <v>29.860762000000001</v>
      </c>
      <c r="M755" s="17">
        <f t="shared" si="136"/>
        <v>0.97031499999999937</v>
      </c>
      <c r="N755" s="17">
        <f t="shared" si="137"/>
        <v>1.8176349999999992</v>
      </c>
      <c r="O755" s="17">
        <f t="shared" si="138"/>
        <v>3.1406780000000012</v>
      </c>
      <c r="P755" s="17">
        <f t="shared" si="139"/>
        <v>4.228549000000001</v>
      </c>
      <c r="Q755" s="17">
        <f t="shared" si="140"/>
        <v>0.13303620829360274</v>
      </c>
      <c r="R755" s="17">
        <f t="shared" si="133"/>
        <v>-0.40500502496454555</v>
      </c>
      <c r="S755" s="17">
        <f t="shared" si="134"/>
        <v>-0.3933435640112049</v>
      </c>
      <c r="T755" s="17">
        <f t="shared" si="135"/>
        <v>-0.51451142921016957</v>
      </c>
      <c r="U755" s="16">
        <v>0</v>
      </c>
      <c r="V755" s="16">
        <v>0</v>
      </c>
      <c r="W755" s="16">
        <v>0</v>
      </c>
      <c r="X755" s="16">
        <v>0</v>
      </c>
      <c r="Y755" s="15">
        <v>0.51</v>
      </c>
      <c r="Z755" s="15">
        <v>0.63100000000000001</v>
      </c>
      <c r="AA755" s="15">
        <v>0.76400000000000001</v>
      </c>
      <c r="AB755" s="15">
        <v>0.85899999999999999</v>
      </c>
      <c r="AC755" s="3">
        <f t="shared" si="141"/>
        <v>0.56270535213507211</v>
      </c>
      <c r="AD755" s="3">
        <f t="shared" si="142"/>
        <v>0.55701919204940409</v>
      </c>
      <c r="AE755" s="3">
        <f t="shared" si="143"/>
        <v>0.69714700807622665</v>
      </c>
      <c r="AF755" s="3">
        <f t="shared" si="144"/>
        <v>0.67627413707248352</v>
      </c>
    </row>
    <row r="756" spans="1:32" x14ac:dyDescent="0.2">
      <c r="A756" s="30">
        <v>754</v>
      </c>
      <c r="B756" s="9" t="s">
        <v>1266</v>
      </c>
      <c r="C756" s="12">
        <v>555744966</v>
      </c>
      <c r="D756" s="13" t="s">
        <v>753</v>
      </c>
      <c r="E756" s="17">
        <v>43.787392230999998</v>
      </c>
      <c r="F756" s="17">
        <v>-12.383336393900001</v>
      </c>
      <c r="G756" s="14">
        <v>6</v>
      </c>
      <c r="H756" s="33">
        <v>25.665389999999999</v>
      </c>
      <c r="I756" s="33">
        <v>26.644269999999999</v>
      </c>
      <c r="J756" s="33">
        <v>27.474757</v>
      </c>
      <c r="K756" s="33">
        <v>28.788422000000001</v>
      </c>
      <c r="L756" s="33">
        <v>29.882254</v>
      </c>
      <c r="M756" s="17">
        <f t="shared" si="136"/>
        <v>0.97888000000000019</v>
      </c>
      <c r="N756" s="17">
        <f t="shared" si="137"/>
        <v>1.8093670000000017</v>
      </c>
      <c r="O756" s="17">
        <f t="shared" si="138"/>
        <v>3.123032000000002</v>
      </c>
      <c r="P756" s="17">
        <f t="shared" si="139"/>
        <v>4.2168640000000011</v>
      </c>
      <c r="Q756" s="17">
        <f t="shared" si="140"/>
        <v>0.14347154339436252</v>
      </c>
      <c r="R756" s="17">
        <f t="shared" si="133"/>
        <v>-0.4166452058148159</v>
      </c>
      <c r="S756" s="17">
        <f t="shared" si="134"/>
        <v>-0.4138350588648837</v>
      </c>
      <c r="T756" s="17">
        <f t="shared" si="135"/>
        <v>-0.52633869624890883</v>
      </c>
      <c r="U756" s="16">
        <v>0</v>
      </c>
      <c r="V756" s="16">
        <v>0</v>
      </c>
      <c r="W756" s="16">
        <v>0</v>
      </c>
      <c r="X756" s="16">
        <v>0</v>
      </c>
      <c r="Y756" s="15">
        <v>0.51</v>
      </c>
      <c r="Z756" s="15">
        <v>0.63100000000000001</v>
      </c>
      <c r="AA756" s="15">
        <v>0.76400000000000001</v>
      </c>
      <c r="AB756" s="15">
        <v>0.85899999999999999</v>
      </c>
      <c r="AC756" s="3">
        <f t="shared" si="141"/>
        <v>0.56270535213507211</v>
      </c>
      <c r="AD756" s="3">
        <f t="shared" si="142"/>
        <v>0.55701919204940409</v>
      </c>
      <c r="AE756" s="3">
        <f t="shared" si="143"/>
        <v>0.69714700807622665</v>
      </c>
      <c r="AF756" s="3">
        <f t="shared" si="144"/>
        <v>0.67627413707248352</v>
      </c>
    </row>
    <row r="757" spans="1:32" x14ac:dyDescent="0.2">
      <c r="A757" s="30">
        <v>755</v>
      </c>
      <c r="B757" s="9" t="s">
        <v>1393</v>
      </c>
      <c r="C757" s="12">
        <v>1728</v>
      </c>
      <c r="D757" s="35">
        <v>39671057</v>
      </c>
      <c r="E757" s="17">
        <v>108.152844507</v>
      </c>
      <c r="F757" s="17">
        <v>21.576264089199999</v>
      </c>
      <c r="G757" s="14">
        <v>66</v>
      </c>
      <c r="H757" s="33">
        <v>20.412852000000001</v>
      </c>
      <c r="I757" s="33">
        <v>22.460159000000001</v>
      </c>
      <c r="J757" s="33">
        <v>23.370934999999999</v>
      </c>
      <c r="K757" s="33">
        <v>24.118378</v>
      </c>
      <c r="L757" s="33">
        <v>26.389875</v>
      </c>
      <c r="M757" s="17">
        <f t="shared" si="136"/>
        <v>2.047307</v>
      </c>
      <c r="N757" s="17">
        <f t="shared" si="137"/>
        <v>2.9580829999999985</v>
      </c>
      <c r="O757" s="17">
        <f t="shared" si="138"/>
        <v>3.705525999999999</v>
      </c>
      <c r="P757" s="17">
        <f t="shared" si="139"/>
        <v>5.9770229999999991</v>
      </c>
      <c r="Q757" s="17">
        <f t="shared" si="140"/>
        <v>1.4452104547426861</v>
      </c>
      <c r="R757" s="17">
        <f t="shared" si="133"/>
        <v>1.200585319778213</v>
      </c>
      <c r="S757" s="17">
        <f t="shared" si="134"/>
        <v>0.26258865207806481</v>
      </c>
      <c r="T757" s="17">
        <f t="shared" si="135"/>
        <v>1.2552505655089214</v>
      </c>
      <c r="U757" s="16">
        <v>2</v>
      </c>
      <c r="V757" s="16">
        <v>2</v>
      </c>
      <c r="W757" s="16">
        <v>2</v>
      </c>
      <c r="X757" s="16">
        <v>2</v>
      </c>
      <c r="Y757" s="15">
        <v>0.41399999999999998</v>
      </c>
      <c r="Z757" s="15">
        <v>0.54800000000000004</v>
      </c>
      <c r="AA757" s="15">
        <v>0.65800000000000003</v>
      </c>
      <c r="AB757" s="15">
        <v>0.75900000000000001</v>
      </c>
      <c r="AC757" s="3">
        <f t="shared" si="141"/>
        <v>-0.32439955568842266</v>
      </c>
      <c r="AD757" s="3">
        <f t="shared" si="142"/>
        <v>-0.18777421646544273</v>
      </c>
      <c r="AE757" s="3">
        <f t="shared" si="143"/>
        <v>-0.175577286347468</v>
      </c>
      <c r="AF757" s="3">
        <f t="shared" si="144"/>
        <v>-0.14518126342748533</v>
      </c>
    </row>
    <row r="758" spans="1:32" x14ac:dyDescent="0.2">
      <c r="A758" s="30">
        <v>756</v>
      </c>
      <c r="B758" s="9" t="s">
        <v>1394</v>
      </c>
      <c r="C758" s="12">
        <v>1727</v>
      </c>
      <c r="D758" s="35">
        <v>31144936</v>
      </c>
      <c r="E758" s="17">
        <v>115.364377936</v>
      </c>
      <c r="F758" s="17">
        <v>22.8554356868</v>
      </c>
      <c r="G758" s="14">
        <v>99</v>
      </c>
      <c r="H758" s="33">
        <v>20.540959000000001</v>
      </c>
      <c r="I758" s="33">
        <v>22.34665</v>
      </c>
      <c r="J758" s="33">
        <v>23.099706999999999</v>
      </c>
      <c r="K758" s="33">
        <v>23.867623999999999</v>
      </c>
      <c r="L758" s="33">
        <v>25.683413999999999</v>
      </c>
      <c r="M758" s="17">
        <f t="shared" si="136"/>
        <v>1.8056909999999995</v>
      </c>
      <c r="N758" s="17">
        <f t="shared" si="137"/>
        <v>2.5587479999999978</v>
      </c>
      <c r="O758" s="17">
        <f t="shared" si="138"/>
        <v>3.3266649999999984</v>
      </c>
      <c r="P758" s="17">
        <f t="shared" si="139"/>
        <v>5.1424549999999982</v>
      </c>
      <c r="Q758" s="17">
        <f t="shared" si="140"/>
        <v>1.1508328802295587</v>
      </c>
      <c r="R758" s="17">
        <f t="shared" si="133"/>
        <v>0.63837781858758358</v>
      </c>
      <c r="S758" s="17">
        <f t="shared" si="134"/>
        <v>-0.17736534496148948</v>
      </c>
      <c r="T758" s="17">
        <f t="shared" si="135"/>
        <v>0.41052154556997728</v>
      </c>
      <c r="U758" s="16">
        <v>4</v>
      </c>
      <c r="V758" s="16">
        <v>20</v>
      </c>
      <c r="W758" s="16">
        <v>27</v>
      </c>
      <c r="X758" s="16">
        <v>28</v>
      </c>
      <c r="Y758" s="15">
        <v>0.439</v>
      </c>
      <c r="Z758" s="15">
        <v>0.57699999999999996</v>
      </c>
      <c r="AA758" s="15">
        <v>0.69550000000000001</v>
      </c>
      <c r="AB758" s="15">
        <v>0.79749999999999999</v>
      </c>
      <c r="AC758" s="3">
        <f t="shared" si="141"/>
        <v>-9.3382652609387426E-2</v>
      </c>
      <c r="AD758" s="3">
        <f t="shared" si="142"/>
        <v>7.245480578673201E-2</v>
      </c>
      <c r="AE758" s="3">
        <f t="shared" si="143"/>
        <v>0.13316951592506532</v>
      </c>
      <c r="AF758" s="3">
        <f t="shared" si="144"/>
        <v>0.17107906576500256</v>
      </c>
    </row>
    <row r="759" spans="1:32" x14ac:dyDescent="0.2">
      <c r="A759" s="30">
        <v>757</v>
      </c>
      <c r="B759" s="9" t="s">
        <v>1395</v>
      </c>
      <c r="C759" s="12">
        <v>2506</v>
      </c>
      <c r="D759" s="35">
        <v>63392420</v>
      </c>
      <c r="E759" s="17">
        <v>119.65260216199999</v>
      </c>
      <c r="F759" s="17">
        <v>26.0380496778</v>
      </c>
      <c r="G759" s="14">
        <v>40</v>
      </c>
      <c r="H759" s="33">
        <v>17.962721999999999</v>
      </c>
      <c r="I759" s="33">
        <v>19.333048999999999</v>
      </c>
      <c r="J759" s="33">
        <v>20.278375</v>
      </c>
      <c r="K759" s="33">
        <v>21.070592999999999</v>
      </c>
      <c r="L759" s="33">
        <v>23.284043</v>
      </c>
      <c r="M759" s="17">
        <f t="shared" si="136"/>
        <v>1.3703269999999996</v>
      </c>
      <c r="N759" s="17">
        <f t="shared" si="137"/>
        <v>2.3156530000000011</v>
      </c>
      <c r="O759" s="17">
        <f t="shared" si="138"/>
        <v>3.1078709999999994</v>
      </c>
      <c r="P759" s="17">
        <f t="shared" si="139"/>
        <v>5.3213210000000011</v>
      </c>
      <c r="Q759" s="17">
        <f t="shared" si="140"/>
        <v>0.62039864429181879</v>
      </c>
      <c r="R759" s="17">
        <f t="shared" si="133"/>
        <v>0.29613425741229465</v>
      </c>
      <c r="S759" s="17">
        <f t="shared" si="134"/>
        <v>-0.43144083657522558</v>
      </c>
      <c r="T759" s="17">
        <f t="shared" si="135"/>
        <v>0.59156527224102318</v>
      </c>
      <c r="U759" s="16">
        <v>1</v>
      </c>
      <c r="V759" s="16">
        <v>1</v>
      </c>
      <c r="W759" s="16">
        <v>1</v>
      </c>
      <c r="X759" s="16">
        <v>1</v>
      </c>
      <c r="Y759" s="15">
        <v>0.432</v>
      </c>
      <c r="Z759" s="15">
        <v>0.56599999999999995</v>
      </c>
      <c r="AA759" s="15">
        <v>0.69799999999999995</v>
      </c>
      <c r="AB759" s="15">
        <v>0.81100000000000005</v>
      </c>
      <c r="AC759" s="3">
        <f t="shared" si="141"/>
        <v>-0.15806738547151727</v>
      </c>
      <c r="AD759" s="3">
        <f t="shared" si="142"/>
        <v>-2.6252754377886375E-2</v>
      </c>
      <c r="AE759" s="3">
        <f t="shared" si="143"/>
        <v>0.15375263607656711</v>
      </c>
      <c r="AF759" s="3">
        <f t="shared" si="144"/>
        <v>0.28197554483249893</v>
      </c>
    </row>
    <row r="760" spans="1:32" x14ac:dyDescent="0.2">
      <c r="A760" s="30">
        <v>758</v>
      </c>
      <c r="B760" s="9" t="s">
        <v>1396</v>
      </c>
      <c r="C760" s="12">
        <v>2504</v>
      </c>
      <c r="D760" s="35">
        <v>63445444</v>
      </c>
      <c r="E760" s="17">
        <v>113.339997055</v>
      </c>
      <c r="F760" s="17">
        <v>23.066732839699998</v>
      </c>
      <c r="G760" s="14">
        <v>6</v>
      </c>
      <c r="H760" s="33">
        <v>20.377728000000001</v>
      </c>
      <c r="I760" s="33">
        <v>22.683679000000001</v>
      </c>
      <c r="J760" s="33">
        <v>23.188027000000002</v>
      </c>
      <c r="K760" s="33">
        <v>23.928411000000001</v>
      </c>
      <c r="L760" s="33">
        <v>25.929772</v>
      </c>
      <c r="M760" s="17">
        <f t="shared" si="136"/>
        <v>2.3059510000000003</v>
      </c>
      <c r="N760" s="17">
        <f t="shared" si="137"/>
        <v>2.8102990000000005</v>
      </c>
      <c r="O760" s="17">
        <f t="shared" si="138"/>
        <v>3.5506829999999994</v>
      </c>
      <c r="P760" s="17">
        <f t="shared" si="139"/>
        <v>5.5520439999999986</v>
      </c>
      <c r="Q760" s="17">
        <f t="shared" si="140"/>
        <v>1.7603344257643621</v>
      </c>
      <c r="R760" s="17">
        <f t="shared" si="133"/>
        <v>0.99252623816514474</v>
      </c>
      <c r="S760" s="17">
        <f t="shared" si="134"/>
        <v>8.2776539552374837E-2</v>
      </c>
      <c r="T760" s="17">
        <f t="shared" si="135"/>
        <v>0.82509736748954787</v>
      </c>
      <c r="U760" s="16">
        <v>0</v>
      </c>
      <c r="V760" s="16">
        <v>0</v>
      </c>
      <c r="W760" s="16">
        <v>0</v>
      </c>
      <c r="X760" s="16">
        <v>0</v>
      </c>
      <c r="Y760" s="15">
        <v>0.41499999999999998</v>
      </c>
      <c r="Z760" s="15">
        <v>0.55200000000000005</v>
      </c>
      <c r="AA760" s="15">
        <v>0.66800000000000004</v>
      </c>
      <c r="AB760" s="15">
        <v>0.77</v>
      </c>
      <c r="AC760" s="3">
        <f t="shared" si="141"/>
        <v>-0.31515887956526123</v>
      </c>
      <c r="AD760" s="3">
        <f t="shared" si="142"/>
        <v>-0.15188055822376331</v>
      </c>
      <c r="AE760" s="3">
        <f t="shared" si="143"/>
        <v>-9.3244805741459005E-2</v>
      </c>
      <c r="AF760" s="3">
        <f t="shared" si="144"/>
        <v>-5.4821169372488661E-2</v>
      </c>
    </row>
    <row r="761" spans="1:32" x14ac:dyDescent="0.2">
      <c r="A761" s="30">
        <v>759</v>
      </c>
      <c r="B761" s="9" t="s">
        <v>1397</v>
      </c>
      <c r="C761" s="12">
        <v>2518</v>
      </c>
      <c r="D761" s="35">
        <v>6345930</v>
      </c>
      <c r="E761" s="17">
        <v>114.016331482</v>
      </c>
      <c r="F761" s="17">
        <v>22.521018708900002</v>
      </c>
      <c r="G761" s="14">
        <v>8</v>
      </c>
      <c r="H761" s="33">
        <v>20.868860999999999</v>
      </c>
      <c r="I761" s="33">
        <v>23.007380000000001</v>
      </c>
      <c r="J761" s="33">
        <v>23.734494999999999</v>
      </c>
      <c r="K761" s="33">
        <v>24.453959999999999</v>
      </c>
      <c r="L761" s="33">
        <v>26.289134000000001</v>
      </c>
      <c r="M761" s="17">
        <f t="shared" si="136"/>
        <v>2.1385190000000023</v>
      </c>
      <c r="N761" s="17">
        <f t="shared" si="137"/>
        <v>2.865634</v>
      </c>
      <c r="O761" s="17">
        <f t="shared" si="138"/>
        <v>3.5850989999999996</v>
      </c>
      <c r="P761" s="17">
        <f t="shared" si="139"/>
        <v>5.4202730000000017</v>
      </c>
      <c r="Q761" s="17">
        <f t="shared" si="140"/>
        <v>1.5563403771256905</v>
      </c>
      <c r="R761" s="17">
        <f t="shared" si="133"/>
        <v>1.0704301335872417</v>
      </c>
      <c r="S761" s="17">
        <f t="shared" si="134"/>
        <v>0.12274227041966752</v>
      </c>
      <c r="T761" s="17">
        <f t="shared" si="135"/>
        <v>0.69172203116420117</v>
      </c>
      <c r="U761" s="16">
        <v>0</v>
      </c>
      <c r="V761" s="16">
        <v>0</v>
      </c>
      <c r="W761" s="16">
        <v>0</v>
      </c>
      <c r="X761" s="16">
        <v>0</v>
      </c>
      <c r="Y761" s="15">
        <v>0.42</v>
      </c>
      <c r="Z761" s="15">
        <v>0.55800000000000005</v>
      </c>
      <c r="AA761" s="15">
        <v>0.67300000000000004</v>
      </c>
      <c r="AB761" s="15">
        <v>0.77600000000000002</v>
      </c>
      <c r="AC761" s="3">
        <f t="shared" si="141"/>
        <v>-0.2689554989494542</v>
      </c>
      <c r="AD761" s="3">
        <f t="shared" si="142"/>
        <v>-9.8040070861244208E-2</v>
      </c>
      <c r="AE761" s="3">
        <f t="shared" si="143"/>
        <v>-5.2078565438454495E-2</v>
      </c>
      <c r="AF761" s="3">
        <f t="shared" si="144"/>
        <v>-5.5338453424904786E-3</v>
      </c>
    </row>
    <row r="762" spans="1:32" x14ac:dyDescent="0.2">
      <c r="A762" s="30">
        <v>760</v>
      </c>
      <c r="B762" s="9" t="s">
        <v>1398</v>
      </c>
      <c r="C762" s="12">
        <v>2508</v>
      </c>
      <c r="D762" s="35">
        <v>63454930</v>
      </c>
      <c r="E762" s="17">
        <v>109.200193696</v>
      </c>
      <c r="F762" s="17">
        <v>21.4080095013</v>
      </c>
      <c r="G762" s="14">
        <v>27</v>
      </c>
      <c r="H762" s="33">
        <v>22.035720999999999</v>
      </c>
      <c r="I762" s="33">
        <v>24.120148</v>
      </c>
      <c r="J762" s="33">
        <v>24.827235999999999</v>
      </c>
      <c r="K762" s="33">
        <v>25.666665999999999</v>
      </c>
      <c r="L762" s="33">
        <v>27.679829999999999</v>
      </c>
      <c r="M762" s="17">
        <f t="shared" si="136"/>
        <v>2.0844270000000016</v>
      </c>
      <c r="N762" s="17">
        <f t="shared" si="137"/>
        <v>2.7915150000000004</v>
      </c>
      <c r="O762" s="17">
        <f t="shared" si="138"/>
        <v>3.6309450000000005</v>
      </c>
      <c r="P762" s="17">
        <f t="shared" si="139"/>
        <v>5.6441090000000003</v>
      </c>
      <c r="Q762" s="17">
        <f t="shared" si="140"/>
        <v>1.4904363320270038</v>
      </c>
      <c r="R762" s="17">
        <f t="shared" si="133"/>
        <v>0.96608100871527214</v>
      </c>
      <c r="S762" s="17">
        <f t="shared" si="134"/>
        <v>0.17598113889194572</v>
      </c>
      <c r="T762" s="17">
        <f t="shared" si="135"/>
        <v>0.91828327591244474</v>
      </c>
      <c r="U762" s="16">
        <v>0</v>
      </c>
      <c r="V762" s="16">
        <v>1</v>
      </c>
      <c r="W762" s="16">
        <v>1</v>
      </c>
      <c r="X762" s="16">
        <v>1</v>
      </c>
      <c r="Y762" s="15">
        <v>0.41849999999999998</v>
      </c>
      <c r="Z762" s="15">
        <v>0.55049999999999999</v>
      </c>
      <c r="AA762" s="15">
        <v>0.66549999999999998</v>
      </c>
      <c r="AB762" s="15">
        <v>0.76900000000000002</v>
      </c>
      <c r="AC762" s="3">
        <f t="shared" si="141"/>
        <v>-0.28281651313419631</v>
      </c>
      <c r="AD762" s="3">
        <f t="shared" si="142"/>
        <v>-0.16534068006439359</v>
      </c>
      <c r="AE762" s="3">
        <f t="shared" si="143"/>
        <v>-0.11382792589296171</v>
      </c>
      <c r="AF762" s="3">
        <f t="shared" si="144"/>
        <v>-6.3035723377488362E-2</v>
      </c>
    </row>
    <row r="763" spans="1:32" ht="15" thickBot="1" x14ac:dyDescent="0.25">
      <c r="A763" s="30">
        <v>761</v>
      </c>
      <c r="B763" s="9" t="s">
        <v>1399</v>
      </c>
      <c r="C763" s="12">
        <v>2517</v>
      </c>
      <c r="D763" s="35">
        <v>6339659</v>
      </c>
      <c r="E763" s="17">
        <v>121.041912518</v>
      </c>
      <c r="F763" s="17">
        <v>27.4545169895</v>
      </c>
      <c r="G763" s="14">
        <v>342</v>
      </c>
      <c r="H763" s="33">
        <v>18.320893000000002</v>
      </c>
      <c r="I763" s="33">
        <v>19.982804999999999</v>
      </c>
      <c r="J763" s="33">
        <v>20.8369</v>
      </c>
      <c r="K763" s="33">
        <v>21.48931</v>
      </c>
      <c r="L763" s="45">
        <v>24.038461999999999</v>
      </c>
      <c r="M763" s="46">
        <f t="shared" si="136"/>
        <v>1.6619119999999974</v>
      </c>
      <c r="N763" s="46">
        <f t="shared" si="137"/>
        <v>2.5160069999999983</v>
      </c>
      <c r="O763" s="46">
        <f t="shared" si="138"/>
        <v>3.168416999999998</v>
      </c>
      <c r="P763" s="46">
        <f t="shared" si="139"/>
        <v>5.7175689999999975</v>
      </c>
      <c r="Q763" s="46">
        <f t="shared" si="140"/>
        <v>0.97565692629470535</v>
      </c>
      <c r="R763" s="46">
        <f t="shared" si="133"/>
        <v>0.5782045034301635</v>
      </c>
      <c r="S763" s="46">
        <f t="shared" si="134"/>
        <v>-0.36113152866346843</v>
      </c>
      <c r="T763" s="46">
        <f t="shared" si="135"/>
        <v>0.99263766501520501</v>
      </c>
      <c r="U763" s="47">
        <v>0</v>
      </c>
      <c r="V763" s="47">
        <v>2</v>
      </c>
      <c r="W763" s="47">
        <v>2</v>
      </c>
      <c r="X763" s="47">
        <v>3</v>
      </c>
      <c r="Y763" s="48">
        <v>0.438</v>
      </c>
      <c r="Z763" s="48">
        <v>0.57099999999999995</v>
      </c>
      <c r="AA763" s="48">
        <v>0.70799999999999996</v>
      </c>
      <c r="AB763" s="48">
        <v>0.82299999999999995</v>
      </c>
      <c r="AC763" s="3">
        <f t="shared" si="141"/>
        <v>-0.10262332873254883</v>
      </c>
      <c r="AD763" s="3">
        <f t="shared" si="142"/>
        <v>1.8614318424212892E-2</v>
      </c>
      <c r="AE763" s="3">
        <f t="shared" si="143"/>
        <v>0.23608511668257612</v>
      </c>
      <c r="AF763" s="3">
        <f t="shared" si="144"/>
        <v>0.38055019289249437</v>
      </c>
    </row>
    <row r="764" spans="1:32" s="18" customFormat="1" x14ac:dyDescent="0.2">
      <c r="G764" s="6"/>
      <c r="H764" s="6"/>
      <c r="I764" s="6"/>
      <c r="J764" s="6"/>
      <c r="K764" s="6"/>
      <c r="L764" s="59" t="s">
        <v>1539</v>
      </c>
      <c r="M764" s="41">
        <f>AVERAGE(M2:M763)</f>
        <v>0.86112299868593944</v>
      </c>
      <c r="N764" s="41">
        <f t="shared" ref="N764:AB764" si="145">AVERAGE(N2:N763)</f>
        <v>2.1053093574244439</v>
      </c>
      <c r="O764" s="41">
        <f t="shared" si="145"/>
        <v>3.4794009960578172</v>
      </c>
      <c r="P764" s="41">
        <f t="shared" si="145"/>
        <v>4.7368715085413902</v>
      </c>
      <c r="Q764" s="49"/>
      <c r="R764" s="49"/>
      <c r="S764" s="49"/>
      <c r="T764" s="49"/>
      <c r="U764" s="41">
        <f t="shared" si="145"/>
        <v>21.731931668856767</v>
      </c>
      <c r="V764" s="41">
        <f t="shared" si="145"/>
        <v>29.806833114323258</v>
      </c>
      <c r="W764" s="41">
        <f t="shared" si="145"/>
        <v>34.873850197109064</v>
      </c>
      <c r="X764" s="41">
        <f t="shared" si="145"/>
        <v>40.898817345597898</v>
      </c>
      <c r="Y764" s="41">
        <f>AVERAGE(Y2:Y763)</f>
        <v>0.44910560822225198</v>
      </c>
      <c r="Z764" s="41">
        <f t="shared" si="145"/>
        <v>0.56892561479257653</v>
      </c>
      <c r="AA764" s="41">
        <f t="shared" si="145"/>
        <v>0.6793253973468466</v>
      </c>
      <c r="AB764" s="41">
        <f t="shared" si="145"/>
        <v>0.77667366351710909</v>
      </c>
      <c r="AC764" s="53"/>
      <c r="AD764" s="49"/>
      <c r="AE764" s="49"/>
      <c r="AF764" s="54"/>
    </row>
    <row r="765" spans="1:32" x14ac:dyDescent="0.2">
      <c r="D765" s="18"/>
      <c r="E765" s="18"/>
      <c r="F765" s="18"/>
      <c r="H765" s="6"/>
      <c r="I765" s="6"/>
      <c r="J765" s="6"/>
      <c r="K765" s="6"/>
      <c r="L765" s="60" t="s">
        <v>1541</v>
      </c>
      <c r="M765" s="42">
        <f>MAX(M2:M763)</f>
        <v>4.1100000000000003</v>
      </c>
      <c r="N765" s="42">
        <f t="shared" ref="N765:AB765" si="146">MAX(N2:N763)</f>
        <v>4.8100000000000005</v>
      </c>
      <c r="O765" s="42">
        <f t="shared" si="146"/>
        <v>6.68</v>
      </c>
      <c r="P765" s="42">
        <f t="shared" si="146"/>
        <v>9.5300000000000011</v>
      </c>
      <c r="Q765" s="50"/>
      <c r="R765" s="50"/>
      <c r="S765" s="50"/>
      <c r="T765" s="50"/>
      <c r="U765" s="42">
        <f t="shared" si="146"/>
        <v>1347</v>
      </c>
      <c r="V765" s="42">
        <f t="shared" si="146"/>
        <v>1581</v>
      </c>
      <c r="W765" s="42">
        <f t="shared" si="146"/>
        <v>1629</v>
      </c>
      <c r="X765" s="42">
        <f t="shared" si="146"/>
        <v>2353</v>
      </c>
      <c r="Y765" s="42">
        <f t="shared" si="146"/>
        <v>0.883666666667</v>
      </c>
      <c r="Z765" s="42">
        <f t="shared" si="146"/>
        <v>1.0226666666699999</v>
      </c>
      <c r="AA765" s="42">
        <f t="shared" si="146"/>
        <v>1.2183333333299999</v>
      </c>
      <c r="AB765" s="42">
        <f t="shared" si="146"/>
        <v>1.34066666667</v>
      </c>
      <c r="AC765" s="55"/>
      <c r="AD765" s="50"/>
      <c r="AE765" s="50"/>
      <c r="AF765" s="56"/>
    </row>
    <row r="766" spans="1:32" x14ac:dyDescent="0.2">
      <c r="H766" s="6"/>
      <c r="I766" s="6"/>
      <c r="J766" s="6"/>
      <c r="K766" s="6"/>
      <c r="L766" s="60" t="s">
        <v>1540</v>
      </c>
      <c r="M766" s="42">
        <f>MIN(M2:M763)</f>
        <v>-0.78999999999999915</v>
      </c>
      <c r="N766" s="42">
        <f t="shared" ref="N766:AB766" si="147">MIN(N2:N763)</f>
        <v>0.74000000000000021</v>
      </c>
      <c r="O766" s="42">
        <f t="shared" si="147"/>
        <v>0.51999999999999957</v>
      </c>
      <c r="P766" s="42">
        <f t="shared" si="147"/>
        <v>1.8999999999999986</v>
      </c>
      <c r="Q766" s="50"/>
      <c r="R766" s="50"/>
      <c r="S766" s="50"/>
      <c r="T766" s="50"/>
      <c r="U766" s="42">
        <f t="shared" si="147"/>
        <v>0</v>
      </c>
      <c r="V766" s="42">
        <f t="shared" si="147"/>
        <v>0</v>
      </c>
      <c r="W766" s="42">
        <f t="shared" si="147"/>
        <v>0</v>
      </c>
      <c r="X766" s="42">
        <f t="shared" si="147"/>
        <v>0</v>
      </c>
      <c r="Y766" s="42">
        <f t="shared" si="147"/>
        <v>-0.46800000000000003</v>
      </c>
      <c r="Z766" s="42">
        <f t="shared" si="147"/>
        <v>-0.34</v>
      </c>
      <c r="AA766" s="42">
        <f t="shared" si="147"/>
        <v>-0.23200000000000001</v>
      </c>
      <c r="AB766" s="42">
        <f t="shared" si="147"/>
        <v>-9.1999999999999998E-2</v>
      </c>
      <c r="AC766" s="55"/>
      <c r="AD766" s="50"/>
      <c r="AE766" s="50"/>
      <c r="AF766" s="56"/>
    </row>
    <row r="767" spans="1:32" x14ac:dyDescent="0.2">
      <c r="L767" s="60" t="s">
        <v>1533</v>
      </c>
      <c r="M767" s="42">
        <f>_xlfn.STDEV.S(M2:M763)</f>
        <v>0.82076904261342054</v>
      </c>
      <c r="N767" s="42">
        <f t="shared" ref="N767:AB767" si="148">_xlfn.STDEV.S(N2:N763)</f>
        <v>0.71029824247150497</v>
      </c>
      <c r="O767" s="42">
        <f t="shared" si="148"/>
        <v>0.86113776110537044</v>
      </c>
      <c r="P767" s="42">
        <f t="shared" si="148"/>
        <v>0.98797126688073555</v>
      </c>
      <c r="Q767" s="50"/>
      <c r="R767" s="50"/>
      <c r="S767" s="50"/>
      <c r="T767" s="50"/>
      <c r="U767" s="42">
        <f t="shared" si="148"/>
        <v>90.630955804733375</v>
      </c>
      <c r="V767" s="42">
        <f t="shared" si="148"/>
        <v>119.37923100503025</v>
      </c>
      <c r="W767" s="42">
        <f t="shared" si="148"/>
        <v>134.21886039726567</v>
      </c>
      <c r="X767" s="42">
        <f t="shared" si="148"/>
        <v>160.30906501987607</v>
      </c>
      <c r="Y767" s="42">
        <f t="shared" si="148"/>
        <v>0.10821718959433481</v>
      </c>
      <c r="Z767" s="42">
        <f t="shared" si="148"/>
        <v>0.11144029881454762</v>
      </c>
      <c r="AA767" s="42">
        <f t="shared" si="148"/>
        <v>0.12145874782825579</v>
      </c>
      <c r="AB767" s="42">
        <f t="shared" si="148"/>
        <v>0.12173515438468868</v>
      </c>
      <c r="AC767" s="55"/>
      <c r="AD767" s="50"/>
      <c r="AE767" s="50"/>
      <c r="AF767" s="56"/>
    </row>
    <row r="768" spans="1:32" x14ac:dyDescent="0.2">
      <c r="L768" s="61" t="s">
        <v>1534</v>
      </c>
      <c r="M768" s="40">
        <f>COUNT(M2:M763)</f>
        <v>761</v>
      </c>
      <c r="N768" s="40">
        <f t="shared" ref="N768:AB768" si="149">COUNT(N2:N763)</f>
        <v>761</v>
      </c>
      <c r="O768" s="40">
        <f t="shared" si="149"/>
        <v>761</v>
      </c>
      <c r="P768" s="40">
        <f t="shared" si="149"/>
        <v>761</v>
      </c>
      <c r="Q768" s="50"/>
      <c r="R768" s="50"/>
      <c r="S768" s="50"/>
      <c r="T768" s="50"/>
      <c r="U768" s="40">
        <f t="shared" si="149"/>
        <v>761</v>
      </c>
      <c r="V768" s="40">
        <f t="shared" si="149"/>
        <v>761</v>
      </c>
      <c r="W768" s="40">
        <f t="shared" si="149"/>
        <v>761</v>
      </c>
      <c r="X768" s="40">
        <f t="shared" si="149"/>
        <v>761</v>
      </c>
      <c r="Y768" s="40">
        <f t="shared" si="149"/>
        <v>761</v>
      </c>
      <c r="Z768" s="40">
        <f t="shared" si="149"/>
        <v>761</v>
      </c>
      <c r="AA768" s="40">
        <f t="shared" si="149"/>
        <v>761</v>
      </c>
      <c r="AB768" s="40">
        <f t="shared" si="149"/>
        <v>761</v>
      </c>
      <c r="AC768" s="55"/>
      <c r="AD768" s="50"/>
      <c r="AE768" s="50"/>
      <c r="AF768" s="56"/>
    </row>
    <row r="769" spans="9:32" x14ac:dyDescent="0.2">
      <c r="I769" s="36"/>
      <c r="J769" s="36"/>
      <c r="K769" s="36"/>
      <c r="L769" s="62" t="s">
        <v>1535</v>
      </c>
      <c r="M769" s="43">
        <f>M767/SQRT(M768)</f>
        <v>2.9752854550327956E-2</v>
      </c>
      <c r="N769" s="43">
        <f t="shared" ref="N769:AB769" si="150">N767/SQRT(N768)</f>
        <v>2.5748291173747433E-2</v>
      </c>
      <c r="O769" s="43">
        <f t="shared" si="150"/>
        <v>3.1216219452407757E-2</v>
      </c>
      <c r="P769" s="43">
        <f t="shared" si="150"/>
        <v>3.581393044480443E-2</v>
      </c>
      <c r="Q769" s="50"/>
      <c r="R769" s="50"/>
      <c r="S769" s="50"/>
      <c r="T769" s="50"/>
      <c r="U769" s="43">
        <f t="shared" si="150"/>
        <v>3.2853695812276018</v>
      </c>
      <c r="V769" s="43">
        <f t="shared" si="150"/>
        <v>4.32749374307918</v>
      </c>
      <c r="W769" s="43">
        <f t="shared" si="150"/>
        <v>4.8654298882852647</v>
      </c>
      <c r="X769" s="43">
        <f t="shared" si="150"/>
        <v>5.8111990669730096</v>
      </c>
      <c r="Y769" s="43">
        <f t="shared" si="150"/>
        <v>3.9228700580536012E-3</v>
      </c>
      <c r="Z769" s="43">
        <f t="shared" si="150"/>
        <v>4.0397076760069622E-3</v>
      </c>
      <c r="AA769" s="43">
        <f t="shared" si="150"/>
        <v>4.4028761690286088E-3</v>
      </c>
      <c r="AB769" s="43">
        <f t="shared" si="150"/>
        <v>4.4128958988713905E-3</v>
      </c>
      <c r="AC769" s="55"/>
      <c r="AD769" s="50"/>
      <c r="AE769" s="50"/>
      <c r="AF769" s="56"/>
    </row>
    <row r="770" spans="9:32" x14ac:dyDescent="0.2">
      <c r="L770" s="62" t="s">
        <v>1536</v>
      </c>
      <c r="M770" s="43">
        <f>M769*1.96</f>
        <v>5.8315594918642792E-2</v>
      </c>
      <c r="N770" s="43">
        <f t="shared" ref="N770:AB770" si="151">N769*1.96</f>
        <v>5.0466650700544964E-2</v>
      </c>
      <c r="O770" s="43">
        <f t="shared" si="151"/>
        <v>6.1183790126719199E-2</v>
      </c>
      <c r="P770" s="43">
        <f t="shared" si="151"/>
        <v>7.0195303671816686E-2</v>
      </c>
      <c r="Q770" s="50"/>
      <c r="R770" s="50"/>
      <c r="S770" s="50"/>
      <c r="T770" s="50"/>
      <c r="U770" s="43">
        <f t="shared" si="151"/>
        <v>6.4393243792060995</v>
      </c>
      <c r="V770" s="43">
        <f t="shared" si="151"/>
        <v>8.4818877364351923</v>
      </c>
      <c r="W770" s="43">
        <f t="shared" si="151"/>
        <v>9.5362425810391187</v>
      </c>
      <c r="X770" s="43">
        <f t="shared" si="151"/>
        <v>11.389950171267099</v>
      </c>
      <c r="Y770" s="43">
        <f t="shared" si="151"/>
        <v>7.6888253137850585E-3</v>
      </c>
      <c r="Z770" s="43">
        <f t="shared" si="151"/>
        <v>7.9178270449736451E-3</v>
      </c>
      <c r="AA770" s="43">
        <f t="shared" si="151"/>
        <v>8.6296372912960731E-3</v>
      </c>
      <c r="AB770" s="43">
        <f t="shared" si="151"/>
        <v>8.649275961787925E-3</v>
      </c>
      <c r="AC770" s="55"/>
      <c r="AD770" s="50"/>
      <c r="AE770" s="50"/>
      <c r="AF770" s="56"/>
    </row>
    <row r="771" spans="9:32" x14ac:dyDescent="0.2">
      <c r="L771" s="63" t="s">
        <v>1537</v>
      </c>
      <c r="M771" s="44">
        <f>M764+M770</f>
        <v>0.91943859360458224</v>
      </c>
      <c r="N771" s="44">
        <f t="shared" ref="N771:AB771" si="152">N764+N770</f>
        <v>2.155776008124989</v>
      </c>
      <c r="O771" s="44">
        <f t="shared" si="152"/>
        <v>3.5405847861845365</v>
      </c>
      <c r="P771" s="44">
        <f t="shared" si="152"/>
        <v>4.8070668122132068</v>
      </c>
      <c r="Q771" s="50"/>
      <c r="R771" s="50"/>
      <c r="S771" s="50"/>
      <c r="T771" s="50"/>
      <c r="U771" s="44">
        <f t="shared" si="152"/>
        <v>28.171256048062865</v>
      </c>
      <c r="V771" s="44">
        <f t="shared" si="152"/>
        <v>38.288720850758452</v>
      </c>
      <c r="W771" s="44">
        <f t="shared" si="152"/>
        <v>44.410092778148183</v>
      </c>
      <c r="X771" s="44">
        <f t="shared" si="152"/>
        <v>52.288767516864993</v>
      </c>
      <c r="Y771" s="44">
        <f t="shared" si="152"/>
        <v>0.45679443353603705</v>
      </c>
      <c r="Z771" s="44">
        <f t="shared" si="152"/>
        <v>0.57684344183755021</v>
      </c>
      <c r="AA771" s="44">
        <f t="shared" si="152"/>
        <v>0.68795503463814267</v>
      </c>
      <c r="AB771" s="44">
        <f t="shared" si="152"/>
        <v>0.78532293947889698</v>
      </c>
      <c r="AC771" s="55"/>
      <c r="AD771" s="50"/>
      <c r="AE771" s="50"/>
      <c r="AF771" s="56"/>
    </row>
    <row r="772" spans="9:32" ht="15" thickBot="1" x14ac:dyDescent="0.25">
      <c r="L772" s="64" t="s">
        <v>1538</v>
      </c>
      <c r="M772" s="51">
        <f>M764-M770</f>
        <v>0.80280740376729665</v>
      </c>
      <c r="N772" s="51">
        <f t="shared" ref="N772:AB772" si="153">N764-N770</f>
        <v>2.0548427067238988</v>
      </c>
      <c r="O772" s="51">
        <f t="shared" si="153"/>
        <v>3.4182172059310978</v>
      </c>
      <c r="P772" s="51">
        <f t="shared" si="153"/>
        <v>4.6666762048695736</v>
      </c>
      <c r="Q772" s="52"/>
      <c r="R772" s="52"/>
      <c r="S772" s="52"/>
      <c r="T772" s="52"/>
      <c r="U772" s="51">
        <f t="shared" si="153"/>
        <v>15.292607289650668</v>
      </c>
      <c r="V772" s="51">
        <f t="shared" si="153"/>
        <v>21.324945377888064</v>
      </c>
      <c r="W772" s="51">
        <f t="shared" si="153"/>
        <v>25.337607616069945</v>
      </c>
      <c r="X772" s="51">
        <f t="shared" si="153"/>
        <v>29.508867174330799</v>
      </c>
      <c r="Y772" s="51">
        <f t="shared" si="153"/>
        <v>0.44141678290846692</v>
      </c>
      <c r="Z772" s="51">
        <f t="shared" si="153"/>
        <v>0.56100778774760285</v>
      </c>
      <c r="AA772" s="51">
        <f t="shared" si="153"/>
        <v>0.67069576005555054</v>
      </c>
      <c r="AB772" s="51">
        <f t="shared" si="153"/>
        <v>0.76802438755532121</v>
      </c>
      <c r="AC772" s="57"/>
      <c r="AD772" s="52"/>
      <c r="AE772" s="52"/>
      <c r="AF772" s="58"/>
    </row>
  </sheetData>
  <mergeCells count="13">
    <mergeCell ref="F1:F2"/>
    <mergeCell ref="A1:A2"/>
    <mergeCell ref="B1:B2"/>
    <mergeCell ref="E1:E2"/>
    <mergeCell ref="D1:D2"/>
    <mergeCell ref="C1:C2"/>
    <mergeCell ref="AC1:AF1"/>
    <mergeCell ref="Q1:T1"/>
    <mergeCell ref="Y1:AB1"/>
    <mergeCell ref="I1:L1"/>
    <mergeCell ref="G1:G2"/>
    <mergeCell ref="U1:X1"/>
    <mergeCell ref="M1:P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7"/>
  <sheetViews>
    <sheetView zoomScale="90" zoomScaleNormal="90" workbookViewId="0">
      <selection activeCell="R39" sqref="R39"/>
    </sheetView>
  </sheetViews>
  <sheetFormatPr defaultRowHeight="14.25" x14ac:dyDescent="0.2"/>
  <cols>
    <col min="1" max="1" width="9" style="8"/>
    <col min="2" max="9" width="15.625" style="5" customWidth="1"/>
  </cols>
  <sheetData>
    <row r="1" spans="1:9" x14ac:dyDescent="0.2">
      <c r="B1" s="75" t="s">
        <v>1526</v>
      </c>
      <c r="C1" s="75"/>
      <c r="D1" s="75"/>
      <c r="E1" s="75"/>
      <c r="F1" s="75" t="s">
        <v>1527</v>
      </c>
      <c r="G1" s="75"/>
      <c r="H1" s="75"/>
      <c r="I1" s="75"/>
    </row>
    <row r="2" spans="1:9" x14ac:dyDescent="0.2">
      <c r="A2" s="10"/>
      <c r="B2" s="20" t="s">
        <v>1528</v>
      </c>
      <c r="C2" s="20" t="s">
        <v>1529</v>
      </c>
      <c r="D2" s="20" t="s">
        <v>1530</v>
      </c>
      <c r="E2" s="20" t="s">
        <v>1531</v>
      </c>
      <c r="F2" s="20" t="s">
        <v>1528</v>
      </c>
      <c r="G2" s="20" t="s">
        <v>1529</v>
      </c>
      <c r="H2" s="20" t="s">
        <v>1530</v>
      </c>
      <c r="I2" s="20" t="s">
        <v>1531</v>
      </c>
    </row>
    <row r="3" spans="1:9" x14ac:dyDescent="0.2">
      <c r="A3" s="11">
        <v>-180</v>
      </c>
      <c r="B3" s="21"/>
      <c r="C3" s="21"/>
      <c r="D3" s="21"/>
      <c r="E3" s="21"/>
      <c r="F3" s="21"/>
      <c r="G3" s="21"/>
      <c r="H3" s="21"/>
      <c r="I3" s="21"/>
    </row>
    <row r="4" spans="1:9" x14ac:dyDescent="0.2">
      <c r="A4" s="11">
        <v>-179</v>
      </c>
      <c r="B4" s="21"/>
      <c r="C4" s="21"/>
      <c r="D4" s="21"/>
      <c r="E4" s="21"/>
      <c r="F4" s="21"/>
      <c r="G4" s="21"/>
      <c r="H4" s="21"/>
      <c r="I4" s="21"/>
    </row>
    <row r="5" spans="1:9" x14ac:dyDescent="0.2">
      <c r="A5" s="11">
        <v>-178</v>
      </c>
      <c r="B5" s="21"/>
      <c r="C5" s="21"/>
      <c r="D5" s="21"/>
      <c r="E5" s="21"/>
      <c r="F5" s="21"/>
      <c r="G5" s="21"/>
      <c r="H5" s="21"/>
      <c r="I5" s="21"/>
    </row>
    <row r="6" spans="1:9" x14ac:dyDescent="0.2">
      <c r="A6" s="11">
        <v>-177</v>
      </c>
      <c r="B6" s="21"/>
      <c r="C6" s="21"/>
      <c r="D6" s="21"/>
      <c r="E6" s="21"/>
      <c r="F6" s="21"/>
      <c r="G6" s="21"/>
      <c r="H6" s="21"/>
      <c r="I6" s="21"/>
    </row>
    <row r="7" spans="1:9" x14ac:dyDescent="0.2">
      <c r="A7" s="11">
        <v>-176</v>
      </c>
      <c r="B7" s="21"/>
      <c r="C7" s="21"/>
      <c r="D7" s="21"/>
      <c r="E7" s="21"/>
      <c r="F7" s="21"/>
      <c r="G7" s="21"/>
      <c r="H7" s="21"/>
      <c r="I7" s="21"/>
    </row>
    <row r="8" spans="1:9" x14ac:dyDescent="0.2">
      <c r="A8" s="11">
        <v>-175</v>
      </c>
      <c r="B8" s="21"/>
      <c r="C8" s="21"/>
      <c r="D8" s="21"/>
      <c r="E8" s="21"/>
      <c r="F8" s="21"/>
      <c r="G8" s="21"/>
      <c r="H8" s="21"/>
      <c r="I8" s="21"/>
    </row>
    <row r="9" spans="1:9" x14ac:dyDescent="0.2">
      <c r="A9" s="11">
        <v>-174</v>
      </c>
      <c r="B9" s="21"/>
      <c r="C9" s="21"/>
      <c r="D9" s="21"/>
      <c r="E9" s="21"/>
      <c r="F9" s="21"/>
      <c r="G9" s="21"/>
      <c r="H9" s="21"/>
      <c r="I9" s="21"/>
    </row>
    <row r="10" spans="1:9" x14ac:dyDescent="0.2">
      <c r="A10" s="11">
        <v>-173</v>
      </c>
      <c r="B10" s="21"/>
      <c r="C10" s="21"/>
      <c r="D10" s="21"/>
      <c r="E10" s="21"/>
      <c r="F10" s="21">
        <f>VLOOKUP(A10,'[1]SLR-m-X'!$A$2:$I$1000,2,FALSE)</f>
        <v>0.45200000000000001</v>
      </c>
      <c r="G10" s="21">
        <f>VLOOKUP(A10,'[1]SLR-m-X'!$A$2:$I$1000,3,FALSE)</f>
        <v>0.56699999999999995</v>
      </c>
      <c r="H10" s="21">
        <f>VLOOKUP(A10,'[1]SLR-m-X'!$A$2:$I$1000,4,FALSE)</f>
        <v>0.67600000000000005</v>
      </c>
      <c r="I10" s="21">
        <f>VLOOKUP(A10,'[1]SLR-m-X'!$A$2:$I$1000,5,FALSE)</f>
        <v>0.752</v>
      </c>
    </row>
    <row r="11" spans="1:9" x14ac:dyDescent="0.2">
      <c r="A11" s="11">
        <v>-172</v>
      </c>
      <c r="B11" s="21">
        <v>1.04</v>
      </c>
      <c r="C11" s="21">
        <v>1.9</v>
      </c>
      <c r="D11" s="21">
        <v>3.05</v>
      </c>
      <c r="E11" s="21">
        <v>4.41</v>
      </c>
      <c r="F11" s="21"/>
      <c r="G11" s="21"/>
      <c r="H11" s="21"/>
      <c r="I11" s="21"/>
    </row>
    <row r="12" spans="1:9" x14ac:dyDescent="0.2">
      <c r="A12" s="11">
        <v>-162</v>
      </c>
      <c r="B12" s="21">
        <v>3.62</v>
      </c>
      <c r="C12" s="21">
        <v>3.46</v>
      </c>
      <c r="D12" s="21">
        <v>5.63</v>
      </c>
      <c r="E12" s="21">
        <v>7.56</v>
      </c>
      <c r="F12" s="21"/>
      <c r="G12" s="21"/>
      <c r="H12" s="21"/>
      <c r="I12" s="21"/>
    </row>
    <row r="13" spans="1:9" x14ac:dyDescent="0.2">
      <c r="A13" s="11">
        <v>-140</v>
      </c>
      <c r="B13" s="21">
        <v>4.1100000000000003</v>
      </c>
      <c r="C13" s="21">
        <v>4.12</v>
      </c>
      <c r="D13" s="21">
        <v>6.39</v>
      </c>
      <c r="E13" s="21">
        <v>8.43</v>
      </c>
      <c r="F13" s="21"/>
      <c r="G13" s="21"/>
      <c r="H13" s="21"/>
      <c r="I13" s="21"/>
    </row>
    <row r="14" spans="1:9" x14ac:dyDescent="0.2">
      <c r="A14" s="11">
        <v>-124</v>
      </c>
      <c r="B14" s="21">
        <v>2.12</v>
      </c>
      <c r="C14" s="21">
        <v>2.3199999999999998</v>
      </c>
      <c r="D14" s="21">
        <v>4.0599999999999996</v>
      </c>
      <c r="E14" s="21">
        <v>4.9000000000000004</v>
      </c>
      <c r="F14" s="21">
        <f>VLOOKUP(A14,'[1]SLR-m-X'!$A$2:$I$1000,2,FALSE)</f>
        <v>0.41525000000000001</v>
      </c>
      <c r="G14" s="21">
        <f>VLOOKUP(A14,'[1]SLR-m-X'!$A$2:$I$1000,3,FALSE)</f>
        <v>0.50350000000000006</v>
      </c>
      <c r="H14" s="21">
        <f>VLOOKUP(A14,'[1]SLR-m-X'!$A$2:$I$1000,4,FALSE)</f>
        <v>0.59575</v>
      </c>
      <c r="I14" s="21">
        <f>VLOOKUP(A14,'[1]SLR-m-X'!$A$2:$I$1000,5,FALSE)</f>
        <v>0.67149999999999999</v>
      </c>
    </row>
    <row r="15" spans="1:9" x14ac:dyDescent="0.2">
      <c r="A15" s="11">
        <v>-123</v>
      </c>
      <c r="B15" s="21">
        <v>2.3266666666666671</v>
      </c>
      <c r="C15" s="21">
        <v>2.496666666666667</v>
      </c>
      <c r="D15" s="21">
        <v>4.8266666666666671</v>
      </c>
      <c r="E15" s="21">
        <v>5.4533333333333331</v>
      </c>
      <c r="F15" s="21">
        <f>VLOOKUP(A15,'[1]SLR-m-X'!$A$2:$I$1000,2,FALSE)</f>
        <v>0.255666666667</v>
      </c>
      <c r="G15" s="21">
        <f>VLOOKUP(A15,'[1]SLR-m-X'!$A$2:$I$1000,3,FALSE)</f>
        <v>0.33333333333300003</v>
      </c>
      <c r="H15" s="21">
        <f>VLOOKUP(A15,'[1]SLR-m-X'!$A$2:$I$1000,4,FALSE)</f>
        <v>0.41466666666699997</v>
      </c>
      <c r="I15" s="21">
        <f>VLOOKUP(A15,'[1]SLR-m-X'!$A$2:$I$1000,5,FALSE)</f>
        <v>0.48422222222200001</v>
      </c>
    </row>
    <row r="16" spans="1:9" x14ac:dyDescent="0.2">
      <c r="A16" s="11">
        <v>-116</v>
      </c>
      <c r="B16" s="21">
        <v>2.2200000000000002</v>
      </c>
      <c r="C16" s="21">
        <v>2.65</v>
      </c>
      <c r="D16" s="21">
        <v>4.37</v>
      </c>
      <c r="E16" s="21">
        <v>4.95</v>
      </c>
      <c r="F16" s="21">
        <f>VLOOKUP(A16,'[1]SLR-m-X'!$A$2:$I$1000,2,FALSE)</f>
        <v>0.49399999999999999</v>
      </c>
      <c r="G16" s="21">
        <f>VLOOKUP(A16,'[1]SLR-m-X'!$A$2:$I$1000,3,FALSE)</f>
        <v>0.59799999999999998</v>
      </c>
      <c r="H16" s="21">
        <f>VLOOKUP(A16,'[1]SLR-m-X'!$A$2:$I$1000,4,FALSE)</f>
        <v>0.71099999999999997</v>
      </c>
      <c r="I16" s="21">
        <f>VLOOKUP(A16,'[1]SLR-m-X'!$A$2:$I$1000,5,FALSE)</f>
        <v>0.79900000000000004</v>
      </c>
    </row>
    <row r="17" spans="1:9" x14ac:dyDescent="0.2">
      <c r="A17" s="11">
        <v>-115</v>
      </c>
      <c r="B17" s="21">
        <v>2.23</v>
      </c>
      <c r="C17" s="21">
        <v>2.4300000000000002</v>
      </c>
      <c r="D17" s="21">
        <v>4.21</v>
      </c>
      <c r="E17" s="21">
        <v>4.87</v>
      </c>
      <c r="F17" s="21">
        <f>VLOOKUP(A17,'[1]SLR-m-X'!$A$2:$I$1000,2,FALSE)</f>
        <v>0.43</v>
      </c>
      <c r="G17" s="21">
        <f>VLOOKUP(A17,'[1]SLR-m-X'!$A$2:$I$1000,3,FALSE)</f>
        <v>0.52900000000000003</v>
      </c>
      <c r="H17" s="21">
        <f>VLOOKUP(A17,'[1]SLR-m-X'!$A$2:$I$1000,4,FALSE)</f>
        <v>0.63200000000000001</v>
      </c>
      <c r="I17" s="21">
        <f>VLOOKUP(A17,'[1]SLR-m-X'!$A$2:$I$1000,5,FALSE)</f>
        <v>0.72399999999999998</v>
      </c>
    </row>
    <row r="18" spans="1:9" x14ac:dyDescent="0.2">
      <c r="A18" s="11">
        <v>-114</v>
      </c>
      <c r="B18" s="21">
        <v>2.063333333333333</v>
      </c>
      <c r="C18" s="21">
        <v>3.253333333333333</v>
      </c>
      <c r="D18" s="21">
        <v>5.0733333333333333</v>
      </c>
      <c r="E18" s="21">
        <v>6.3533333333333326</v>
      </c>
      <c r="F18" s="21">
        <f>VLOOKUP(A18,'[1]SLR-m-X'!$A$2:$I$1000,2,FALSE)</f>
        <v>0.48983333333333329</v>
      </c>
      <c r="G18" s="21">
        <f>VLOOKUP(A18,'[1]SLR-m-X'!$A$2:$I$1000,3,FALSE)</f>
        <v>0.59199999999999997</v>
      </c>
      <c r="H18" s="21">
        <f>VLOOKUP(A18,'[1]SLR-m-X'!$A$2:$I$1000,4,FALSE)</f>
        <v>0.70000000000000007</v>
      </c>
      <c r="I18" s="21">
        <f>VLOOKUP(A18,'[1]SLR-m-X'!$A$2:$I$1000,5,FALSE)</f>
        <v>0.78566666666666662</v>
      </c>
    </row>
    <row r="19" spans="1:9" x14ac:dyDescent="0.2">
      <c r="A19" s="11">
        <v>-113</v>
      </c>
      <c r="B19" s="21">
        <v>1.9985714285714291</v>
      </c>
      <c r="C19" s="21">
        <v>3.1814285714285719</v>
      </c>
      <c r="D19" s="21">
        <v>4.5285714285714276</v>
      </c>
      <c r="E19" s="21">
        <v>5.6214285714285719</v>
      </c>
      <c r="F19" s="21">
        <f>VLOOKUP(A19,'[1]SLR-m-X'!$A$2:$I$1000,2,FALSE)</f>
        <v>0.51300000000000001</v>
      </c>
      <c r="G19" s="21">
        <f>VLOOKUP(A19,'[1]SLR-m-X'!$A$2:$I$1000,3,FALSE)</f>
        <v>0.61199999999999999</v>
      </c>
      <c r="H19" s="21">
        <f>VLOOKUP(A19,'[1]SLR-m-X'!$A$2:$I$1000,4,FALSE)</f>
        <v>0.72099999999999997</v>
      </c>
      <c r="I19" s="21">
        <f>VLOOKUP(A19,'[1]SLR-m-X'!$A$2:$I$1000,5,FALSE)</f>
        <v>0.80633333333333335</v>
      </c>
    </row>
    <row r="20" spans="1:9" x14ac:dyDescent="0.2">
      <c r="A20" s="11">
        <v>-112</v>
      </c>
      <c r="B20" s="21">
        <v>1.55</v>
      </c>
      <c r="C20" s="21">
        <v>2.85</v>
      </c>
      <c r="D20" s="21">
        <v>4.01</v>
      </c>
      <c r="E20" s="21">
        <v>5.47</v>
      </c>
      <c r="F20" s="21">
        <f>VLOOKUP(A20,'[1]SLR-m-X'!$A$2:$I$1000,2,FALSE)</f>
        <v>0.52224999999999999</v>
      </c>
      <c r="G20" s="21">
        <f>VLOOKUP(A20,'[1]SLR-m-X'!$A$2:$I$1000,3,FALSE)</f>
        <v>0.62250000000000005</v>
      </c>
      <c r="H20" s="21">
        <f>VLOOKUP(A20,'[1]SLR-m-X'!$A$2:$I$1000,4,FALSE)</f>
        <v>0.73099999999999998</v>
      </c>
      <c r="I20" s="21">
        <f>VLOOKUP(A20,'[1]SLR-m-X'!$A$2:$I$1000,5,FALSE)</f>
        <v>0.8135</v>
      </c>
    </row>
    <row r="21" spans="1:9" x14ac:dyDescent="0.2">
      <c r="A21" s="11">
        <v>-111</v>
      </c>
      <c r="B21" s="21">
        <v>1.68</v>
      </c>
      <c r="C21" s="21">
        <v>2.6859999999999999</v>
      </c>
      <c r="D21" s="21">
        <v>4.056</v>
      </c>
      <c r="E21" s="21">
        <v>5.3659999999999997</v>
      </c>
      <c r="F21" s="21">
        <f>VLOOKUP(A21,'[1]SLR-m-X'!$A$2:$I$1000,2,FALSE)</f>
        <v>0.54866666666666675</v>
      </c>
      <c r="G21" s="21">
        <f>VLOOKUP(A21,'[1]SLR-m-X'!$A$2:$I$1000,3,FALSE)</f>
        <v>0.64633333333333332</v>
      </c>
      <c r="H21" s="21">
        <f>VLOOKUP(A21,'[1]SLR-m-X'!$A$2:$I$1000,4,FALSE)</f>
        <v>0.7553333333333333</v>
      </c>
      <c r="I21" s="21">
        <f>VLOOKUP(A21,'[1]SLR-m-X'!$A$2:$I$1000,5,FALSE)</f>
        <v>0.83466666666666667</v>
      </c>
    </row>
    <row r="22" spans="1:9" x14ac:dyDescent="0.2">
      <c r="A22" s="11">
        <v>-110</v>
      </c>
      <c r="B22" s="21">
        <v>1.62</v>
      </c>
      <c r="C22" s="21">
        <v>2.5933333333333328</v>
      </c>
      <c r="D22" s="21">
        <v>3.81</v>
      </c>
      <c r="E22" s="21">
        <v>5.16</v>
      </c>
      <c r="F22" s="21">
        <f>VLOOKUP(A22,'[1]SLR-m-X'!$A$2:$I$1000,2,FALSE)</f>
        <v>0.50700000000000001</v>
      </c>
      <c r="G22" s="21">
        <f>VLOOKUP(A22,'[1]SLR-m-X'!$A$2:$I$1000,3,FALSE)</f>
        <v>0.60312500000000002</v>
      </c>
      <c r="H22" s="21">
        <f>VLOOKUP(A22,'[1]SLR-m-X'!$A$2:$I$1000,4,FALSE)</f>
        <v>0.71724999999999994</v>
      </c>
      <c r="I22" s="21">
        <f>VLOOKUP(A22,'[1]SLR-m-X'!$A$2:$I$1000,5,FALSE)</f>
        <v>0.79400000000000004</v>
      </c>
    </row>
    <row r="23" spans="1:9" x14ac:dyDescent="0.2">
      <c r="A23" s="11">
        <v>-109</v>
      </c>
      <c r="B23" s="21">
        <v>1.4424999999999999</v>
      </c>
      <c r="C23" s="21">
        <v>2.3075000000000001</v>
      </c>
      <c r="D23" s="21">
        <v>3.5125000000000002</v>
      </c>
      <c r="E23" s="21">
        <v>4.9550000000000001</v>
      </c>
      <c r="F23" s="21">
        <f>VLOOKUP(A23,'[1]SLR-m-X'!$A$2:$I$1000,2,FALSE)</f>
        <v>0.51</v>
      </c>
      <c r="G23" s="21">
        <f>VLOOKUP(A23,'[1]SLR-m-X'!$A$2:$I$1000,3,FALSE)</f>
        <v>0.60666666666666658</v>
      </c>
      <c r="H23" s="21">
        <f>VLOOKUP(A23,'[1]SLR-m-X'!$A$2:$I$1000,4,FALSE)</f>
        <v>0.71866666666666656</v>
      </c>
      <c r="I23" s="21">
        <f>VLOOKUP(A23,'[1]SLR-m-X'!$A$2:$I$1000,5,FALSE)</f>
        <v>0.79466666666666674</v>
      </c>
    </row>
    <row r="24" spans="1:9" x14ac:dyDescent="0.2">
      <c r="A24" s="11">
        <v>-108</v>
      </c>
      <c r="B24" s="21">
        <v>1.34</v>
      </c>
      <c r="C24" s="21">
        <v>2.0699999999999998</v>
      </c>
      <c r="D24" s="21">
        <v>3.35</v>
      </c>
      <c r="E24" s="21">
        <v>4.6449999999999996</v>
      </c>
      <c r="F24" s="21">
        <f>VLOOKUP(A24,'[1]SLR-m-X'!$A$2:$I$1000,2,FALSE)</f>
        <v>0.51</v>
      </c>
      <c r="G24" s="21">
        <f>VLOOKUP(A24,'[1]SLR-m-X'!$A$2:$I$1000,3,FALSE)</f>
        <v>0.60850000000000004</v>
      </c>
      <c r="H24" s="21">
        <f>VLOOKUP(A24,'[1]SLR-m-X'!$A$2:$I$1000,4,FALSE)</f>
        <v>0.72199999999999998</v>
      </c>
      <c r="I24" s="21">
        <f>VLOOKUP(A24,'[1]SLR-m-X'!$A$2:$I$1000,5,FALSE)</f>
        <v>0.79800000000000004</v>
      </c>
    </row>
    <row r="25" spans="1:9" x14ac:dyDescent="0.2">
      <c r="A25" s="11">
        <v>-107</v>
      </c>
      <c r="B25" s="21">
        <v>1.44</v>
      </c>
      <c r="C25" s="21">
        <v>1.88</v>
      </c>
      <c r="D25" s="21">
        <v>3.38</v>
      </c>
      <c r="E25" s="21">
        <v>4.6500000000000004</v>
      </c>
      <c r="F25" s="21">
        <f>VLOOKUP(A25,'[1]SLR-m-X'!$A$2:$I$1000,2,FALSE)</f>
        <v>0.52200000000000002</v>
      </c>
      <c r="G25" s="21">
        <f>VLOOKUP(A25,'[1]SLR-m-X'!$A$2:$I$1000,3,FALSE)</f>
        <v>0.62149999999999994</v>
      </c>
      <c r="H25" s="21">
        <f>VLOOKUP(A25,'[1]SLR-m-X'!$A$2:$I$1000,4,FALSE)</f>
        <v>0.73699999999999999</v>
      </c>
      <c r="I25" s="21">
        <f>VLOOKUP(A25,'[1]SLR-m-X'!$A$2:$I$1000,5,FALSE)</f>
        <v>0.8135</v>
      </c>
    </row>
    <row r="26" spans="1:9" x14ac:dyDescent="0.2">
      <c r="A26" s="11">
        <v>-106</v>
      </c>
      <c r="B26" s="21">
        <v>1.3725000000000001</v>
      </c>
      <c r="C26" s="21">
        <v>1.9075</v>
      </c>
      <c r="D26" s="21">
        <v>3.3725000000000001</v>
      </c>
      <c r="E26" s="21">
        <v>4.6000000000000014</v>
      </c>
      <c r="F26" s="21">
        <f>VLOOKUP(A26,'[1]SLR-m-X'!$A$2:$I$1000,2,FALSE)</f>
        <v>0.54600000000000004</v>
      </c>
      <c r="G26" s="21">
        <f>VLOOKUP(A26,'[1]SLR-m-X'!$A$2:$I$1000,3,FALSE)</f>
        <v>0.64700000000000002</v>
      </c>
      <c r="H26" s="21">
        <f>VLOOKUP(A26,'[1]SLR-m-X'!$A$2:$I$1000,4,FALSE)</f>
        <v>0.7636666666666666</v>
      </c>
      <c r="I26" s="21">
        <f>VLOOKUP(A26,'[1]SLR-m-X'!$A$2:$I$1000,5,FALSE)</f>
        <v>0.83933333333333326</v>
      </c>
    </row>
    <row r="27" spans="1:9" x14ac:dyDescent="0.2">
      <c r="A27" s="11">
        <v>-105</v>
      </c>
      <c r="B27" s="21">
        <v>1.216666666666667</v>
      </c>
      <c r="C27" s="21">
        <v>1.821666666666667</v>
      </c>
      <c r="D27" s="21">
        <v>3.4466666666666672</v>
      </c>
      <c r="E27" s="21">
        <v>4.4916666666666671</v>
      </c>
      <c r="F27" s="21">
        <f>VLOOKUP(A27,'[1]SLR-m-X'!$A$2:$I$1000,2,FALSE)</f>
        <v>0.61471428571428566</v>
      </c>
      <c r="G27" s="21">
        <f>VLOOKUP(A27,'[1]SLR-m-X'!$A$2:$I$1000,3,FALSE)</f>
        <v>0.71899999999999997</v>
      </c>
      <c r="H27" s="21">
        <f>VLOOKUP(A27,'[1]SLR-m-X'!$A$2:$I$1000,4,FALSE)</f>
        <v>0.8394285714285713</v>
      </c>
      <c r="I27" s="21">
        <f>VLOOKUP(A27,'[1]SLR-m-X'!$A$2:$I$1000,5,FALSE)</f>
        <v>0.91485714285714281</v>
      </c>
    </row>
    <row r="28" spans="1:9" x14ac:dyDescent="0.2">
      <c r="A28" s="11">
        <v>-104</v>
      </c>
      <c r="B28" s="21">
        <v>1.186666666666667</v>
      </c>
      <c r="C28" s="21">
        <v>1.916666666666667</v>
      </c>
      <c r="D28" s="21">
        <v>3.6266666666666669</v>
      </c>
      <c r="E28" s="21">
        <v>4.6033333333333326</v>
      </c>
      <c r="F28" s="21">
        <f>VLOOKUP(A28,'[1]SLR-m-X'!$A$2:$I$1000,2,FALSE)</f>
        <v>0.66800000000000004</v>
      </c>
      <c r="G28" s="21">
        <f>VLOOKUP(A28,'[1]SLR-m-X'!$A$2:$I$1000,3,FALSE)</f>
        <v>0.77300000000000002</v>
      </c>
      <c r="H28" s="21">
        <f>VLOOKUP(A28,'[1]SLR-m-X'!$A$2:$I$1000,4,FALSE)</f>
        <v>0.89549999999999996</v>
      </c>
      <c r="I28" s="21">
        <f>VLOOKUP(A28,'[1]SLR-m-X'!$A$2:$I$1000,5,FALSE)</f>
        <v>0.97099999999999997</v>
      </c>
    </row>
    <row r="29" spans="1:9" x14ac:dyDescent="0.2">
      <c r="A29" s="11">
        <v>-103</v>
      </c>
      <c r="B29" s="21">
        <v>1.1599999999999999</v>
      </c>
      <c r="C29" s="21">
        <v>1.87</v>
      </c>
      <c r="D29" s="21">
        <v>3.56</v>
      </c>
      <c r="E29" s="21">
        <v>4.42</v>
      </c>
      <c r="F29" s="21">
        <f>VLOOKUP(A29,'[1]SLR-m-X'!$A$2:$I$1000,2,FALSE)</f>
        <v>0.70599999999999996</v>
      </c>
      <c r="G29" s="21">
        <f>VLOOKUP(A29,'[1]SLR-m-X'!$A$2:$I$1000,3,FALSE)</f>
        <v>0.81399999999999995</v>
      </c>
      <c r="H29" s="21">
        <f>VLOOKUP(A29,'[1]SLR-m-X'!$A$2:$I$1000,4,FALSE)</f>
        <v>0.93799999999999994</v>
      </c>
      <c r="I29" s="21">
        <f>VLOOKUP(A29,'[1]SLR-m-X'!$A$2:$I$1000,5,FALSE)</f>
        <v>1.0129999999999999</v>
      </c>
    </row>
    <row r="30" spans="1:9" x14ac:dyDescent="0.2">
      <c r="A30" s="11">
        <v>-102</v>
      </c>
      <c r="B30" s="21">
        <v>1.28</v>
      </c>
      <c r="C30" s="21">
        <v>2.14</v>
      </c>
      <c r="D30" s="21">
        <v>3.81</v>
      </c>
      <c r="E30" s="21">
        <v>4.6099999999999994</v>
      </c>
      <c r="F30" s="21">
        <f>VLOOKUP(A30,'[1]SLR-m-X'!$A$2:$I$1000,2,FALSE)</f>
        <v>0.72</v>
      </c>
      <c r="G30" s="21">
        <f>VLOOKUP(A30,'[1]SLR-m-X'!$A$2:$I$1000,3,FALSE)</f>
        <v>0.82799999999999996</v>
      </c>
      <c r="H30" s="21">
        <f>VLOOKUP(A30,'[1]SLR-m-X'!$A$2:$I$1000,4,FALSE)</f>
        <v>0.95199999999999996</v>
      </c>
      <c r="I30" s="21">
        <f>VLOOKUP(A30,'[1]SLR-m-X'!$A$2:$I$1000,5,FALSE)</f>
        <v>1.028</v>
      </c>
    </row>
    <row r="31" spans="1:9" x14ac:dyDescent="0.2">
      <c r="A31" s="11">
        <v>-98</v>
      </c>
      <c r="B31" s="21">
        <v>1.21</v>
      </c>
      <c r="C31" s="21">
        <v>2.3149999999999999</v>
      </c>
      <c r="D31" s="21">
        <v>3.7949999999999999</v>
      </c>
      <c r="E31" s="21">
        <v>4.5500000000000007</v>
      </c>
      <c r="F31" s="21">
        <f>VLOOKUP(A31,'[1]SLR-m-X'!$A$2:$I$1000,2,FALSE)</f>
        <v>0.67509999999999992</v>
      </c>
      <c r="G31" s="21">
        <f>VLOOKUP(A31,'[1]SLR-m-X'!$A$2:$I$1000,3,FALSE)</f>
        <v>0.78680000000000005</v>
      </c>
      <c r="H31" s="21">
        <f>VLOOKUP(A31,'[1]SLR-m-X'!$A$2:$I$1000,4,FALSE)</f>
        <v>0.91249999999999998</v>
      </c>
      <c r="I31" s="21">
        <f>VLOOKUP(A31,'[1]SLR-m-X'!$A$2:$I$1000,5,FALSE)</f>
        <v>1</v>
      </c>
    </row>
    <row r="32" spans="1:9" x14ac:dyDescent="0.2">
      <c r="A32" s="11">
        <v>-97</v>
      </c>
      <c r="B32" s="21">
        <v>0.85399999999999987</v>
      </c>
      <c r="C32" s="21">
        <v>2.12</v>
      </c>
      <c r="D32" s="21">
        <v>3</v>
      </c>
      <c r="E32" s="21">
        <v>4.0220000000000002</v>
      </c>
      <c r="F32" s="21">
        <f>VLOOKUP(A32,'[1]SLR-m-X'!$A$2:$I$1000,2,FALSE)</f>
        <v>0.64700000000000002</v>
      </c>
      <c r="G32" s="21">
        <f>VLOOKUP(A32,'[1]SLR-m-X'!$A$2:$I$1000,3,FALSE)</f>
        <v>0.76300000000000001</v>
      </c>
      <c r="H32" s="21">
        <f>VLOOKUP(A32,'[1]SLR-m-X'!$A$2:$I$1000,4,FALSE)</f>
        <v>0.88800000000000001</v>
      </c>
      <c r="I32" s="21">
        <f>VLOOKUP(A32,'[1]SLR-m-X'!$A$2:$I$1000,5,FALSE)</f>
        <v>0.98199999999999998</v>
      </c>
    </row>
    <row r="33" spans="1:9" x14ac:dyDescent="0.2">
      <c r="A33" s="11">
        <v>-96</v>
      </c>
      <c r="B33" s="21">
        <v>0.65666666666666673</v>
      </c>
      <c r="C33" s="21">
        <v>1.45</v>
      </c>
      <c r="D33" s="21">
        <v>2.36</v>
      </c>
      <c r="E33" s="21">
        <v>3.043333333333333</v>
      </c>
      <c r="F33" s="21">
        <f>VLOOKUP(A33,'[1]SLR-m-X'!$A$2:$I$1000,2,FALSE)</f>
        <v>0.53239999999999998</v>
      </c>
      <c r="G33" s="21">
        <f>VLOOKUP(A33,'[1]SLR-m-X'!$A$2:$I$1000,3,FALSE)</f>
        <v>0.64670000000000005</v>
      </c>
      <c r="H33" s="21">
        <f>VLOOKUP(A33,'[1]SLR-m-X'!$A$2:$I$1000,4,FALSE)</f>
        <v>0.77250000000000008</v>
      </c>
      <c r="I33" s="21">
        <f>VLOOKUP(A33,'[1]SLR-m-X'!$A$2:$I$1000,5,FALSE)</f>
        <v>0.86319999999999997</v>
      </c>
    </row>
    <row r="34" spans="1:9" x14ac:dyDescent="0.2">
      <c r="A34" s="11">
        <v>-95</v>
      </c>
      <c r="B34" s="21">
        <v>0.89749999999999996</v>
      </c>
      <c r="C34" s="21">
        <v>1.855</v>
      </c>
      <c r="D34" s="21">
        <v>3.13</v>
      </c>
      <c r="E34" s="21">
        <v>4.3724999999999996</v>
      </c>
      <c r="F34" s="21">
        <f>VLOOKUP(A34,'[1]SLR-m-X'!$A$2:$I$1000,2,FALSE)</f>
        <v>0.51</v>
      </c>
      <c r="G34" s="21">
        <f>VLOOKUP(A34,'[1]SLR-m-X'!$A$2:$I$1000,3,FALSE)</f>
        <v>0.62549999999999994</v>
      </c>
      <c r="H34" s="21">
        <f>VLOOKUP(A34,'[1]SLR-m-X'!$A$2:$I$1000,4,FALSE)</f>
        <v>0.75</v>
      </c>
      <c r="I34" s="21">
        <f>VLOOKUP(A34,'[1]SLR-m-X'!$A$2:$I$1000,5,FALSE)</f>
        <v>0.84299999999999997</v>
      </c>
    </row>
    <row r="35" spans="1:9" x14ac:dyDescent="0.2">
      <c r="A35" s="11">
        <v>-94</v>
      </c>
      <c r="B35" s="21">
        <v>0.86</v>
      </c>
      <c r="C35" s="21">
        <v>2.04</v>
      </c>
      <c r="D35" s="21">
        <v>3.03</v>
      </c>
      <c r="E35" s="21">
        <v>4.45</v>
      </c>
      <c r="F35" s="21">
        <f>VLOOKUP(A35,'[1]SLR-m-X'!$A$2:$I$1000,2,FALSE)</f>
        <v>0.55800000000000005</v>
      </c>
      <c r="G35" s="21">
        <f>VLOOKUP(A35,'[1]SLR-m-X'!$A$2:$I$1000,3,FALSE)</f>
        <v>0.66400000000000003</v>
      </c>
      <c r="H35" s="21">
        <f>VLOOKUP(A35,'[1]SLR-m-X'!$A$2:$I$1000,4,FALSE)</f>
        <v>0.79400000000000004</v>
      </c>
      <c r="I35" s="21">
        <f>VLOOKUP(A35,'[1]SLR-m-X'!$A$2:$I$1000,5,FALSE)</f>
        <v>0.86799999999999999</v>
      </c>
    </row>
    <row r="36" spans="1:9" x14ac:dyDescent="0.2">
      <c r="A36" s="11">
        <v>-93</v>
      </c>
      <c r="B36" s="21">
        <v>0.75</v>
      </c>
      <c r="C36" s="21">
        <v>1.7849999999999999</v>
      </c>
      <c r="D36" s="21">
        <v>3.44</v>
      </c>
      <c r="E36" s="21">
        <v>4.0999999999999996</v>
      </c>
      <c r="F36" s="21">
        <f>VLOOKUP(A36,'[1]SLR-m-X'!$A$2:$I$1000,2,FALSE)</f>
        <v>0.53400000000000003</v>
      </c>
      <c r="G36" s="21">
        <f>VLOOKUP(A36,'[1]SLR-m-X'!$A$2:$I$1000,3,FALSE)</f>
        <v>0.63800000000000001</v>
      </c>
      <c r="H36" s="21">
        <f>VLOOKUP(A36,'[1]SLR-m-X'!$A$2:$I$1000,4,FALSE)</f>
        <v>0.77200000000000002</v>
      </c>
      <c r="I36" s="21">
        <f>VLOOKUP(A36,'[1]SLR-m-X'!$A$2:$I$1000,5,FALSE)</f>
        <v>0.84599999999999997</v>
      </c>
    </row>
    <row r="37" spans="1:9" x14ac:dyDescent="0.2">
      <c r="A37" s="11">
        <v>-92</v>
      </c>
      <c r="B37" s="21">
        <v>0.91857142857142871</v>
      </c>
      <c r="C37" s="21">
        <v>1.958571428571428</v>
      </c>
      <c r="D37" s="21">
        <v>3.2871428571428569</v>
      </c>
      <c r="E37" s="21">
        <v>4.2985714285714289</v>
      </c>
      <c r="F37" s="21">
        <f>VLOOKUP(A37,'[1]SLR-m-X'!$A$2:$I$1000,2,FALSE)</f>
        <v>0.54869999999999997</v>
      </c>
      <c r="G37" s="21">
        <f>VLOOKUP(A37,'[1]SLR-m-X'!$A$2:$I$1000,3,FALSE)</f>
        <v>0.65639999999999998</v>
      </c>
      <c r="H37" s="21">
        <f>VLOOKUP(A37,'[1]SLR-m-X'!$A$2:$I$1000,4,FALSE)</f>
        <v>0.78579999999999994</v>
      </c>
      <c r="I37" s="21">
        <f>VLOOKUP(A37,'[1]SLR-m-X'!$A$2:$I$1000,5,FALSE)</f>
        <v>0.86810000000000009</v>
      </c>
    </row>
    <row r="38" spans="1:9" x14ac:dyDescent="0.2">
      <c r="A38" s="11">
        <v>-91</v>
      </c>
      <c r="B38" s="21">
        <v>0.96</v>
      </c>
      <c r="C38" s="21">
        <v>1.8</v>
      </c>
      <c r="D38" s="21">
        <v>3.01</v>
      </c>
      <c r="E38" s="21">
        <v>4.17</v>
      </c>
      <c r="F38" s="21">
        <f>VLOOKUP(A38,'[1]SLR-m-X'!$A$2:$I$1000,2,FALSE)</f>
        <v>0.57150000000000001</v>
      </c>
      <c r="G38" s="21">
        <f>VLOOKUP(A38,'[1]SLR-m-X'!$A$2:$I$1000,3,FALSE)</f>
        <v>0.68500000000000005</v>
      </c>
      <c r="H38" s="21">
        <f>VLOOKUP(A38,'[1]SLR-m-X'!$A$2:$I$1000,4,FALSE)</f>
        <v>0.82150000000000001</v>
      </c>
      <c r="I38" s="21">
        <f>VLOOKUP(A38,'[1]SLR-m-X'!$A$2:$I$1000,5,FALSE)</f>
        <v>0.90450000000000008</v>
      </c>
    </row>
    <row r="39" spans="1:9" x14ac:dyDescent="0.2">
      <c r="A39" s="11">
        <v>-90</v>
      </c>
      <c r="B39" s="21">
        <v>0.5742857142857144</v>
      </c>
      <c r="C39" s="21">
        <v>1.8128571428571429</v>
      </c>
      <c r="D39" s="21">
        <v>3.13</v>
      </c>
      <c r="E39" s="21">
        <v>3.8557142857142859</v>
      </c>
      <c r="F39" s="21">
        <f>VLOOKUP(A39,'[1]SLR-m-X'!$A$2:$I$1000,2,FALSE)</f>
        <v>0.59587499999999993</v>
      </c>
      <c r="G39" s="21">
        <f>VLOOKUP(A39,'[1]SLR-m-X'!$A$2:$I$1000,3,FALSE)</f>
        <v>0.70774999999999999</v>
      </c>
      <c r="H39" s="21">
        <f>VLOOKUP(A39,'[1]SLR-m-X'!$A$2:$I$1000,4,FALSE)</f>
        <v>0.83499999999999996</v>
      </c>
      <c r="I39" s="21">
        <f>VLOOKUP(A39,'[1]SLR-m-X'!$A$2:$I$1000,5,FALSE)</f>
        <v>0.91849999999999998</v>
      </c>
    </row>
    <row r="40" spans="1:9" x14ac:dyDescent="0.2">
      <c r="A40" s="11">
        <v>-89</v>
      </c>
      <c r="B40" s="21">
        <v>0.87</v>
      </c>
      <c r="C40" s="21">
        <v>2.19</v>
      </c>
      <c r="D40" s="21">
        <v>3.7</v>
      </c>
      <c r="E40" s="21">
        <v>4.1900000000000004</v>
      </c>
      <c r="F40" s="21">
        <f>VLOOKUP(A40,'[1]SLR-m-X'!$A$2:$I$1000,2,FALSE)</f>
        <v>0.59210000000000007</v>
      </c>
      <c r="G40" s="21">
        <f>VLOOKUP(A40,'[1]SLR-m-X'!$A$2:$I$1000,3,FALSE)</f>
        <v>0.70440000000000003</v>
      </c>
      <c r="H40" s="21">
        <f>VLOOKUP(A40,'[1]SLR-m-X'!$A$2:$I$1000,4,FALSE)</f>
        <v>0.83260000000000001</v>
      </c>
      <c r="I40" s="21">
        <f>VLOOKUP(A40,'[1]SLR-m-X'!$A$2:$I$1000,5,FALSE)</f>
        <v>0.91300000000000003</v>
      </c>
    </row>
    <row r="41" spans="1:9" x14ac:dyDescent="0.2">
      <c r="A41" s="11">
        <v>-88</v>
      </c>
      <c r="B41" s="21">
        <v>0.74857142857142855</v>
      </c>
      <c r="C41" s="21">
        <v>1.964285714285714</v>
      </c>
      <c r="D41" s="21">
        <v>3.330000000000001</v>
      </c>
      <c r="E41" s="21">
        <v>4.2314285714285713</v>
      </c>
      <c r="F41" s="21">
        <f>VLOOKUP(A41,'[1]SLR-m-X'!$A$2:$I$1000,2,FALSE)</f>
        <v>0.73083333333333333</v>
      </c>
      <c r="G41" s="21">
        <f>VLOOKUP(A41,'[1]SLR-m-X'!$A$2:$I$1000,3,FALSE)</f>
        <v>0.85808333333333342</v>
      </c>
      <c r="H41" s="21">
        <f>VLOOKUP(A41,'[1]SLR-m-X'!$A$2:$I$1000,4,FALSE)</f>
        <v>0.97683333333333344</v>
      </c>
      <c r="I41" s="21">
        <f>VLOOKUP(A41,'[1]SLR-m-X'!$A$2:$I$1000,5,FALSE)</f>
        <v>1.0687500000000001</v>
      </c>
    </row>
    <row r="42" spans="1:9" x14ac:dyDescent="0.2">
      <c r="A42" s="11">
        <v>-87</v>
      </c>
      <c r="B42" s="21">
        <v>0.90555555555555545</v>
      </c>
      <c r="C42" s="21">
        <v>1.9088888888888891</v>
      </c>
      <c r="D42" s="21">
        <v>3.4422222222222221</v>
      </c>
      <c r="E42" s="21">
        <v>4.3755555555555548</v>
      </c>
      <c r="F42" s="21">
        <f>VLOOKUP(A42,'[1]SLR-m-X'!$A$2:$I$1000,2,FALSE)</f>
        <v>0.65366666666666673</v>
      </c>
      <c r="G42" s="21">
        <f>VLOOKUP(A42,'[1]SLR-m-X'!$A$2:$I$1000,3,FALSE)</f>
        <v>0.77716666666666667</v>
      </c>
      <c r="H42" s="21">
        <f>VLOOKUP(A42,'[1]SLR-m-X'!$A$2:$I$1000,4,FALSE)</f>
        <v>0.89733333333333343</v>
      </c>
      <c r="I42" s="21">
        <f>VLOOKUP(A42,'[1]SLR-m-X'!$A$2:$I$1000,5,FALSE)</f>
        <v>0.9863333333333334</v>
      </c>
    </row>
    <row r="43" spans="1:9" x14ac:dyDescent="0.2">
      <c r="A43" s="11">
        <v>-86</v>
      </c>
      <c r="B43" s="21">
        <v>0.99666666666666659</v>
      </c>
      <c r="C43" s="21">
        <v>2.0499999999999998</v>
      </c>
      <c r="D43" s="21">
        <v>3.3766666666666669</v>
      </c>
      <c r="E43" s="21">
        <v>4.4833333333333334</v>
      </c>
      <c r="F43" s="21">
        <f>VLOOKUP(A43,'[1]SLR-m-X'!$A$2:$I$1000,2,FALSE)</f>
        <v>0.50466666666666671</v>
      </c>
      <c r="G43" s="21">
        <f>VLOOKUP(A43,'[1]SLR-m-X'!$A$2:$I$1000,3,FALSE)</f>
        <v>0.60733333333333339</v>
      </c>
      <c r="H43" s="21">
        <f>VLOOKUP(A43,'[1]SLR-m-X'!$A$2:$I$1000,4,FALSE)</f>
        <v>0.74199999999999999</v>
      </c>
      <c r="I43" s="21">
        <f>VLOOKUP(A43,'[1]SLR-m-X'!$A$2:$I$1000,5,FALSE)</f>
        <v>0.81800000000000006</v>
      </c>
    </row>
    <row r="44" spans="1:9" x14ac:dyDescent="0.2">
      <c r="A44" s="11">
        <v>-85</v>
      </c>
      <c r="B44" s="21">
        <v>0.31799999999999989</v>
      </c>
      <c r="C44" s="21">
        <v>1.724</v>
      </c>
      <c r="D44" s="21">
        <v>3.1659999999999999</v>
      </c>
      <c r="E44" s="21">
        <v>4.0380000000000003</v>
      </c>
      <c r="F44" s="21">
        <f>VLOOKUP(A44,'[1]SLR-m-X'!$A$2:$I$1000,2,FALSE)</f>
        <v>0.57320000000000004</v>
      </c>
      <c r="G44" s="21">
        <f>VLOOKUP(A44,'[1]SLR-m-X'!$A$2:$I$1000,3,FALSE)</f>
        <v>0.69530000000000003</v>
      </c>
      <c r="H44" s="21">
        <f>VLOOKUP(A44,'[1]SLR-m-X'!$A$2:$I$1000,4,FALSE)</f>
        <v>0.81730000000000003</v>
      </c>
      <c r="I44" s="21">
        <f>VLOOKUP(A44,'[1]SLR-m-X'!$A$2:$I$1000,5,FALSE)</f>
        <v>0.90290000000000004</v>
      </c>
    </row>
    <row r="45" spans="1:9" x14ac:dyDescent="0.2">
      <c r="A45" s="11">
        <v>-84</v>
      </c>
      <c r="B45" s="21">
        <v>0.88714285714285712</v>
      </c>
      <c r="C45" s="21">
        <v>2.4242857142857148</v>
      </c>
      <c r="D45" s="21">
        <v>3.577142857142857</v>
      </c>
      <c r="E45" s="21">
        <v>5.1414285714285706</v>
      </c>
      <c r="F45" s="21">
        <f>VLOOKUP(A45,'[1]SLR-m-X'!$A$2:$I$1000,2,FALSE)</f>
        <v>0.39</v>
      </c>
      <c r="G45" s="21">
        <f>VLOOKUP(A45,'[1]SLR-m-X'!$A$2:$I$1000,3,FALSE)</f>
        <v>0.51375000000000004</v>
      </c>
      <c r="H45" s="21">
        <f>VLOOKUP(A45,'[1]SLR-m-X'!$A$2:$I$1000,4,FALSE)</f>
        <v>0.63850000000000007</v>
      </c>
      <c r="I45" s="21">
        <f>VLOOKUP(A45,'[1]SLR-m-X'!$A$2:$I$1000,5,FALSE)</f>
        <v>0.73275000000000001</v>
      </c>
    </row>
    <row r="46" spans="1:9" x14ac:dyDescent="0.2">
      <c r="A46" s="11">
        <v>-83</v>
      </c>
      <c r="B46" s="21">
        <v>0.76833333333333342</v>
      </c>
      <c r="C46" s="21">
        <v>2.168333333333333</v>
      </c>
      <c r="D46" s="21">
        <v>3.3283333333333331</v>
      </c>
      <c r="E46" s="21">
        <v>4.6016666666666666</v>
      </c>
      <c r="F46" s="21">
        <f>VLOOKUP(A46,'[1]SLR-m-X'!$A$2:$I$1000,2,FALSE)</f>
        <v>0.53100000000000003</v>
      </c>
      <c r="G46" s="21">
        <f>VLOOKUP(A46,'[1]SLR-m-X'!$A$2:$I$1000,3,FALSE)</f>
        <v>0.65825</v>
      </c>
      <c r="H46" s="21">
        <f>VLOOKUP(A46,'[1]SLR-m-X'!$A$2:$I$1000,4,FALSE)</f>
        <v>0.77987499999999998</v>
      </c>
      <c r="I46" s="21">
        <f>VLOOKUP(A46,'[1]SLR-m-X'!$A$2:$I$1000,5,FALSE)</f>
        <v>0.86787499999999995</v>
      </c>
    </row>
    <row r="47" spans="1:9" x14ac:dyDescent="0.2">
      <c r="A47" s="11">
        <v>-82</v>
      </c>
      <c r="B47" s="21">
        <v>0.79333333333333333</v>
      </c>
      <c r="C47" s="21">
        <v>2.0166666666666671</v>
      </c>
      <c r="D47" s="21">
        <v>3.206666666666667</v>
      </c>
      <c r="E47" s="21">
        <v>4.3533333333333326</v>
      </c>
      <c r="F47" s="21">
        <f>VLOOKUP(A47,'[1]SLR-m-X'!$A$2:$I$1000,2,FALSE)</f>
        <v>0.48266666666666658</v>
      </c>
      <c r="G47" s="21">
        <f>VLOOKUP(A47,'[1]SLR-m-X'!$A$2:$I$1000,3,FALSE)</f>
        <v>0.60266666666666657</v>
      </c>
      <c r="H47" s="21">
        <f>VLOOKUP(A47,'[1]SLR-m-X'!$A$2:$I$1000,4,FALSE)</f>
        <v>0.73166666666666658</v>
      </c>
      <c r="I47" s="21">
        <f>VLOOKUP(A47,'[1]SLR-m-X'!$A$2:$I$1000,5,FALSE)</f>
        <v>0.81599999999999995</v>
      </c>
    </row>
    <row r="48" spans="1:9" x14ac:dyDescent="0.2">
      <c r="A48" s="11">
        <v>-81</v>
      </c>
      <c r="B48" s="21">
        <v>0.72599999999999987</v>
      </c>
      <c r="C48" s="21">
        <v>2.0739999999999998</v>
      </c>
      <c r="D48" s="21">
        <v>3.464</v>
      </c>
      <c r="E48" s="21">
        <v>4.3559999999999999</v>
      </c>
      <c r="F48" s="21">
        <f>VLOOKUP(A48,'[1]SLR-m-X'!$A$2:$I$1000,2,FALSE)</f>
        <v>0.52259999999999995</v>
      </c>
      <c r="G48" s="21">
        <f>VLOOKUP(A48,'[1]SLR-m-X'!$A$2:$I$1000,3,FALSE)</f>
        <v>0.64100000000000001</v>
      </c>
      <c r="H48" s="21">
        <f>VLOOKUP(A48,'[1]SLR-m-X'!$A$2:$I$1000,4,FALSE)</f>
        <v>0.76500000000000001</v>
      </c>
      <c r="I48" s="21">
        <f>VLOOKUP(A48,'[1]SLR-m-X'!$A$2:$I$1000,5,FALSE)</f>
        <v>0.84819999999999995</v>
      </c>
    </row>
    <row r="49" spans="1:9" x14ac:dyDescent="0.2">
      <c r="A49" s="11">
        <v>-80</v>
      </c>
      <c r="B49" s="21">
        <v>0.60599999999999998</v>
      </c>
      <c r="C49" s="21">
        <v>1.9219999999999999</v>
      </c>
      <c r="D49" s="21">
        <v>3.3540000000000001</v>
      </c>
      <c r="E49" s="21">
        <v>3.9319999999999999</v>
      </c>
      <c r="F49" s="21">
        <f>VLOOKUP(A49,'[1]SLR-m-X'!$A$2:$I$1000,2,FALSE)</f>
        <v>0.23749999999999999</v>
      </c>
      <c r="G49" s="21">
        <f>VLOOKUP(A49,'[1]SLR-m-X'!$A$2:$I$1000,3,FALSE)</f>
        <v>0.35675000000000001</v>
      </c>
      <c r="H49" s="21">
        <f>VLOOKUP(A49,'[1]SLR-m-X'!$A$2:$I$1000,4,FALSE)</f>
        <v>0.48025000000000001</v>
      </c>
      <c r="I49" s="21">
        <f>VLOOKUP(A49,'[1]SLR-m-X'!$A$2:$I$1000,5,FALSE)</f>
        <v>0.57724999999999993</v>
      </c>
    </row>
    <row r="50" spans="1:9" x14ac:dyDescent="0.2">
      <c r="A50" s="11">
        <v>-79</v>
      </c>
      <c r="B50" s="21">
        <v>0.56000000000000005</v>
      </c>
      <c r="C50" s="21">
        <v>2.2275</v>
      </c>
      <c r="D50" s="21">
        <v>3.69</v>
      </c>
      <c r="E50" s="21">
        <v>4.99</v>
      </c>
      <c r="F50" s="21">
        <f>VLOOKUP(A50,'[1]SLR-m-X'!$A$2:$I$1000,2,FALSE)</f>
        <v>0.50800000000000001</v>
      </c>
      <c r="G50" s="21">
        <f>VLOOKUP(A50,'[1]SLR-m-X'!$A$2:$I$1000,3,FALSE)</f>
        <v>0.63100000000000001</v>
      </c>
      <c r="H50" s="21">
        <f>VLOOKUP(A50,'[1]SLR-m-X'!$A$2:$I$1000,4,FALSE)</f>
        <v>0.74350000000000005</v>
      </c>
      <c r="I50" s="21">
        <f>VLOOKUP(A50,'[1]SLR-m-X'!$A$2:$I$1000,5,FALSE)</f>
        <v>0.82800000000000007</v>
      </c>
    </row>
    <row r="51" spans="1:9" x14ac:dyDescent="0.2">
      <c r="A51" s="11">
        <v>-78</v>
      </c>
      <c r="B51" s="21">
        <v>0.57999999999999996</v>
      </c>
      <c r="C51" s="21">
        <v>1.736666666666667</v>
      </c>
      <c r="D51" s="21">
        <v>3.2133333333333329</v>
      </c>
      <c r="E51" s="21">
        <v>4.1000000000000014</v>
      </c>
      <c r="F51" s="21">
        <f>VLOOKUP(A51,'[1]SLR-m-X'!$A$2:$I$1000,2,FALSE)</f>
        <v>0.47591666666666671</v>
      </c>
      <c r="G51" s="21">
        <f>VLOOKUP(A51,'[1]SLR-m-X'!$A$2:$I$1000,3,FALSE)</f>
        <v>0.59275</v>
      </c>
      <c r="H51" s="21">
        <f>VLOOKUP(A51,'[1]SLR-m-X'!$A$2:$I$1000,4,FALSE)</f>
        <v>0.70866666666666667</v>
      </c>
      <c r="I51" s="21">
        <f>VLOOKUP(A51,'[1]SLR-m-X'!$A$2:$I$1000,5,FALSE)</f>
        <v>0.79316666666666658</v>
      </c>
    </row>
    <row r="52" spans="1:9" x14ac:dyDescent="0.2">
      <c r="A52" s="11">
        <v>-77</v>
      </c>
      <c r="B52" s="21">
        <v>0.71285714285714286</v>
      </c>
      <c r="C52" s="21">
        <v>1.8128571428571429</v>
      </c>
      <c r="D52" s="21">
        <v>3.3685714285714292</v>
      </c>
      <c r="E52" s="21">
        <v>4.2271428571428578</v>
      </c>
      <c r="F52" s="21">
        <f>VLOOKUP(A52,'[1]SLR-m-X'!$A$2:$I$1000,2,FALSE)</f>
        <v>0.46200000000000002</v>
      </c>
      <c r="G52" s="21">
        <f>VLOOKUP(A52,'[1]SLR-m-X'!$A$2:$I$1000,3,FALSE)</f>
        <v>0.58599999999999997</v>
      </c>
      <c r="H52" s="21">
        <f>VLOOKUP(A52,'[1]SLR-m-X'!$A$2:$I$1000,4,FALSE)</f>
        <v>0.68666666666666665</v>
      </c>
      <c r="I52" s="21">
        <f>VLOOKUP(A52,'[1]SLR-m-X'!$A$2:$I$1000,5,FALSE)</f>
        <v>0.77333333333333332</v>
      </c>
    </row>
    <row r="53" spans="1:9" x14ac:dyDescent="0.2">
      <c r="A53" s="11">
        <v>-76</v>
      </c>
      <c r="B53" s="21">
        <v>0.58500000000000008</v>
      </c>
      <c r="C53" s="21">
        <v>2.2200000000000002</v>
      </c>
      <c r="D53" s="21">
        <v>3.79</v>
      </c>
      <c r="E53" s="21">
        <v>4.2149999999999999</v>
      </c>
      <c r="F53" s="21">
        <f>VLOOKUP(A53,'[1]SLR-m-X'!$A$2:$I$1000,2,FALSE)</f>
        <v>0.5625</v>
      </c>
      <c r="G53" s="21">
        <f>VLOOKUP(A53,'[1]SLR-m-X'!$A$2:$I$1000,3,FALSE)</f>
        <v>0.68599999999999994</v>
      </c>
      <c r="H53" s="21">
        <f>VLOOKUP(A53,'[1]SLR-m-X'!$A$2:$I$1000,4,FALSE)</f>
        <v>0.8155</v>
      </c>
      <c r="I53" s="21">
        <f>VLOOKUP(A53,'[1]SLR-m-X'!$A$2:$I$1000,5,FALSE)</f>
        <v>0.89733333333499998</v>
      </c>
    </row>
    <row r="54" spans="1:9" x14ac:dyDescent="0.2">
      <c r="A54" s="11">
        <v>-75</v>
      </c>
      <c r="B54" s="21">
        <v>1.17</v>
      </c>
      <c r="C54" s="21">
        <v>2.78</v>
      </c>
      <c r="D54" s="21">
        <v>4.2300000000000004</v>
      </c>
      <c r="E54" s="21">
        <v>5.33</v>
      </c>
      <c r="F54" s="21">
        <f>VLOOKUP(A54,'[1]SLR-m-X'!$A$2:$I$1000,2,FALSE)</f>
        <v>0.62424999999999997</v>
      </c>
      <c r="G54" s="21">
        <f>VLOOKUP(A54,'[1]SLR-m-X'!$A$2:$I$1000,3,FALSE)</f>
        <v>0.75891666666649993</v>
      </c>
      <c r="H54" s="21">
        <f>VLOOKUP(A54,'[1]SLR-m-X'!$A$2:$I$1000,4,FALSE)</f>
        <v>0.86850000000000005</v>
      </c>
      <c r="I54" s="21">
        <f>VLOOKUP(A54,'[1]SLR-m-X'!$A$2:$I$1000,5,FALSE)</f>
        <v>0.96499999999999997</v>
      </c>
    </row>
    <row r="55" spans="1:9" x14ac:dyDescent="0.2">
      <c r="A55" s="11">
        <v>-74</v>
      </c>
      <c r="B55" s="21">
        <v>1.186666666666667</v>
      </c>
      <c r="C55" s="21">
        <v>2.583333333333333</v>
      </c>
      <c r="D55" s="21">
        <v>3.6166666666666671</v>
      </c>
      <c r="E55" s="21">
        <v>4.6133333333333333</v>
      </c>
      <c r="F55" s="21">
        <f>VLOOKUP(A55,'[1]SLR-m-X'!$A$2:$I$1000,2,FALSE)</f>
        <v>0.40375</v>
      </c>
      <c r="G55" s="21">
        <f>VLOOKUP(A55,'[1]SLR-m-X'!$A$2:$I$1000,3,FALSE)</f>
        <v>0.499</v>
      </c>
      <c r="H55" s="21">
        <f>VLOOKUP(A55,'[1]SLR-m-X'!$A$2:$I$1000,4,FALSE)</f>
        <v>0.57050000000000001</v>
      </c>
      <c r="I55" s="21">
        <f>VLOOKUP(A55,'[1]SLR-m-X'!$A$2:$I$1000,5,FALSE)</f>
        <v>0.63624999999999998</v>
      </c>
    </row>
    <row r="56" spans="1:9" x14ac:dyDescent="0.2">
      <c r="A56" s="11">
        <v>-73</v>
      </c>
      <c r="B56" s="21">
        <v>0.86</v>
      </c>
      <c r="C56" s="21">
        <v>1.9</v>
      </c>
      <c r="D56" s="21">
        <v>3.3</v>
      </c>
      <c r="E56" s="21">
        <v>4.18</v>
      </c>
      <c r="F56" s="21">
        <f>VLOOKUP(A56,'[1]SLR-m-X'!$A$2:$I$1000,2,FALSE)</f>
        <v>0.52400000000000002</v>
      </c>
      <c r="G56" s="21">
        <f>VLOOKUP(A56,'[1]SLR-m-X'!$A$2:$I$1000,3,FALSE)</f>
        <v>0.65500000000000003</v>
      </c>
      <c r="H56" s="21">
        <f>VLOOKUP(A56,'[1]SLR-m-X'!$A$2:$I$1000,4,FALSE)</f>
        <v>0.753</v>
      </c>
      <c r="I56" s="21">
        <f>VLOOKUP(A56,'[1]SLR-m-X'!$A$2:$I$1000,5,FALSE)</f>
        <v>0.85</v>
      </c>
    </row>
    <row r="57" spans="1:9" x14ac:dyDescent="0.2">
      <c r="A57" s="11">
        <v>-72</v>
      </c>
      <c r="B57" s="21">
        <v>1.5</v>
      </c>
      <c r="C57" s="21">
        <v>2.75</v>
      </c>
      <c r="D57" s="21">
        <v>3.32</v>
      </c>
      <c r="E57" s="21">
        <v>4.3499999999999996</v>
      </c>
      <c r="F57" s="21">
        <f>VLOOKUP(A57,'[1]SLR-m-X'!$A$2:$I$1000,2,FALSE)</f>
        <v>0.32450000000000001</v>
      </c>
      <c r="G57" s="21">
        <f>VLOOKUP(A57,'[1]SLR-m-X'!$A$2:$I$1000,3,FALSE)</f>
        <v>0.43233333333333329</v>
      </c>
      <c r="H57" s="21">
        <f>VLOOKUP(A57,'[1]SLR-m-X'!$A$2:$I$1000,4,FALSE)</f>
        <v>0.54566666666666663</v>
      </c>
      <c r="I57" s="21">
        <f>VLOOKUP(A57,'[1]SLR-m-X'!$A$2:$I$1000,5,FALSE)</f>
        <v>0.61916666666666664</v>
      </c>
    </row>
    <row r="58" spans="1:9" x14ac:dyDescent="0.2">
      <c r="A58" s="11">
        <v>-71</v>
      </c>
      <c r="B58" s="21">
        <v>1.024285714285714</v>
      </c>
      <c r="C58" s="21">
        <v>2.194285714285714</v>
      </c>
      <c r="D58" s="21">
        <v>3.2185714285714289</v>
      </c>
      <c r="E58" s="21">
        <v>4.0457142857142863</v>
      </c>
      <c r="F58" s="21">
        <f>VLOOKUP(A58,'[1]SLR-m-X'!$A$2:$I$1000,2,FALSE)</f>
        <v>0.33666666666666673</v>
      </c>
      <c r="G58" s="21">
        <f>VLOOKUP(A58,'[1]SLR-m-X'!$A$2:$I$1000,3,FALSE)</f>
        <v>0.42233333333333328</v>
      </c>
      <c r="H58" s="21">
        <f>VLOOKUP(A58,'[1]SLR-m-X'!$A$2:$I$1000,4,FALSE)</f>
        <v>0.49533333333333329</v>
      </c>
      <c r="I58" s="21">
        <f>VLOOKUP(A58,'[1]SLR-m-X'!$A$2:$I$1000,5,FALSE)</f>
        <v>0.55366666666666664</v>
      </c>
    </row>
    <row r="59" spans="1:9" x14ac:dyDescent="0.2">
      <c r="A59" s="11">
        <v>-70</v>
      </c>
      <c r="B59" s="21">
        <v>0.42</v>
      </c>
      <c r="C59" s="21">
        <v>2.87</v>
      </c>
      <c r="D59" s="21">
        <v>4.54</v>
      </c>
      <c r="E59" s="21">
        <v>5.46</v>
      </c>
      <c r="F59" s="21">
        <f>VLOOKUP(A59,'[1]SLR-m-X'!$A$2:$I$1000,2,FALSE)</f>
        <v>0.52100000000000002</v>
      </c>
      <c r="G59" s="21">
        <f>VLOOKUP(A59,'[1]SLR-m-X'!$A$2:$I$1000,3,FALSE)</f>
        <v>0.64800000000000002</v>
      </c>
      <c r="H59" s="21">
        <f>VLOOKUP(A59,'[1]SLR-m-X'!$A$2:$I$1000,4,FALSE)</f>
        <v>0.76800000000000002</v>
      </c>
      <c r="I59" s="21">
        <f>VLOOKUP(A59,'[1]SLR-m-X'!$A$2:$I$1000,5,FALSE)</f>
        <v>0.86</v>
      </c>
    </row>
    <row r="60" spans="1:9" x14ac:dyDescent="0.2">
      <c r="A60" s="11">
        <v>-69</v>
      </c>
      <c r="B60" s="21">
        <v>1.0783333333333329</v>
      </c>
      <c r="C60" s="21">
        <v>2.46</v>
      </c>
      <c r="D60" s="21">
        <v>3.2216666666666671</v>
      </c>
      <c r="E60" s="21">
        <v>4.5216666666666674</v>
      </c>
      <c r="F60" s="21">
        <f>VLOOKUP(A60,'[1]SLR-m-X'!$A$2:$I$1000,2,FALSE)</f>
        <v>0.38892857142857151</v>
      </c>
      <c r="G60" s="21">
        <f>VLOOKUP(A60,'[1]SLR-m-X'!$A$2:$I$1000,3,FALSE)</f>
        <v>0.50971428571428568</v>
      </c>
      <c r="H60" s="21">
        <f>VLOOKUP(A60,'[1]SLR-m-X'!$A$2:$I$1000,4,FALSE)</f>
        <v>0.62071428571428566</v>
      </c>
      <c r="I60" s="21">
        <f>VLOOKUP(A60,'[1]SLR-m-X'!$A$2:$I$1000,5,FALSE)</f>
        <v>0.71021428571428569</v>
      </c>
    </row>
    <row r="61" spans="1:9" x14ac:dyDescent="0.2">
      <c r="A61" s="11">
        <v>-68</v>
      </c>
      <c r="B61" s="21">
        <v>0.72857142857142865</v>
      </c>
      <c r="C61" s="21">
        <v>1.7214285714285711</v>
      </c>
      <c r="D61" s="21">
        <v>2.7114285714285709</v>
      </c>
      <c r="E61" s="21">
        <v>4.1557142857142848</v>
      </c>
      <c r="F61" s="21">
        <f>VLOOKUP(A61,'[1]SLR-m-X'!$A$2:$I$1000,2,FALSE)</f>
        <v>0.45133333333333342</v>
      </c>
      <c r="G61" s="21">
        <f>VLOOKUP(A61,'[1]SLR-m-X'!$A$2:$I$1000,3,FALSE)</f>
        <v>0.57666666666666666</v>
      </c>
      <c r="H61" s="21">
        <f>VLOOKUP(A61,'[1]SLR-m-X'!$A$2:$I$1000,4,FALSE)</f>
        <v>0.6905</v>
      </c>
      <c r="I61" s="21">
        <f>VLOOKUP(A61,'[1]SLR-m-X'!$A$2:$I$1000,5,FALSE)</f>
        <v>0.77716666666666667</v>
      </c>
    </row>
    <row r="62" spans="1:9" x14ac:dyDescent="0.2">
      <c r="A62" s="11">
        <v>-67</v>
      </c>
      <c r="B62" s="21">
        <v>1.96</v>
      </c>
      <c r="C62" s="21">
        <v>3.59</v>
      </c>
      <c r="D62" s="21">
        <v>3.64</v>
      </c>
      <c r="E62" s="21">
        <v>4.87</v>
      </c>
      <c r="F62" s="21">
        <f>VLOOKUP(A62,'[1]SLR-m-X'!$A$2:$I$1000,2,FALSE)</f>
        <v>0.51400000000000001</v>
      </c>
      <c r="G62" s="21">
        <f>VLOOKUP(A62,'[1]SLR-m-X'!$A$2:$I$1000,3,FALSE)</f>
        <v>0.64100000000000001</v>
      </c>
      <c r="H62" s="21">
        <f>VLOOKUP(A62,'[1]SLR-m-X'!$A$2:$I$1000,4,FALSE)</f>
        <v>0.75600000000000001</v>
      </c>
      <c r="I62" s="21">
        <f>VLOOKUP(A62,'[1]SLR-m-X'!$A$2:$I$1000,5,FALSE)</f>
        <v>0.84799999999999998</v>
      </c>
    </row>
    <row r="63" spans="1:9" x14ac:dyDescent="0.2">
      <c r="A63" s="11">
        <v>-66</v>
      </c>
      <c r="B63" s="21">
        <v>0.61499999999999999</v>
      </c>
      <c r="C63" s="21">
        <v>2.2149999999999999</v>
      </c>
      <c r="D63" s="21">
        <v>3.4550000000000001</v>
      </c>
      <c r="E63" s="21">
        <v>4.6550000000000002</v>
      </c>
      <c r="F63" s="21">
        <f>VLOOKUP(A63,'[1]SLR-m-X'!$A$2:$I$1000,2,FALSE)</f>
        <v>0.46500000000000002</v>
      </c>
      <c r="G63" s="21">
        <f>VLOOKUP(A63,'[1]SLR-m-X'!$A$2:$I$1000,3,FALSE)</f>
        <v>0.58966666666666667</v>
      </c>
      <c r="H63" s="21">
        <f>VLOOKUP(A63,'[1]SLR-m-X'!$A$2:$I$1000,4,FALSE)</f>
        <v>0.69766666666666666</v>
      </c>
      <c r="I63" s="21">
        <f>VLOOKUP(A63,'[1]SLR-m-X'!$A$2:$I$1000,5,FALSE)</f>
        <v>0.79599999999999993</v>
      </c>
    </row>
    <row r="64" spans="1:9" x14ac:dyDescent="0.2">
      <c r="A64" s="11">
        <v>-65</v>
      </c>
      <c r="B64" s="21">
        <v>1.385</v>
      </c>
      <c r="C64" s="21">
        <v>2.415</v>
      </c>
      <c r="D64" s="21">
        <v>3.2650000000000001</v>
      </c>
      <c r="E64" s="21">
        <v>4.4649999999999999</v>
      </c>
      <c r="F64" s="21">
        <f>VLOOKUP(A64,'[1]SLR-m-X'!$A$2:$I$1000,2,FALSE)</f>
        <v>0.57383333333333331</v>
      </c>
      <c r="G64" s="21">
        <f>VLOOKUP(A64,'[1]SLR-m-X'!$A$2:$I$1000,3,FALSE)</f>
        <v>0.70066666666666677</v>
      </c>
      <c r="H64" s="21">
        <f>VLOOKUP(A64,'[1]SLR-m-X'!$A$2:$I$1000,4,FALSE)</f>
        <v>0.79966666666666664</v>
      </c>
      <c r="I64" s="21">
        <f>VLOOKUP(A64,'[1]SLR-m-X'!$A$2:$I$1000,5,FALSE)</f>
        <v>0.89849999999999997</v>
      </c>
    </row>
    <row r="65" spans="1:9" x14ac:dyDescent="0.2">
      <c r="A65" s="11">
        <v>-64</v>
      </c>
      <c r="B65" s="21">
        <v>1.0990909090909089</v>
      </c>
      <c r="C65" s="21">
        <v>2.3054545454545452</v>
      </c>
      <c r="D65" s="21">
        <v>3.5054545454545458</v>
      </c>
      <c r="E65" s="21">
        <v>4.18</v>
      </c>
      <c r="F65" s="21">
        <f>VLOOKUP(A65,'[1]SLR-m-X'!$A$2:$I$1000,2,FALSE)</f>
        <v>0.54066666666666674</v>
      </c>
      <c r="G65" s="21">
        <f>VLOOKUP(A65,'[1]SLR-m-X'!$A$2:$I$1000,3,FALSE)</f>
        <v>0.6684444444444444</v>
      </c>
      <c r="H65" s="21">
        <f>VLOOKUP(A65,'[1]SLR-m-X'!$A$2:$I$1000,4,FALSE)</f>
        <v>0.77744444444444438</v>
      </c>
      <c r="I65" s="21">
        <f>VLOOKUP(A65,'[1]SLR-m-X'!$A$2:$I$1000,5,FALSE)</f>
        <v>0.87777777777777777</v>
      </c>
    </row>
    <row r="66" spans="1:9" x14ac:dyDescent="0.2">
      <c r="A66" s="11">
        <v>-63</v>
      </c>
      <c r="B66" s="21">
        <v>1.222</v>
      </c>
      <c r="C66" s="21">
        <v>2.398000000000001</v>
      </c>
      <c r="D66" s="21">
        <v>3.62</v>
      </c>
      <c r="E66" s="21">
        <v>4.6020000000000003</v>
      </c>
      <c r="F66" s="21">
        <f>VLOOKUP(A66,'[1]SLR-m-X'!$A$2:$I$1000,2,FALSE)</f>
        <v>0.49375000000000002</v>
      </c>
      <c r="G66" s="21">
        <f>VLOOKUP(A66,'[1]SLR-m-X'!$A$2:$I$1000,3,FALSE)</f>
        <v>0.62125000000000008</v>
      </c>
      <c r="H66" s="21">
        <f>VLOOKUP(A66,'[1]SLR-m-X'!$A$2:$I$1000,4,FALSE)</f>
        <v>0.72499999999999998</v>
      </c>
      <c r="I66" s="21">
        <f>VLOOKUP(A66,'[1]SLR-m-X'!$A$2:$I$1000,5,FALSE)</f>
        <v>0.82450000000000001</v>
      </c>
    </row>
    <row r="67" spans="1:9" x14ac:dyDescent="0.2">
      <c r="A67" s="11">
        <v>-62</v>
      </c>
      <c r="B67" s="21">
        <v>0.92</v>
      </c>
      <c r="C67" s="21">
        <v>1.71</v>
      </c>
      <c r="D67" s="21">
        <v>2.66</v>
      </c>
      <c r="E67" s="21">
        <v>4.21</v>
      </c>
      <c r="F67" s="21">
        <f>VLOOKUP(A67,'[1]SLR-m-X'!$A$2:$I$1000,2,FALSE)</f>
        <v>0.42283333333333328</v>
      </c>
      <c r="G67" s="21">
        <f>VLOOKUP(A67,'[1]SLR-m-X'!$A$2:$I$1000,3,FALSE)</f>
        <v>0.54633333333333334</v>
      </c>
      <c r="H67" s="21">
        <f>VLOOKUP(A67,'[1]SLR-m-X'!$A$2:$I$1000,4,FALSE)</f>
        <v>0.65083333333333337</v>
      </c>
      <c r="I67" s="21">
        <f>VLOOKUP(A67,'[1]SLR-m-X'!$A$2:$I$1000,5,FALSE)</f>
        <v>0.7413333333333334</v>
      </c>
    </row>
    <row r="68" spans="1:9" x14ac:dyDescent="0.2">
      <c r="A68" s="11">
        <v>-61</v>
      </c>
      <c r="B68" s="21">
        <v>0.874</v>
      </c>
      <c r="C68" s="21">
        <v>1.762</v>
      </c>
      <c r="D68" s="21">
        <v>2.8159999999999998</v>
      </c>
      <c r="E68" s="21">
        <v>4.2760000000000007</v>
      </c>
      <c r="F68" s="21">
        <f>VLOOKUP(A68,'[1]SLR-m-X'!$A$2:$I$1000,2,FALSE)</f>
        <v>0.45600000000000002</v>
      </c>
      <c r="G68" s="21">
        <f>VLOOKUP(A68,'[1]SLR-m-X'!$A$2:$I$1000,3,FALSE)</f>
        <v>0.57899999999999996</v>
      </c>
      <c r="H68" s="21">
        <f>VLOOKUP(A68,'[1]SLR-m-X'!$A$2:$I$1000,4,FALSE)</f>
        <v>0.68700000000000006</v>
      </c>
      <c r="I68" s="21">
        <f>VLOOKUP(A68,'[1]SLR-m-X'!$A$2:$I$1000,5,FALSE)</f>
        <v>0.77300000000000002</v>
      </c>
    </row>
    <row r="69" spans="1:9" x14ac:dyDescent="0.2">
      <c r="A69" s="11">
        <v>-59</v>
      </c>
      <c r="B69" s="21">
        <v>1.49</v>
      </c>
      <c r="C69" s="21">
        <v>2.58</v>
      </c>
      <c r="D69" s="21">
        <v>3.645</v>
      </c>
      <c r="E69" s="21">
        <v>4.6750000000000007</v>
      </c>
      <c r="F69" s="21">
        <f>VLOOKUP(A69,'[1]SLR-m-X'!$A$2:$I$1000,2,FALSE)</f>
        <v>0.45333333333333331</v>
      </c>
      <c r="G69" s="21">
        <f>VLOOKUP(A69,'[1]SLR-m-X'!$A$2:$I$1000,3,FALSE)</f>
        <v>0.57766666666666666</v>
      </c>
      <c r="H69" s="21">
        <f>VLOOKUP(A69,'[1]SLR-m-X'!$A$2:$I$1000,4,FALSE)</f>
        <v>0.69233333333333336</v>
      </c>
      <c r="I69" s="21">
        <f>VLOOKUP(A69,'[1]SLR-m-X'!$A$2:$I$1000,5,FALSE)</f>
        <v>0.78449999999999998</v>
      </c>
    </row>
    <row r="70" spans="1:9" x14ac:dyDescent="0.2">
      <c r="A70" s="11">
        <v>-58</v>
      </c>
      <c r="B70" s="21">
        <v>2.3679999999999999</v>
      </c>
      <c r="C70" s="21">
        <v>2.6560000000000001</v>
      </c>
      <c r="D70" s="21">
        <v>4.0819999999999999</v>
      </c>
      <c r="E70" s="21">
        <v>4.92</v>
      </c>
      <c r="F70" s="21">
        <f>VLOOKUP(A70,'[1]SLR-m-X'!$A$2:$I$1000,2,FALSE)</f>
        <v>-6.2552333333333996</v>
      </c>
      <c r="G70" s="21">
        <f>VLOOKUP(A70,'[1]SLR-m-X'!$A$2:$I$1000,3,FALSE)</f>
        <v>-6.1575333333333999</v>
      </c>
      <c r="H70" s="21">
        <f>VLOOKUP(A70,'[1]SLR-m-X'!$A$2:$I$1000,4,FALSE)</f>
        <v>-6.0636000000000001</v>
      </c>
      <c r="I70" s="21">
        <f>VLOOKUP(A70,'[1]SLR-m-X'!$A$2:$I$1000,5,FALSE)</f>
        <v>-5.9913666666666003</v>
      </c>
    </row>
    <row r="71" spans="1:9" x14ac:dyDescent="0.2">
      <c r="A71" s="11">
        <v>-57</v>
      </c>
      <c r="B71" s="21">
        <v>2.0325000000000002</v>
      </c>
      <c r="C71" s="21">
        <v>2.7349999999999999</v>
      </c>
      <c r="D71" s="21">
        <v>3.4449999999999998</v>
      </c>
      <c r="E71" s="21">
        <v>5.0324999999999998</v>
      </c>
      <c r="F71" s="21">
        <f>VLOOKUP(A71,'[1]SLR-m-X'!$A$2:$I$1000,2,FALSE)</f>
        <v>0.36366666666666658</v>
      </c>
      <c r="G71" s="21">
        <f>VLOOKUP(A71,'[1]SLR-m-X'!$A$2:$I$1000,3,FALSE)</f>
        <v>0.48633333333333328</v>
      </c>
      <c r="H71" s="21">
        <f>VLOOKUP(A71,'[1]SLR-m-X'!$A$2:$I$1000,4,FALSE)</f>
        <v>0.61833333333333329</v>
      </c>
      <c r="I71" s="21">
        <f>VLOOKUP(A71,'[1]SLR-m-X'!$A$2:$I$1000,5,FALSE)</f>
        <v>0.70199999999999996</v>
      </c>
    </row>
    <row r="72" spans="1:9" x14ac:dyDescent="0.2">
      <c r="A72" s="11">
        <v>-55</v>
      </c>
      <c r="B72" s="21">
        <v>0.67</v>
      </c>
      <c r="C72" s="21">
        <v>1.76</v>
      </c>
      <c r="D72" s="21">
        <v>3.12</v>
      </c>
      <c r="E72" s="21">
        <v>4.28</v>
      </c>
      <c r="F72" s="21"/>
      <c r="G72" s="21"/>
      <c r="H72" s="21"/>
      <c r="I72" s="21"/>
    </row>
    <row r="73" spans="1:9" x14ac:dyDescent="0.2">
      <c r="A73" s="11">
        <v>-54</v>
      </c>
      <c r="B73" s="21">
        <v>2.4900000000000002</v>
      </c>
      <c r="C73" s="21">
        <v>2.7</v>
      </c>
      <c r="D73" s="21">
        <v>4.4400000000000004</v>
      </c>
      <c r="E73" s="21">
        <v>5.36</v>
      </c>
      <c r="F73" s="21">
        <f>VLOOKUP(A73,'[1]SLR-m-X'!$A$2:$I$1000,2,FALSE)</f>
        <v>0.39924999999999999</v>
      </c>
      <c r="G73" s="21">
        <f>VLOOKUP(A73,'[1]SLR-m-X'!$A$2:$I$1000,3,FALSE)</f>
        <v>0.52974999999999994</v>
      </c>
      <c r="H73" s="21">
        <f>VLOOKUP(A73,'[1]SLR-m-X'!$A$2:$I$1000,4,FALSE)</f>
        <v>0.65949999999999998</v>
      </c>
      <c r="I73" s="21">
        <f>VLOOKUP(A73,'[1]SLR-m-X'!$A$2:$I$1000,5,FALSE)</f>
        <v>0.74524999999999997</v>
      </c>
    </row>
    <row r="74" spans="1:9" x14ac:dyDescent="0.2">
      <c r="A74" s="11">
        <v>-53</v>
      </c>
      <c r="B74" s="21">
        <v>1.6020000000000001</v>
      </c>
      <c r="C74" s="21">
        <v>2.3919999999999999</v>
      </c>
      <c r="D74" s="21">
        <v>4.0220000000000002</v>
      </c>
      <c r="E74" s="21">
        <v>5.1919999999999993</v>
      </c>
      <c r="F74" s="21">
        <f>VLOOKUP(A74,'[1]SLR-m-X'!$A$2:$I$1000,2,FALSE)</f>
        <v>0.51899999999999991</v>
      </c>
      <c r="G74" s="21">
        <f>VLOOKUP(A74,'[1]SLR-m-X'!$A$2:$I$1000,3,FALSE)</f>
        <v>0.65500000000000003</v>
      </c>
      <c r="H74" s="21">
        <f>VLOOKUP(A74,'[1]SLR-m-X'!$A$2:$I$1000,4,FALSE)</f>
        <v>0.76249999999999996</v>
      </c>
      <c r="I74" s="21">
        <f>VLOOKUP(A74,'[1]SLR-m-X'!$A$2:$I$1000,5,FALSE)</f>
        <v>0.86699999999999999</v>
      </c>
    </row>
    <row r="75" spans="1:9" x14ac:dyDescent="0.2">
      <c r="A75" s="11">
        <v>-52</v>
      </c>
      <c r="B75" s="21">
        <v>0.85</v>
      </c>
      <c r="C75" s="21">
        <v>2.04</v>
      </c>
      <c r="D75" s="21">
        <v>3.36</v>
      </c>
      <c r="E75" s="21">
        <v>4.8499999999999996</v>
      </c>
      <c r="F75" s="21">
        <f>VLOOKUP(A75,'[1]SLR-m-X'!$A$2:$I$1000,2,FALSE)</f>
        <v>0.48</v>
      </c>
      <c r="G75" s="21">
        <f>VLOOKUP(A75,'[1]SLR-m-X'!$A$2:$I$1000,3,FALSE)</f>
        <v>0.61</v>
      </c>
      <c r="H75" s="21">
        <f>VLOOKUP(A75,'[1]SLR-m-X'!$A$2:$I$1000,4,FALSE)</f>
        <v>0.72299999999999998</v>
      </c>
      <c r="I75" s="21">
        <f>VLOOKUP(A75,'[1]SLR-m-X'!$A$2:$I$1000,5,FALSE)</f>
        <v>0.81299999999999994</v>
      </c>
    </row>
    <row r="76" spans="1:9" x14ac:dyDescent="0.2">
      <c r="A76" s="11">
        <v>-50</v>
      </c>
      <c r="B76" s="21">
        <v>2.36</v>
      </c>
      <c r="C76" s="21">
        <v>2.84</v>
      </c>
      <c r="D76" s="21">
        <v>4.37</v>
      </c>
      <c r="E76" s="21">
        <v>5.49</v>
      </c>
      <c r="F76" s="21"/>
      <c r="G76" s="21"/>
      <c r="H76" s="21"/>
      <c r="I76" s="21"/>
    </row>
    <row r="77" spans="1:9" x14ac:dyDescent="0.2">
      <c r="A77" s="11">
        <v>-48</v>
      </c>
      <c r="B77" s="21">
        <v>1.19</v>
      </c>
      <c r="C77" s="21">
        <v>2.6425000000000001</v>
      </c>
      <c r="D77" s="21">
        <v>3.6775000000000002</v>
      </c>
      <c r="E77" s="21">
        <v>4.665</v>
      </c>
      <c r="F77" s="21">
        <f>VLOOKUP(A77,'[1]SLR-m-X'!$A$2:$I$1000,2,FALSE)</f>
        <v>0.55049999999999999</v>
      </c>
      <c r="G77" s="21">
        <f>VLOOKUP(A77,'[1]SLR-m-X'!$A$2:$I$1000,3,FALSE)</f>
        <v>0.6865</v>
      </c>
      <c r="H77" s="21">
        <f>VLOOKUP(A77,'[1]SLR-m-X'!$A$2:$I$1000,4,FALSE)</f>
        <v>0.81899999999999995</v>
      </c>
      <c r="I77" s="21">
        <f>VLOOKUP(A77,'[1]SLR-m-X'!$A$2:$I$1000,5,FALSE)</f>
        <v>0.90449999999999997</v>
      </c>
    </row>
    <row r="78" spans="1:9" x14ac:dyDescent="0.2">
      <c r="A78" s="11">
        <v>-47</v>
      </c>
      <c r="B78" s="21">
        <v>1.3</v>
      </c>
      <c r="C78" s="21">
        <v>2.79</v>
      </c>
      <c r="D78" s="21">
        <v>3.68</v>
      </c>
      <c r="E78" s="21">
        <v>4.55</v>
      </c>
      <c r="F78" s="21"/>
      <c r="G78" s="21"/>
      <c r="H78" s="21"/>
      <c r="I78" s="21"/>
    </row>
    <row r="79" spans="1:9" x14ac:dyDescent="0.2">
      <c r="A79" s="11">
        <v>-44</v>
      </c>
      <c r="B79" s="21">
        <v>0.94</v>
      </c>
      <c r="C79" s="21">
        <v>2.1</v>
      </c>
      <c r="D79" s="21">
        <v>3.34</v>
      </c>
      <c r="E79" s="21">
        <v>4.59</v>
      </c>
      <c r="F79" s="21"/>
      <c r="G79" s="21"/>
      <c r="H79" s="21"/>
      <c r="I79" s="21"/>
    </row>
    <row r="80" spans="1:9" x14ac:dyDescent="0.2">
      <c r="A80" s="11">
        <v>-39</v>
      </c>
      <c r="B80" s="21">
        <v>0.64</v>
      </c>
      <c r="C80" s="21">
        <v>2.13</v>
      </c>
      <c r="D80" s="21">
        <v>3.46</v>
      </c>
      <c r="E80" s="21">
        <v>4.3899999999999997</v>
      </c>
      <c r="F80" s="21"/>
      <c r="G80" s="21"/>
      <c r="H80" s="21"/>
      <c r="I80" s="21"/>
    </row>
    <row r="81" spans="1:9" x14ac:dyDescent="0.2">
      <c r="A81" s="11">
        <v>-23</v>
      </c>
      <c r="B81" s="21">
        <v>0.745</v>
      </c>
      <c r="C81" s="21">
        <v>1.5349999999999999</v>
      </c>
      <c r="D81" s="21">
        <v>1.885</v>
      </c>
      <c r="E81" s="21">
        <v>3.17</v>
      </c>
      <c r="F81" s="21">
        <f>VLOOKUP(A81,'[1]SLR-m-X'!$A$2:$I$1000,2,FALSE)</f>
        <v>0.49199999999999999</v>
      </c>
      <c r="G81" s="21">
        <f>VLOOKUP(A81,'[1]SLR-m-X'!$A$2:$I$1000,3,FALSE)</f>
        <v>0.61549999999999994</v>
      </c>
      <c r="H81" s="21">
        <f>VLOOKUP(A81,'[1]SLR-m-X'!$A$2:$I$1000,4,FALSE)</f>
        <v>0.72499999999999998</v>
      </c>
      <c r="I81" s="21">
        <f>VLOOKUP(A81,'[1]SLR-m-X'!$A$2:$I$1000,5,FALSE)</f>
        <v>0.81699999999999995</v>
      </c>
    </row>
    <row r="82" spans="1:9" x14ac:dyDescent="0.2">
      <c r="A82" s="11">
        <v>-22</v>
      </c>
      <c r="B82" s="21">
        <v>0.6</v>
      </c>
      <c r="C82" s="21">
        <v>1.22</v>
      </c>
      <c r="D82" s="21">
        <v>1.41</v>
      </c>
      <c r="E82" s="21">
        <v>2.77</v>
      </c>
      <c r="F82" s="21"/>
      <c r="G82" s="21"/>
      <c r="H82" s="21"/>
      <c r="I82" s="21"/>
    </row>
    <row r="83" spans="1:9" x14ac:dyDescent="0.2">
      <c r="A83" s="11">
        <v>-17</v>
      </c>
      <c r="B83" s="21">
        <v>0.96</v>
      </c>
      <c r="C83" s="21">
        <v>1.76</v>
      </c>
      <c r="D83" s="21">
        <v>1.9</v>
      </c>
      <c r="E83" s="21">
        <v>2.96</v>
      </c>
      <c r="F83" s="21">
        <f>VLOOKUP(A83,'[1]SLR-m-X'!$A$2:$I$1000,2,FALSE)</f>
        <v>0.46174999999999999</v>
      </c>
      <c r="G83" s="21">
        <f>VLOOKUP(A83,'[1]SLR-m-X'!$A$2:$I$1000,3,FALSE)</f>
        <v>0.58716666666666661</v>
      </c>
      <c r="H83" s="21">
        <f>VLOOKUP(A83,'[1]SLR-m-X'!$A$2:$I$1000,4,FALSE)</f>
        <v>0.69816666666666671</v>
      </c>
      <c r="I83" s="21">
        <f>VLOOKUP(A83,'[1]SLR-m-X'!$A$2:$I$1000,5,FALSE)</f>
        <v>0.79200000000000015</v>
      </c>
    </row>
    <row r="84" spans="1:9" x14ac:dyDescent="0.2">
      <c r="A84" s="11">
        <v>-16</v>
      </c>
      <c r="B84" s="21">
        <v>0.99285714285714277</v>
      </c>
      <c r="C84" s="21">
        <v>1.899285714285714</v>
      </c>
      <c r="D84" s="21">
        <v>1.909285714285714</v>
      </c>
      <c r="E84" s="21">
        <v>2.9714285714285711</v>
      </c>
      <c r="F84" s="21">
        <f>VLOOKUP(A84,'[1]SLR-m-X'!$A$2:$I$1000,2,FALSE)</f>
        <v>0.45066666666666672</v>
      </c>
      <c r="G84" s="21">
        <f>VLOOKUP(A84,'[1]SLR-m-X'!$A$2:$I$1000,3,FALSE)</f>
        <v>0.57299999999999995</v>
      </c>
      <c r="H84" s="21">
        <f>VLOOKUP(A84,'[1]SLR-m-X'!$A$2:$I$1000,4,FALSE)</f>
        <v>0.68433333333333346</v>
      </c>
      <c r="I84" s="21">
        <f>VLOOKUP(A84,'[1]SLR-m-X'!$A$2:$I$1000,5,FALSE)</f>
        <v>0.77677777777777779</v>
      </c>
    </row>
    <row r="85" spans="1:9" x14ac:dyDescent="0.2">
      <c r="A85" s="11">
        <v>-15</v>
      </c>
      <c r="B85" s="21">
        <v>1.4950000000000001</v>
      </c>
      <c r="C85" s="21">
        <v>2.9249999999999998</v>
      </c>
      <c r="D85" s="21">
        <v>3.85</v>
      </c>
      <c r="E85" s="21">
        <v>4.93</v>
      </c>
      <c r="F85" s="21">
        <f>VLOOKUP(A85,'[1]SLR-m-X'!$A$2:$I$1000,2,FALSE)</f>
        <v>0.45233333333333331</v>
      </c>
      <c r="G85" s="21">
        <f>VLOOKUP(A85,'[1]SLR-m-X'!$A$2:$I$1000,3,FALSE)</f>
        <v>0.57699999999999996</v>
      </c>
      <c r="H85" s="21">
        <f>VLOOKUP(A85,'[1]SLR-m-X'!$A$2:$I$1000,4,FALSE)</f>
        <v>0.68833333333333335</v>
      </c>
      <c r="I85" s="21">
        <f>VLOOKUP(A85,'[1]SLR-m-X'!$A$2:$I$1000,5,FALSE)</f>
        <v>0.78100000000000003</v>
      </c>
    </row>
    <row r="86" spans="1:9" x14ac:dyDescent="0.2">
      <c r="A86" s="11">
        <v>-14</v>
      </c>
      <c r="B86" s="21">
        <v>1.19</v>
      </c>
      <c r="C86" s="21">
        <v>2.1733333333333329</v>
      </c>
      <c r="D86" s="21">
        <v>2.88</v>
      </c>
      <c r="E86" s="21">
        <v>3.6</v>
      </c>
      <c r="F86" s="21">
        <f>VLOOKUP(A86,'[1]SLR-m-X'!$A$2:$I$1000,2,FALSE)</f>
        <v>0.45400000000000001</v>
      </c>
      <c r="G86" s="21">
        <f>VLOOKUP(A86,'[1]SLR-m-X'!$A$2:$I$1000,3,FALSE)</f>
        <v>0.57799999999999996</v>
      </c>
      <c r="H86" s="21">
        <f>VLOOKUP(A86,'[1]SLR-m-X'!$A$2:$I$1000,4,FALSE)</f>
        <v>0.69</v>
      </c>
      <c r="I86" s="21">
        <f>VLOOKUP(A86,'[1]SLR-m-X'!$A$2:$I$1000,5,FALSE)</f>
        <v>0.78200000000000003</v>
      </c>
    </row>
    <row r="87" spans="1:9" x14ac:dyDescent="0.2">
      <c r="A87" s="11">
        <v>-13</v>
      </c>
      <c r="B87" s="21">
        <v>1.19</v>
      </c>
      <c r="C87" s="21">
        <v>2.0649999999999999</v>
      </c>
      <c r="D87" s="21">
        <v>2.7349999999999999</v>
      </c>
      <c r="E87" s="21">
        <v>3.4750000000000001</v>
      </c>
      <c r="F87" s="21">
        <f>VLOOKUP(A87,'[1]SLR-m-X'!$A$2:$I$1000,2,FALSE)</f>
        <v>0.47099999999999997</v>
      </c>
      <c r="G87" s="21">
        <f>VLOOKUP(A87,'[1]SLR-m-X'!$A$2:$I$1000,3,FALSE)</f>
        <v>0.59599999999999997</v>
      </c>
      <c r="H87" s="21">
        <f>VLOOKUP(A87,'[1]SLR-m-X'!$A$2:$I$1000,4,FALSE)</f>
        <v>0.70899999999999996</v>
      </c>
      <c r="I87" s="21">
        <f>VLOOKUP(A87,'[1]SLR-m-X'!$A$2:$I$1000,5,FALSE)</f>
        <v>0.80200000000000005</v>
      </c>
    </row>
    <row r="88" spans="1:9" x14ac:dyDescent="0.2">
      <c r="A88" s="11">
        <v>-12</v>
      </c>
      <c r="B88" s="21">
        <v>0.44</v>
      </c>
      <c r="C88" s="21">
        <v>1.07</v>
      </c>
      <c r="D88" s="21">
        <v>1.27</v>
      </c>
      <c r="E88" s="21">
        <v>2.98</v>
      </c>
      <c r="F88" s="21">
        <f>VLOOKUP(A88,'[1]SLR-m-X'!$A$2:$I$1000,2,FALSE)</f>
        <v>0.46500000000000002</v>
      </c>
      <c r="G88" s="21">
        <f>VLOOKUP(A88,'[1]SLR-m-X'!$A$2:$I$1000,3,FALSE)</f>
        <v>0.58799999999999997</v>
      </c>
      <c r="H88" s="21">
        <f>VLOOKUP(A88,'[1]SLR-m-X'!$A$2:$I$1000,4,FALSE)</f>
        <v>0.70799999999999996</v>
      </c>
      <c r="I88" s="21">
        <f>VLOOKUP(A88,'[1]SLR-m-X'!$A$2:$I$1000,5,FALSE)</f>
        <v>0.80400000000000005</v>
      </c>
    </row>
    <row r="89" spans="1:9" x14ac:dyDescent="0.2">
      <c r="A89" s="11">
        <v>-11</v>
      </c>
      <c r="B89" s="21">
        <v>0.3</v>
      </c>
      <c r="C89" s="21">
        <v>0.97</v>
      </c>
      <c r="D89" s="21">
        <v>1.1950000000000001</v>
      </c>
      <c r="E89" s="21">
        <v>2.8450000000000002</v>
      </c>
      <c r="F89" s="21">
        <f>VLOOKUP(A89,'[1]SLR-m-X'!$A$2:$I$1000,2,FALSE)</f>
        <v>0.47149999999999997</v>
      </c>
      <c r="G89" s="21">
        <f>VLOOKUP(A89,'[1]SLR-m-X'!$A$2:$I$1000,3,FALSE)</f>
        <v>0.60399999999999998</v>
      </c>
      <c r="H89" s="21">
        <f>VLOOKUP(A89,'[1]SLR-m-X'!$A$2:$I$1000,4,FALSE)</f>
        <v>0.75949999999999995</v>
      </c>
      <c r="I89" s="21">
        <f>VLOOKUP(A89,'[1]SLR-m-X'!$A$2:$I$1000,5,FALSE)</f>
        <v>0.8640000000000001</v>
      </c>
    </row>
    <row r="90" spans="1:9" x14ac:dyDescent="0.2">
      <c r="A90" s="11">
        <v>-10</v>
      </c>
      <c r="B90" s="21">
        <v>0.82</v>
      </c>
      <c r="C90" s="21">
        <v>1.87</v>
      </c>
      <c r="D90" s="21">
        <v>2.65</v>
      </c>
      <c r="E90" s="21">
        <v>4.04</v>
      </c>
      <c r="F90" s="21">
        <f>VLOOKUP(A90,'[1]SLR-m-X'!$A$2:$I$1000,2,FALSE)</f>
        <v>0.45466666666666672</v>
      </c>
      <c r="G90" s="21">
        <f>VLOOKUP(A90,'[1]SLR-m-X'!$A$2:$I$1000,3,FALSE)</f>
        <v>0.57099999999999995</v>
      </c>
      <c r="H90" s="21">
        <f>VLOOKUP(A90,'[1]SLR-m-X'!$A$2:$I$1000,4,FALSE)</f>
        <v>0.66833333333333333</v>
      </c>
      <c r="I90" s="21">
        <f>VLOOKUP(A90,'[1]SLR-m-X'!$A$2:$I$1000,5,FALSE)</f>
        <v>0.76700000000000002</v>
      </c>
    </row>
    <row r="91" spans="1:9" x14ac:dyDescent="0.2">
      <c r="A91" s="11">
        <v>-9</v>
      </c>
      <c r="B91" s="21">
        <v>-9.3636363636363601E-2</v>
      </c>
      <c r="C91" s="21">
        <v>0.96545454545454534</v>
      </c>
      <c r="D91" s="21">
        <v>1.621818181818182</v>
      </c>
      <c r="E91" s="21">
        <v>2.9645454545454539</v>
      </c>
      <c r="F91" s="21">
        <f>VLOOKUP(A91,'[1]SLR-m-X'!$A$2:$I$1000,2,FALSE)</f>
        <v>0.45435714285714279</v>
      </c>
      <c r="G91" s="21">
        <f>VLOOKUP(A91,'[1]SLR-m-X'!$A$2:$I$1000,3,FALSE)</f>
        <v>0.57001190476192853</v>
      </c>
      <c r="H91" s="21">
        <f>VLOOKUP(A91,'[1]SLR-m-X'!$A$2:$I$1000,4,FALSE)</f>
        <v>0.66777380952378562</v>
      </c>
      <c r="I91" s="21">
        <f>VLOOKUP(A91,'[1]SLR-m-X'!$A$2:$I$1000,5,FALSE)</f>
        <v>0.76444047619050004</v>
      </c>
    </row>
    <row r="92" spans="1:9" x14ac:dyDescent="0.2">
      <c r="A92" s="11">
        <v>-8</v>
      </c>
      <c r="B92" s="21">
        <v>-2.3636363636363639E-2</v>
      </c>
      <c r="C92" s="21">
        <v>1</v>
      </c>
      <c r="D92" s="21">
        <v>1.698181818181818</v>
      </c>
      <c r="E92" s="21">
        <v>3.185454545454546</v>
      </c>
      <c r="F92" s="21">
        <f>VLOOKUP(A92,'[1]SLR-m-X'!$A$2:$I$1000,2,FALSE)</f>
        <v>0.47039999999999998</v>
      </c>
      <c r="G92" s="21">
        <f>VLOOKUP(A92,'[1]SLR-m-X'!$A$2:$I$1000,3,FALSE)</f>
        <v>0.58479999999999999</v>
      </c>
      <c r="H92" s="21">
        <f>VLOOKUP(A92,'[1]SLR-m-X'!$A$2:$I$1000,4,FALSE)</f>
        <v>0.68119999999999992</v>
      </c>
      <c r="I92" s="21">
        <f>VLOOKUP(A92,'[1]SLR-m-X'!$A$2:$I$1000,5,FALSE)</f>
        <v>0.77560000000000007</v>
      </c>
    </row>
    <row r="93" spans="1:9" x14ac:dyDescent="0.2">
      <c r="A93" s="11">
        <v>-7</v>
      </c>
      <c r="B93" s="21">
        <v>-4.200000000000001E-2</v>
      </c>
      <c r="C93" s="21">
        <v>1.306</v>
      </c>
      <c r="D93" s="21">
        <v>2.403</v>
      </c>
      <c r="E93" s="21">
        <v>3.6680000000000001</v>
      </c>
      <c r="F93" s="21">
        <f>VLOOKUP(A93,'[1]SLR-m-X'!$A$2:$I$1000,2,FALSE)</f>
        <v>0.38205555555550003</v>
      </c>
      <c r="G93" s="21">
        <f>VLOOKUP(A93,'[1]SLR-m-X'!$A$2:$I$1000,3,FALSE)</f>
        <v>0.49483333333333329</v>
      </c>
      <c r="H93" s="21">
        <f>VLOOKUP(A93,'[1]SLR-m-X'!$A$2:$I$1000,4,FALSE)</f>
        <v>0.58199999999999996</v>
      </c>
      <c r="I93" s="21">
        <f>VLOOKUP(A93,'[1]SLR-m-X'!$A$2:$I$1000,5,FALSE)</f>
        <v>0.67890277777783326</v>
      </c>
    </row>
    <row r="94" spans="1:9" x14ac:dyDescent="0.2">
      <c r="A94" s="11">
        <v>-6</v>
      </c>
      <c r="B94" s="21">
        <v>2.6086956521739129E-2</v>
      </c>
      <c r="C94" s="21">
        <v>1.335652173913044</v>
      </c>
      <c r="D94" s="21">
        <v>2.5413043478260868</v>
      </c>
      <c r="E94" s="21">
        <v>3.740869565217392</v>
      </c>
      <c r="F94" s="21">
        <f>VLOOKUP(A94,'[1]SLR-m-X'!$A$2:$I$1000,2,FALSE)</f>
        <v>0.38334782608695661</v>
      </c>
      <c r="G94" s="21">
        <f>VLOOKUP(A94,'[1]SLR-m-X'!$A$2:$I$1000,3,FALSE)</f>
        <v>0.49769565217391298</v>
      </c>
      <c r="H94" s="21">
        <f>VLOOKUP(A94,'[1]SLR-m-X'!$A$2:$I$1000,4,FALSE)</f>
        <v>0.58682608695652172</v>
      </c>
      <c r="I94" s="21">
        <f>VLOOKUP(A94,'[1]SLR-m-X'!$A$2:$I$1000,5,FALSE)</f>
        <v>0.68213043478260871</v>
      </c>
    </row>
    <row r="95" spans="1:9" x14ac:dyDescent="0.2">
      <c r="A95" s="11">
        <v>-5</v>
      </c>
      <c r="B95" s="21">
        <v>1.428571428571426E-3</v>
      </c>
      <c r="C95" s="21">
        <v>1.2614285714285709</v>
      </c>
      <c r="D95" s="21">
        <v>2.581428571428571</v>
      </c>
      <c r="E95" s="21">
        <v>3.7242857142857142</v>
      </c>
      <c r="F95" s="21">
        <f>VLOOKUP(A95,'[1]SLR-m-X'!$A$2:$I$1000,2,FALSE)</f>
        <v>0.38037500000000002</v>
      </c>
      <c r="G95" s="21">
        <f>VLOOKUP(A95,'[1]SLR-m-X'!$A$2:$I$1000,3,FALSE)</f>
        <v>0.49725000000000003</v>
      </c>
      <c r="H95" s="21">
        <f>VLOOKUP(A95,'[1]SLR-m-X'!$A$2:$I$1000,4,FALSE)</f>
        <v>0.59250000000000003</v>
      </c>
      <c r="I95" s="21">
        <f>VLOOKUP(A95,'[1]SLR-m-X'!$A$2:$I$1000,5,FALSE)</f>
        <v>0.69174999999999998</v>
      </c>
    </row>
    <row r="96" spans="1:9" x14ac:dyDescent="0.2">
      <c r="A96" s="11">
        <v>-4</v>
      </c>
      <c r="B96" s="21">
        <v>3.9090909090909107E-2</v>
      </c>
      <c r="C96" s="21">
        <v>1.377272727272727</v>
      </c>
      <c r="D96" s="21">
        <v>2.8681818181818182</v>
      </c>
      <c r="E96" s="21">
        <v>4.1309090909090909</v>
      </c>
      <c r="F96" s="21">
        <f>VLOOKUP(A96,'[1]SLR-m-X'!$A$2:$I$1000,2,FALSE)</f>
        <v>0.37888888888888889</v>
      </c>
      <c r="G96" s="21">
        <f>VLOOKUP(A96,'[1]SLR-m-X'!$A$2:$I$1000,3,FALSE)</f>
        <v>0.49127777777777781</v>
      </c>
      <c r="H96" s="21">
        <f>VLOOKUP(A96,'[1]SLR-m-X'!$A$2:$I$1000,4,FALSE)</f>
        <v>0.5698333333333333</v>
      </c>
      <c r="I96" s="21">
        <f>VLOOKUP(A96,'[1]SLR-m-X'!$A$2:$I$1000,5,FALSE)</f>
        <v>0.67133333333333334</v>
      </c>
    </row>
    <row r="97" spans="1:9" x14ac:dyDescent="0.2">
      <c r="A97" s="11">
        <v>-3</v>
      </c>
      <c r="B97" s="21">
        <v>-9.2999999999999999E-2</v>
      </c>
      <c r="C97" s="21">
        <v>1.351</v>
      </c>
      <c r="D97" s="21">
        <v>2.847</v>
      </c>
      <c r="E97" s="21">
        <v>4.1019999999999994</v>
      </c>
      <c r="F97" s="21">
        <f>VLOOKUP(A97,'[1]SLR-m-X'!$A$2:$I$1000,2,FALSE)</f>
        <v>0.40560317460319051</v>
      </c>
      <c r="G97" s="21">
        <f>VLOOKUP(A97,'[1]SLR-m-X'!$A$2:$I$1000,3,FALSE)</f>
        <v>0.52218253968257144</v>
      </c>
      <c r="H97" s="21">
        <f>VLOOKUP(A97,'[1]SLR-m-X'!$A$2:$I$1000,4,FALSE)</f>
        <v>0.61142063492066667</v>
      </c>
      <c r="I97" s="21">
        <f>VLOOKUP(A97,'[1]SLR-m-X'!$A$2:$I$1000,5,FALSE)</f>
        <v>0.71115079365076195</v>
      </c>
    </row>
    <row r="98" spans="1:9" x14ac:dyDescent="0.2">
      <c r="A98" s="11">
        <v>-2</v>
      </c>
      <c r="B98" s="21">
        <v>-0.30045454545454547</v>
      </c>
      <c r="C98" s="21">
        <v>1.2513636363636369</v>
      </c>
      <c r="D98" s="21">
        <v>2.645</v>
      </c>
      <c r="E98" s="21">
        <v>4.0172727272727267</v>
      </c>
      <c r="F98" s="21">
        <f>VLOOKUP(A98,'[1]SLR-m-X'!$A$2:$I$1000,2,FALSE)</f>
        <v>0.406031249999875</v>
      </c>
      <c r="G98" s="21">
        <f>VLOOKUP(A98,'[1]SLR-m-X'!$A$2:$I$1000,3,FALSE)</f>
        <v>0.52385416666675</v>
      </c>
      <c r="H98" s="21">
        <f>VLOOKUP(A98,'[1]SLR-m-X'!$A$2:$I$1000,4,FALSE)</f>
        <v>0.61587499999987505</v>
      </c>
      <c r="I98" s="21">
        <f>VLOOKUP(A98,'[1]SLR-m-X'!$A$2:$I$1000,5,FALSE)</f>
        <v>0.71735416666662499</v>
      </c>
    </row>
    <row r="99" spans="1:9" x14ac:dyDescent="0.2">
      <c r="A99" s="11">
        <v>-1</v>
      </c>
      <c r="B99" s="21">
        <v>-0.27500000000000002</v>
      </c>
      <c r="C99" s="21">
        <v>1.23</v>
      </c>
      <c r="D99" s="21">
        <v>2.8578571428571431</v>
      </c>
      <c r="E99" s="21">
        <v>4.1342857142857143</v>
      </c>
      <c r="F99" s="21">
        <f>VLOOKUP(A99,'[1]SLR-m-X'!$A$2:$I$1000,2,FALSE)</f>
        <v>0.42840277777774999</v>
      </c>
      <c r="G99" s="21">
        <f>VLOOKUP(A99,'[1]SLR-m-X'!$A$2:$I$1000,3,FALSE)</f>
        <v>0.54613888888891671</v>
      </c>
      <c r="H99" s="21">
        <f>VLOOKUP(A99,'[1]SLR-m-X'!$A$2:$I$1000,4,FALSE)</f>
        <v>0.64291666666666669</v>
      </c>
      <c r="I99" s="21">
        <f>VLOOKUP(A99,'[1]SLR-m-X'!$A$2:$I$1000,5,FALSE)</f>
        <v>0.7426388888889166</v>
      </c>
    </row>
    <row r="100" spans="1:9" x14ac:dyDescent="0.2">
      <c r="A100" s="11">
        <v>0</v>
      </c>
      <c r="B100" s="21">
        <v>-0.23576923076923079</v>
      </c>
      <c r="C100" s="21">
        <v>1.496923076923077</v>
      </c>
      <c r="D100" s="21">
        <v>3.2861538461538462</v>
      </c>
      <c r="E100" s="21">
        <v>4.582692307692307</v>
      </c>
      <c r="F100" s="21">
        <f>VLOOKUP(A100,'[1]SLR-m-X'!$A$2:$I$1000,2,FALSE)</f>
        <v>0.46542857142857141</v>
      </c>
      <c r="G100" s="21">
        <f>VLOOKUP(A100,'[1]SLR-m-X'!$A$2:$I$1000,3,FALSE)</f>
        <v>0.5862857142857143</v>
      </c>
      <c r="H100" s="21">
        <f>VLOOKUP(A100,'[1]SLR-m-X'!$A$2:$I$1000,4,FALSE)</f>
        <v>0.68117857142857141</v>
      </c>
      <c r="I100" s="21">
        <f>VLOOKUP(A100,'[1]SLR-m-X'!$A$2:$I$1000,5,FALSE)</f>
        <v>0.78646428571428573</v>
      </c>
    </row>
    <row r="101" spans="1:9" x14ac:dyDescent="0.2">
      <c r="A101" s="11">
        <v>1</v>
      </c>
      <c r="B101" s="21">
        <v>-0.42666666666666669</v>
      </c>
      <c r="C101" s="21">
        <v>1.2922222222222219</v>
      </c>
      <c r="D101" s="21">
        <v>3.2488888888888892</v>
      </c>
      <c r="E101" s="21">
        <v>4.3822222222222216</v>
      </c>
      <c r="F101" s="21">
        <f>VLOOKUP(A101,'[1]SLR-m-X'!$A$2:$I$1000,2,FALSE)</f>
        <v>0.46456140350852632</v>
      </c>
      <c r="G101" s="21">
        <f>VLOOKUP(A101,'[1]SLR-m-X'!$A$2:$I$1000,3,FALSE)</f>
        <v>0.58951754385989474</v>
      </c>
      <c r="H101" s="21">
        <f>VLOOKUP(A101,'[1]SLR-m-X'!$A$2:$I$1000,4,FALSE)</f>
        <v>0.68431578947378957</v>
      </c>
      <c r="I101" s="21">
        <f>VLOOKUP(A101,'[1]SLR-m-X'!$A$2:$I$1000,5,FALSE)</f>
        <v>0.7947017543862106</v>
      </c>
    </row>
    <row r="102" spans="1:9" x14ac:dyDescent="0.2">
      <c r="A102" s="11">
        <v>2</v>
      </c>
      <c r="B102" s="21">
        <v>0.2</v>
      </c>
      <c r="C102" s="21">
        <v>1.88</v>
      </c>
      <c r="D102" s="21">
        <v>3.4</v>
      </c>
      <c r="E102" s="21">
        <v>5.09</v>
      </c>
      <c r="F102" s="21">
        <f>VLOOKUP(A102,'[1]SLR-m-X'!$A$2:$I$1000,2,FALSE)</f>
        <v>0.49399999999999999</v>
      </c>
      <c r="G102" s="21">
        <f>VLOOKUP(A102,'[1]SLR-m-X'!$A$2:$I$1000,3,FALSE)</f>
        <v>0.62</v>
      </c>
      <c r="H102" s="21">
        <f>VLOOKUP(A102,'[1]SLR-m-X'!$A$2:$I$1000,4,FALSE)</f>
        <v>0.70874999999999999</v>
      </c>
      <c r="I102" s="21">
        <f>VLOOKUP(A102,'[1]SLR-m-X'!$A$2:$I$1000,5,FALSE)</f>
        <v>0.82199999999999995</v>
      </c>
    </row>
    <row r="103" spans="1:9" x14ac:dyDescent="0.2">
      <c r="A103" s="11">
        <v>3</v>
      </c>
      <c r="B103" s="21">
        <v>-0.11888888888888891</v>
      </c>
      <c r="C103" s="21">
        <v>1.4988888888888889</v>
      </c>
      <c r="D103" s="21">
        <v>3.3511111111111109</v>
      </c>
      <c r="E103" s="21">
        <v>4.8311111111111114</v>
      </c>
      <c r="F103" s="21">
        <f>VLOOKUP(A103,'[1]SLR-m-X'!$A$2:$I$1000,2,FALSE)</f>
        <v>0.44140000000000001</v>
      </c>
      <c r="G103" s="21">
        <f>VLOOKUP(A103,'[1]SLR-m-X'!$A$2:$I$1000,3,FALSE)</f>
        <v>0.55869999999999997</v>
      </c>
      <c r="H103" s="21">
        <f>VLOOKUP(A103,'[1]SLR-m-X'!$A$2:$I$1000,4,FALSE)</f>
        <v>0.65995000000000004</v>
      </c>
      <c r="I103" s="21">
        <f>VLOOKUP(A103,'[1]SLR-m-X'!$A$2:$I$1000,5,FALSE)</f>
        <v>0.75849999999999995</v>
      </c>
    </row>
    <row r="104" spans="1:9" x14ac:dyDescent="0.2">
      <c r="A104" s="11">
        <v>4</v>
      </c>
      <c r="B104" s="21">
        <v>-0.2258333333333333</v>
      </c>
      <c r="C104" s="21">
        <v>1.3049999999999999</v>
      </c>
      <c r="D104" s="21">
        <v>3.375</v>
      </c>
      <c r="E104" s="21">
        <v>4.6991666666666667</v>
      </c>
      <c r="F104" s="21">
        <f>VLOOKUP(A104,'[1]SLR-m-X'!$A$2:$I$1000,2,FALSE)</f>
        <v>0.4719545454545454</v>
      </c>
      <c r="G104" s="21">
        <f>VLOOKUP(A104,'[1]SLR-m-X'!$A$2:$I$1000,3,FALSE)</f>
        <v>0.59390909090909094</v>
      </c>
      <c r="H104" s="21">
        <f>VLOOKUP(A104,'[1]SLR-m-X'!$A$2:$I$1000,4,FALSE)</f>
        <v>0.68700000000000006</v>
      </c>
      <c r="I104" s="21">
        <f>VLOOKUP(A104,'[1]SLR-m-X'!$A$2:$I$1000,5,FALSE)</f>
        <v>0.79790909090909101</v>
      </c>
    </row>
    <row r="105" spans="1:9" x14ac:dyDescent="0.2">
      <c r="A105" s="11">
        <v>5</v>
      </c>
      <c r="B105" s="21">
        <v>-9.799999999999999E-2</v>
      </c>
      <c r="C105" s="21">
        <v>1.278</v>
      </c>
      <c r="D105" s="21">
        <v>3.3119999999999998</v>
      </c>
      <c r="E105" s="21">
        <v>4.492</v>
      </c>
      <c r="F105" s="21">
        <f>VLOOKUP(A105,'[1]SLR-m-X'!$A$2:$I$1000,2,FALSE)</f>
        <v>0.451125</v>
      </c>
      <c r="G105" s="21">
        <f>VLOOKUP(A105,'[1]SLR-m-X'!$A$2:$I$1000,3,FALSE)</f>
        <v>0.57304166666666667</v>
      </c>
      <c r="H105" s="21">
        <f>VLOOKUP(A105,'[1]SLR-m-X'!$A$2:$I$1000,4,FALSE)</f>
        <v>0.66641666666666666</v>
      </c>
      <c r="I105" s="21">
        <f>VLOOKUP(A105,'[1]SLR-m-X'!$A$2:$I$1000,5,FALSE)</f>
        <v>0.77741666666666676</v>
      </c>
    </row>
    <row r="106" spans="1:9" x14ac:dyDescent="0.2">
      <c r="A106" s="11">
        <v>6</v>
      </c>
      <c r="B106" s="21">
        <v>0.63666666666666671</v>
      </c>
      <c r="C106" s="21">
        <v>2.1166666666666671</v>
      </c>
      <c r="D106" s="21">
        <v>3.93</v>
      </c>
      <c r="E106" s="21">
        <v>5.3499999999999988</v>
      </c>
      <c r="F106" s="21">
        <f>VLOOKUP(A106,'[1]SLR-m-X'!$A$2:$I$1000,2,FALSE)</f>
        <v>0.44641666666666668</v>
      </c>
      <c r="G106" s="21">
        <f>VLOOKUP(A106,'[1]SLR-m-X'!$A$2:$I$1000,3,FALSE)</f>
        <v>0.56766666666666665</v>
      </c>
      <c r="H106" s="21">
        <f>VLOOKUP(A106,'[1]SLR-m-X'!$A$2:$I$1000,4,FALSE)</f>
        <v>0.66275000000000006</v>
      </c>
      <c r="I106" s="21">
        <f>VLOOKUP(A106,'[1]SLR-m-X'!$A$2:$I$1000,5,FALSE)</f>
        <v>0.77450000000000008</v>
      </c>
    </row>
    <row r="107" spans="1:9" x14ac:dyDescent="0.2">
      <c r="A107" s="11">
        <v>7</v>
      </c>
      <c r="B107" s="21">
        <v>0.315</v>
      </c>
      <c r="C107" s="21">
        <v>1.7849999999999999</v>
      </c>
      <c r="D107" s="21">
        <v>3.5950000000000002</v>
      </c>
      <c r="E107" s="21">
        <v>4.9874999999999998</v>
      </c>
      <c r="F107" s="21">
        <f>VLOOKUP(A107,'[1]SLR-m-X'!$A$2:$I$1000,2,FALSE)</f>
        <v>0.42249999999999999</v>
      </c>
      <c r="G107" s="21">
        <f>VLOOKUP(A107,'[1]SLR-m-X'!$A$2:$I$1000,3,FALSE)</f>
        <v>0.54466666666666663</v>
      </c>
      <c r="H107" s="21">
        <f>VLOOKUP(A107,'[1]SLR-m-X'!$A$2:$I$1000,4,FALSE)</f>
        <v>0.64066666666666672</v>
      </c>
      <c r="I107" s="21">
        <f>VLOOKUP(A107,'[1]SLR-m-X'!$A$2:$I$1000,5,FALSE)</f>
        <v>0.749</v>
      </c>
    </row>
    <row r="108" spans="1:9" x14ac:dyDescent="0.2">
      <c r="A108" s="11">
        <v>8</v>
      </c>
      <c r="B108" s="21">
        <v>0.65150000000000008</v>
      </c>
      <c r="C108" s="21">
        <v>2.1225000000000001</v>
      </c>
      <c r="D108" s="21">
        <v>4.0469999999999997</v>
      </c>
      <c r="E108" s="21">
        <v>5.319</v>
      </c>
      <c r="F108" s="21">
        <f>VLOOKUP(A108,'[1]SLR-m-X'!$A$2:$I$1000,2,FALSE)</f>
        <v>0.4578627450980588</v>
      </c>
      <c r="G108" s="21">
        <f>VLOOKUP(A108,'[1]SLR-m-X'!$A$2:$I$1000,3,FALSE)</f>
        <v>0.58325490196076468</v>
      </c>
      <c r="H108" s="21">
        <f>VLOOKUP(A108,'[1]SLR-m-X'!$A$2:$I$1000,4,FALSE)</f>
        <v>0.67770588235294127</v>
      </c>
      <c r="I108" s="21">
        <f>VLOOKUP(A108,'[1]SLR-m-X'!$A$2:$I$1000,5,FALSE)</f>
        <v>0.78774509803923531</v>
      </c>
    </row>
    <row r="109" spans="1:9" x14ac:dyDescent="0.2">
      <c r="A109" s="11">
        <v>9</v>
      </c>
      <c r="B109" s="21">
        <v>0.97399999999999987</v>
      </c>
      <c r="C109" s="21">
        <v>2.3713333333333328</v>
      </c>
      <c r="D109" s="21">
        <v>4.0453333333333337</v>
      </c>
      <c r="E109" s="21">
        <v>5.3666666666666663</v>
      </c>
      <c r="F109" s="21">
        <f>VLOOKUP(A109,'[1]SLR-m-X'!$A$2:$I$1000,2,FALSE)</f>
        <v>0.45429999999999998</v>
      </c>
      <c r="G109" s="21">
        <f>VLOOKUP(A109,'[1]SLR-m-X'!$A$2:$I$1000,3,FALSE)</f>
        <v>0.57884999999999998</v>
      </c>
      <c r="H109" s="21">
        <f>VLOOKUP(A109,'[1]SLR-m-X'!$A$2:$I$1000,4,FALSE)</f>
        <v>0.68309999999999993</v>
      </c>
      <c r="I109" s="21">
        <f>VLOOKUP(A109,'[1]SLR-m-X'!$A$2:$I$1000,5,FALSE)</f>
        <v>0.78700000000000003</v>
      </c>
    </row>
    <row r="110" spans="1:9" x14ac:dyDescent="0.2">
      <c r="A110" s="11">
        <v>10</v>
      </c>
      <c r="B110" s="21">
        <v>1.044285714285714</v>
      </c>
      <c r="C110" s="21">
        <v>2.6860714285714282</v>
      </c>
      <c r="D110" s="21">
        <v>4.1971428571428584</v>
      </c>
      <c r="E110" s="21">
        <v>5.5814285714285701</v>
      </c>
      <c r="F110" s="21">
        <f>VLOOKUP(A110,'[1]SLR-m-X'!$A$2:$I$1000,2,FALSE)</f>
        <v>0.42265079365076191</v>
      </c>
      <c r="G110" s="21">
        <f>VLOOKUP(A110,'[1]SLR-m-X'!$A$2:$I$1000,3,FALSE)</f>
        <v>0.54880952380957149</v>
      </c>
      <c r="H110" s="21">
        <f>VLOOKUP(A110,'[1]SLR-m-X'!$A$2:$I$1000,4,FALSE)</f>
        <v>0.66366666666666663</v>
      </c>
      <c r="I110" s="21">
        <f>VLOOKUP(A110,'[1]SLR-m-X'!$A$2:$I$1000,5,FALSE)</f>
        <v>0.76782539682533335</v>
      </c>
    </row>
    <row r="111" spans="1:9" x14ac:dyDescent="0.2">
      <c r="A111" s="11">
        <v>11</v>
      </c>
      <c r="B111" s="21">
        <v>0.64764705882352935</v>
      </c>
      <c r="C111" s="21">
        <v>2.2000000000000002</v>
      </c>
      <c r="D111" s="21">
        <v>3.9170588235294121</v>
      </c>
      <c r="E111" s="21">
        <v>5.1305882352941179</v>
      </c>
      <c r="F111" s="21">
        <f>VLOOKUP(A111,'[1]SLR-m-X'!$A$2:$I$1000,2,FALSE)</f>
        <v>0.40084615384615391</v>
      </c>
      <c r="G111" s="21">
        <f>VLOOKUP(A111,'[1]SLR-m-X'!$A$2:$I$1000,3,FALSE)</f>
        <v>0.52225961538461541</v>
      </c>
      <c r="H111" s="21">
        <f>VLOOKUP(A111,'[1]SLR-m-X'!$A$2:$I$1000,4,FALSE)</f>
        <v>0.62458653846153855</v>
      </c>
      <c r="I111" s="21">
        <f>VLOOKUP(A111,'[1]SLR-m-X'!$A$2:$I$1000,5,FALSE)</f>
        <v>0.7297403846153846</v>
      </c>
    </row>
    <row r="112" spans="1:9" x14ac:dyDescent="0.2">
      <c r="A112" s="11">
        <v>12</v>
      </c>
      <c r="B112" s="21">
        <v>0.41499999999999998</v>
      </c>
      <c r="C112" s="21">
        <v>2.194375</v>
      </c>
      <c r="D112" s="21">
        <v>4.21</v>
      </c>
      <c r="E112" s="21">
        <v>5.5125000000000002</v>
      </c>
      <c r="F112" s="21">
        <f>VLOOKUP(A112,'[1]SLR-m-X'!$A$2:$I$1000,2,FALSE)</f>
        <v>0.39982352941176469</v>
      </c>
      <c r="G112" s="21">
        <f>VLOOKUP(A112,'[1]SLR-m-X'!$A$2:$I$1000,3,FALSE)</f>
        <v>0.53286274509799991</v>
      </c>
      <c r="H112" s="21">
        <f>VLOOKUP(A112,'[1]SLR-m-X'!$A$2:$I$1000,4,FALSE)</f>
        <v>0.61803921568623532</v>
      </c>
      <c r="I112" s="21">
        <f>VLOOKUP(A112,'[1]SLR-m-X'!$A$2:$I$1000,5,FALSE)</f>
        <v>0.72226470588235292</v>
      </c>
    </row>
    <row r="113" spans="1:9" x14ac:dyDescent="0.2">
      <c r="A113" s="11">
        <v>13</v>
      </c>
      <c r="B113" s="21">
        <v>0.74</v>
      </c>
      <c r="C113" s="21">
        <v>2.2749999999999999</v>
      </c>
      <c r="D113" s="21">
        <v>4.415</v>
      </c>
      <c r="E113" s="21">
        <v>5.835</v>
      </c>
      <c r="F113" s="21">
        <f>VLOOKUP(A113,'[1]SLR-m-X'!$A$2:$I$1000,2,FALSE)</f>
        <v>0.38473750000000001</v>
      </c>
      <c r="G113" s="21">
        <f>VLOOKUP(A113,'[1]SLR-m-X'!$A$2:$I$1000,3,FALSE)</f>
        <v>0.50939999999999996</v>
      </c>
      <c r="H113" s="21">
        <f>VLOOKUP(A113,'[1]SLR-m-X'!$A$2:$I$1000,4,FALSE)</f>
        <v>0.60024999999999995</v>
      </c>
      <c r="I113" s="21">
        <f>VLOOKUP(A113,'[1]SLR-m-X'!$A$2:$I$1000,5,FALSE)</f>
        <v>0.70711250000000003</v>
      </c>
    </row>
    <row r="114" spans="1:9" x14ac:dyDescent="0.2">
      <c r="A114" s="11">
        <v>14</v>
      </c>
      <c r="B114" s="21">
        <v>2.003333333333333</v>
      </c>
      <c r="C114" s="21">
        <v>2.586666666666666</v>
      </c>
      <c r="D114" s="21">
        <v>4.3633333333333333</v>
      </c>
      <c r="E114" s="21">
        <v>5.52</v>
      </c>
      <c r="F114" s="21">
        <f>VLOOKUP(A114,'[1]SLR-m-X'!$A$2:$I$1000,2,FALSE)</f>
        <v>0.44900000000000001</v>
      </c>
      <c r="G114" s="21">
        <f>VLOOKUP(A114,'[1]SLR-m-X'!$A$2:$I$1000,3,FALSE)</f>
        <v>0.58250000000000002</v>
      </c>
      <c r="H114" s="21">
        <f>VLOOKUP(A114,'[1]SLR-m-X'!$A$2:$I$1000,4,FALSE)</f>
        <v>0.72399999999999998</v>
      </c>
      <c r="I114" s="21">
        <f>VLOOKUP(A114,'[1]SLR-m-X'!$A$2:$I$1000,5,FALSE)</f>
        <v>0.82099999999999995</v>
      </c>
    </row>
    <row r="115" spans="1:9" x14ac:dyDescent="0.2">
      <c r="A115" s="11">
        <v>15</v>
      </c>
      <c r="B115" s="21">
        <v>1.1425000000000001</v>
      </c>
      <c r="C115" s="21">
        <v>2.4224999999999999</v>
      </c>
      <c r="D115" s="21">
        <v>4.3025000000000002</v>
      </c>
      <c r="E115" s="21">
        <v>5.5474999999999994</v>
      </c>
      <c r="F115" s="21">
        <f>VLOOKUP(A115,'[1]SLR-m-X'!$A$2:$I$1000,2,FALSE)</f>
        <v>0.46500000000000002</v>
      </c>
      <c r="G115" s="21">
        <f>VLOOKUP(A115,'[1]SLR-m-X'!$A$2:$I$1000,3,FALSE)</f>
        <v>0.58966666666666667</v>
      </c>
      <c r="H115" s="21">
        <f>VLOOKUP(A115,'[1]SLR-m-X'!$A$2:$I$1000,4,FALSE)</f>
        <v>0.70533333333333337</v>
      </c>
      <c r="I115" s="21">
        <f>VLOOKUP(A115,'[1]SLR-m-X'!$A$2:$I$1000,5,FALSE)</f>
        <v>0.80466666666666675</v>
      </c>
    </row>
    <row r="116" spans="1:9" x14ac:dyDescent="0.2">
      <c r="A116" s="11">
        <v>16</v>
      </c>
      <c r="B116" s="21">
        <v>0.88714285714285712</v>
      </c>
      <c r="C116" s="21">
        <v>2.419999999999999</v>
      </c>
      <c r="D116" s="21">
        <v>4.2842857142857147</v>
      </c>
      <c r="E116" s="21">
        <v>5.4071428571428566</v>
      </c>
      <c r="F116" s="21">
        <f>VLOOKUP(A116,'[1]SLR-m-X'!$A$2:$I$1000,2,FALSE)</f>
        <v>0.34442857142857142</v>
      </c>
      <c r="G116" s="21">
        <f>VLOOKUP(A116,'[1]SLR-m-X'!$A$2:$I$1000,3,FALSE)</f>
        <v>0.46995238095242847</v>
      </c>
      <c r="H116" s="21">
        <f>VLOOKUP(A116,'[1]SLR-m-X'!$A$2:$I$1000,4,FALSE)</f>
        <v>0.5700476190475714</v>
      </c>
      <c r="I116" s="21">
        <f>VLOOKUP(A116,'[1]SLR-m-X'!$A$2:$I$1000,5,FALSE)</f>
        <v>0.67528571428571438</v>
      </c>
    </row>
    <row r="117" spans="1:9" x14ac:dyDescent="0.2">
      <c r="A117" s="11">
        <v>17</v>
      </c>
      <c r="B117" s="21">
        <v>0.47</v>
      </c>
      <c r="C117" s="21">
        <v>2.3033333333333328</v>
      </c>
      <c r="D117" s="21">
        <v>4.2833333333333332</v>
      </c>
      <c r="E117" s="21">
        <v>5.3433333333333337</v>
      </c>
      <c r="F117" s="21">
        <f>VLOOKUP(A117,'[1]SLR-m-X'!$A$2:$I$1000,2,FALSE)</f>
        <v>0.34</v>
      </c>
      <c r="G117" s="21">
        <f>VLOOKUP(A117,'[1]SLR-m-X'!$A$2:$I$1000,3,FALSE)</f>
        <v>0.48225000000000001</v>
      </c>
      <c r="H117" s="21">
        <f>VLOOKUP(A117,'[1]SLR-m-X'!$A$2:$I$1000,4,FALSE)</f>
        <v>0.57374999999999998</v>
      </c>
      <c r="I117" s="21">
        <f>VLOOKUP(A117,'[1]SLR-m-X'!$A$2:$I$1000,5,FALSE)</f>
        <v>0.69324999999999992</v>
      </c>
    </row>
    <row r="118" spans="1:9" x14ac:dyDescent="0.2">
      <c r="A118" s="11">
        <v>18</v>
      </c>
      <c r="B118" s="21">
        <v>0.99333333333333318</v>
      </c>
      <c r="C118" s="21">
        <v>2.333333333333333</v>
      </c>
      <c r="D118" s="21">
        <v>3.7783333333333342</v>
      </c>
      <c r="E118" s="21">
        <v>4.6566666666666663</v>
      </c>
      <c r="F118" s="21">
        <f>VLOOKUP(A118,'[1]SLR-m-X'!$A$2:$I$1000,2,FALSE)</f>
        <v>0.45724999999999999</v>
      </c>
      <c r="G118" s="21">
        <f>VLOOKUP(A118,'[1]SLR-m-X'!$A$2:$I$1000,3,FALSE)</f>
        <v>0.577125</v>
      </c>
      <c r="H118" s="21">
        <f>VLOOKUP(A118,'[1]SLR-m-X'!$A$2:$I$1000,4,FALSE)</f>
        <v>0.69950000000000001</v>
      </c>
      <c r="I118" s="21">
        <f>VLOOKUP(A118,'[1]SLR-m-X'!$A$2:$I$1000,5,FALSE)</f>
        <v>0.78874999999999995</v>
      </c>
    </row>
    <row r="119" spans="1:9" x14ac:dyDescent="0.2">
      <c r="A119" s="11">
        <v>19</v>
      </c>
      <c r="B119" s="21">
        <v>1.4450000000000001</v>
      </c>
      <c r="C119" s="21">
        <v>2.4700000000000002</v>
      </c>
      <c r="D119" s="21">
        <v>3.7850000000000001</v>
      </c>
      <c r="E119" s="21">
        <v>5.3650000000000002</v>
      </c>
      <c r="F119" s="21">
        <f>VLOOKUP(A119,'[1]SLR-m-X'!$A$2:$I$1000,2,FALSE)</f>
        <v>0.42230000000000001</v>
      </c>
      <c r="G119" s="21">
        <f>VLOOKUP(A119,'[1]SLR-m-X'!$A$2:$I$1000,3,FALSE)</f>
        <v>0.55280000000000007</v>
      </c>
      <c r="H119" s="21">
        <f>VLOOKUP(A119,'[1]SLR-m-X'!$A$2:$I$1000,4,FALSE)</f>
        <v>0.66079999999999994</v>
      </c>
      <c r="I119" s="21">
        <f>VLOOKUP(A119,'[1]SLR-m-X'!$A$2:$I$1000,5,FALSE)</f>
        <v>0.76439999999999997</v>
      </c>
    </row>
    <row r="120" spans="1:9" x14ac:dyDescent="0.2">
      <c r="A120" s="11">
        <v>20</v>
      </c>
      <c r="B120" s="21">
        <v>1.5</v>
      </c>
      <c r="C120" s="21">
        <v>2.36</v>
      </c>
      <c r="D120" s="21">
        <v>3.56</v>
      </c>
      <c r="E120" s="21">
        <v>5.01</v>
      </c>
      <c r="F120" s="21">
        <f>VLOOKUP(A120,'[1]SLR-m-X'!$A$2:$I$1000,2,FALSE)</f>
        <v>0.48499999999999999</v>
      </c>
      <c r="G120" s="21">
        <f>VLOOKUP(A120,'[1]SLR-m-X'!$A$2:$I$1000,3,FALSE)</f>
        <v>0.61299999999999999</v>
      </c>
      <c r="H120" s="21">
        <f>VLOOKUP(A120,'[1]SLR-m-X'!$A$2:$I$1000,4,FALSE)</f>
        <v>0.74199999999999999</v>
      </c>
      <c r="I120" s="21">
        <f>VLOOKUP(A120,'[1]SLR-m-X'!$A$2:$I$1000,5,FALSE)</f>
        <v>0.83199999999999996</v>
      </c>
    </row>
    <row r="121" spans="1:9" x14ac:dyDescent="0.2">
      <c r="A121" s="11">
        <v>21</v>
      </c>
      <c r="B121" s="21">
        <v>1.0680000000000001</v>
      </c>
      <c r="C121" s="21">
        <v>2.6960000000000002</v>
      </c>
      <c r="D121" s="21">
        <v>4.38</v>
      </c>
      <c r="E121" s="21">
        <v>5.51</v>
      </c>
      <c r="F121" s="21">
        <f>VLOOKUP(A121,'[1]SLR-m-X'!$A$2:$I$1000,2,FALSE)</f>
        <v>0.48125000000000001</v>
      </c>
      <c r="G121" s="21">
        <f>VLOOKUP(A121,'[1]SLR-m-X'!$A$2:$I$1000,3,FALSE)</f>
        <v>0.60250000000000004</v>
      </c>
      <c r="H121" s="21">
        <f>VLOOKUP(A121,'[1]SLR-m-X'!$A$2:$I$1000,4,FALSE)</f>
        <v>0.70433333333324999</v>
      </c>
      <c r="I121" s="21">
        <f>VLOOKUP(A121,'[1]SLR-m-X'!$A$2:$I$1000,5,FALSE)</f>
        <v>0.80841666666675005</v>
      </c>
    </row>
    <row r="122" spans="1:9" x14ac:dyDescent="0.2">
      <c r="A122" s="11">
        <v>22</v>
      </c>
      <c r="B122" s="21">
        <v>1.89</v>
      </c>
      <c r="C122" s="21">
        <v>2.86</v>
      </c>
      <c r="D122" s="21">
        <v>4.32</v>
      </c>
      <c r="E122" s="21">
        <v>6.76</v>
      </c>
      <c r="F122" s="21">
        <f>VLOOKUP(A122,'[1]SLR-m-X'!$A$2:$I$1000,2,FALSE)</f>
        <v>0.40949999999999998</v>
      </c>
      <c r="G122" s="21">
        <f>VLOOKUP(A122,'[1]SLR-m-X'!$A$2:$I$1000,3,FALSE)</f>
        <v>0.54600000000000004</v>
      </c>
      <c r="H122" s="21">
        <f>VLOOKUP(A122,'[1]SLR-m-X'!$A$2:$I$1000,4,FALSE)</f>
        <v>0.65500000000000003</v>
      </c>
      <c r="I122" s="21">
        <f>VLOOKUP(A122,'[1]SLR-m-X'!$A$2:$I$1000,5,FALSE)</f>
        <v>0.76249999999999996</v>
      </c>
    </row>
    <row r="123" spans="1:9" x14ac:dyDescent="0.2">
      <c r="A123" s="11">
        <v>23</v>
      </c>
      <c r="B123" s="21">
        <v>0.61333333333333329</v>
      </c>
      <c r="C123" s="21">
        <v>3.1949999999999998</v>
      </c>
      <c r="D123" s="21">
        <v>5.711666666666666</v>
      </c>
      <c r="E123" s="21">
        <v>5.7283333333333344</v>
      </c>
      <c r="F123" s="21">
        <f>VLOOKUP(A123,'[1]SLR-m-X'!$A$2:$I$1000,2,FALSE)</f>
        <v>0.30380000000000001</v>
      </c>
      <c r="G123" s="21">
        <f>VLOOKUP(A123,'[1]SLR-m-X'!$A$2:$I$1000,3,FALSE)</f>
        <v>0.43900000000000011</v>
      </c>
      <c r="H123" s="21">
        <f>VLOOKUP(A123,'[1]SLR-m-X'!$A$2:$I$1000,4,FALSE)</f>
        <v>0.52960000000000007</v>
      </c>
      <c r="I123" s="21">
        <f>VLOOKUP(A123,'[1]SLR-m-X'!$A$2:$I$1000,5,FALSE)</f>
        <v>0.64695000000000003</v>
      </c>
    </row>
    <row r="124" spans="1:9" x14ac:dyDescent="0.2">
      <c r="A124" s="11">
        <v>24</v>
      </c>
      <c r="B124" s="21">
        <v>1.1100000000000001</v>
      </c>
      <c r="C124" s="21">
        <v>2.8149999999999999</v>
      </c>
      <c r="D124" s="21">
        <v>4.7300000000000004</v>
      </c>
      <c r="E124" s="21">
        <v>5.74</v>
      </c>
      <c r="F124" s="21">
        <f>VLOOKUP(A124,'[1]SLR-m-X'!$A$2:$I$1000,2,FALSE)</f>
        <v>0.19600000000000001</v>
      </c>
      <c r="G124" s="21">
        <f>VLOOKUP(A124,'[1]SLR-m-X'!$A$2:$I$1000,3,FALSE)</f>
        <v>0.34200000000000003</v>
      </c>
      <c r="H124" s="21">
        <f>VLOOKUP(A124,'[1]SLR-m-X'!$A$2:$I$1000,4,FALSE)</f>
        <v>0.42799999999999999</v>
      </c>
      <c r="I124" s="21">
        <f>VLOOKUP(A124,'[1]SLR-m-X'!$A$2:$I$1000,5,FALSE)</f>
        <v>0.55200000000000005</v>
      </c>
    </row>
    <row r="125" spans="1:9" x14ac:dyDescent="0.2">
      <c r="A125" s="11">
        <v>25</v>
      </c>
      <c r="B125" s="21">
        <v>1.68</v>
      </c>
      <c r="C125" s="21">
        <v>2.2999999999999998</v>
      </c>
      <c r="D125" s="21">
        <v>3.69</v>
      </c>
      <c r="E125" s="21">
        <v>6.07</v>
      </c>
      <c r="F125" s="21">
        <f>VLOOKUP(A125,'[1]SLR-m-X'!$A$2:$I$1000,2,FALSE)</f>
        <v>0.26933333333333342</v>
      </c>
      <c r="G125" s="21">
        <f>VLOOKUP(A125,'[1]SLR-m-X'!$A$2:$I$1000,3,FALSE)</f>
        <v>0.38266666666666671</v>
      </c>
      <c r="H125" s="21">
        <f>VLOOKUP(A125,'[1]SLR-m-X'!$A$2:$I$1000,4,FALSE)</f>
        <v>0.47733333333333328</v>
      </c>
      <c r="I125" s="21">
        <f>VLOOKUP(A125,'[1]SLR-m-X'!$A$2:$I$1000,5,FALSE)</f>
        <v>0.58066666666666666</v>
      </c>
    </row>
    <row r="126" spans="1:9" x14ac:dyDescent="0.2">
      <c r="A126" s="11">
        <v>26</v>
      </c>
      <c r="B126" s="21">
        <v>1.665</v>
      </c>
      <c r="C126" s="21">
        <v>2.0449999999999999</v>
      </c>
      <c r="D126" s="21">
        <v>3.26</v>
      </c>
      <c r="E126" s="21">
        <v>6.01</v>
      </c>
      <c r="F126" s="21">
        <f>VLOOKUP(A126,'[1]SLR-m-X'!$A$2:$I$1000,2,FALSE)</f>
        <v>0.41799999999999998</v>
      </c>
      <c r="G126" s="21">
        <f>VLOOKUP(A126,'[1]SLR-m-X'!$A$2:$I$1000,3,FALSE)</f>
        <v>0.51649999999999996</v>
      </c>
      <c r="H126" s="21">
        <f>VLOOKUP(A126,'[1]SLR-m-X'!$A$2:$I$1000,4,FALSE)</f>
        <v>0.61499999999999999</v>
      </c>
      <c r="I126" s="21">
        <f>VLOOKUP(A126,'[1]SLR-m-X'!$A$2:$I$1000,5,FALSE)</f>
        <v>0.70699999999999996</v>
      </c>
    </row>
    <row r="127" spans="1:9" x14ac:dyDescent="0.2">
      <c r="A127" s="11">
        <v>28</v>
      </c>
      <c r="B127" s="21">
        <v>1.19</v>
      </c>
      <c r="C127" s="21">
        <v>3.89</v>
      </c>
      <c r="D127" s="21">
        <v>6.37</v>
      </c>
      <c r="E127" s="21">
        <v>6.06</v>
      </c>
      <c r="F127" s="21">
        <f>VLOOKUP(A127,'[1]SLR-m-X'!$A$2:$I$1000,2,FALSE)</f>
        <v>0.309</v>
      </c>
      <c r="G127" s="21">
        <f>VLOOKUP(A127,'[1]SLR-m-X'!$A$2:$I$1000,3,FALSE)</f>
        <v>0.45600000000000002</v>
      </c>
      <c r="H127" s="21">
        <f>VLOOKUP(A127,'[1]SLR-m-X'!$A$2:$I$1000,4,FALSE)</f>
        <v>0.54400000000000004</v>
      </c>
      <c r="I127" s="21">
        <f>VLOOKUP(A127,'[1]SLR-m-X'!$A$2:$I$1000,5,FALSE)</f>
        <v>0.66800000000000004</v>
      </c>
    </row>
    <row r="128" spans="1:9" x14ac:dyDescent="0.2">
      <c r="A128" s="11">
        <v>29</v>
      </c>
      <c r="B128" s="21">
        <v>1.27</v>
      </c>
      <c r="C128" s="21">
        <v>4.03</v>
      </c>
      <c r="D128" s="21">
        <v>6.68</v>
      </c>
      <c r="E128" s="21">
        <v>6.13</v>
      </c>
      <c r="F128" s="21"/>
      <c r="G128" s="21"/>
      <c r="H128" s="21"/>
      <c r="I128" s="21"/>
    </row>
    <row r="129" spans="1:9" x14ac:dyDescent="0.2">
      <c r="A129" s="11">
        <v>32</v>
      </c>
      <c r="B129" s="21">
        <v>1.381666666666667</v>
      </c>
      <c r="C129" s="21">
        <v>2.1116666666666668</v>
      </c>
      <c r="D129" s="21">
        <v>3.72</v>
      </c>
      <c r="E129" s="21">
        <v>4.5466666666666677</v>
      </c>
      <c r="F129" s="21">
        <f>VLOOKUP(A129,'[1]SLR-m-X'!$A$2:$I$1000,2,FALSE)</f>
        <v>0.45600000000000002</v>
      </c>
      <c r="G129" s="21">
        <f>VLOOKUP(A129,'[1]SLR-m-X'!$A$2:$I$1000,3,FALSE)</f>
        <v>0.58299999999999996</v>
      </c>
      <c r="H129" s="21">
        <f>VLOOKUP(A129,'[1]SLR-m-X'!$A$2:$I$1000,4,FALSE)</f>
        <v>0.71899999999999997</v>
      </c>
      <c r="I129" s="21">
        <f>VLOOKUP(A129,'[1]SLR-m-X'!$A$2:$I$1000,5,FALSE)</f>
        <v>0.80400000000000005</v>
      </c>
    </row>
    <row r="130" spans="1:9" x14ac:dyDescent="0.2">
      <c r="A130" s="11">
        <v>33</v>
      </c>
      <c r="B130" s="21">
        <v>2.125</v>
      </c>
      <c r="C130" s="21">
        <v>2.2450000000000001</v>
      </c>
      <c r="D130" s="21">
        <v>3.27</v>
      </c>
      <c r="E130" s="21">
        <v>5.5150000000000006</v>
      </c>
      <c r="F130" s="21">
        <f>VLOOKUP(A130,'[1]SLR-m-X'!$A$2:$I$1000,2,FALSE)</f>
        <v>0.46639999999999998</v>
      </c>
      <c r="G130" s="21">
        <f>VLOOKUP(A130,'[1]SLR-m-X'!$A$2:$I$1000,3,FALSE)</f>
        <v>0.59219999999999995</v>
      </c>
      <c r="H130" s="21">
        <f>VLOOKUP(A130,'[1]SLR-m-X'!$A$2:$I$1000,4,FALSE)</f>
        <v>0.7228</v>
      </c>
      <c r="I130" s="21">
        <f>VLOOKUP(A130,'[1]SLR-m-X'!$A$2:$I$1000,5,FALSE)</f>
        <v>0.81379999999999997</v>
      </c>
    </row>
    <row r="131" spans="1:9" x14ac:dyDescent="0.2">
      <c r="A131" s="11">
        <v>35</v>
      </c>
      <c r="B131" s="21">
        <v>2.1549999999999998</v>
      </c>
      <c r="C131" s="21">
        <v>2.105</v>
      </c>
      <c r="D131" s="21">
        <v>3.33</v>
      </c>
      <c r="E131" s="21">
        <v>5.2249999999999996</v>
      </c>
      <c r="F131" s="21">
        <f>VLOOKUP(A131,'[1]SLR-m-X'!$A$2:$I$1000,2,FALSE)</f>
        <v>0.41199999999999998</v>
      </c>
      <c r="G131" s="21">
        <f>VLOOKUP(A131,'[1]SLR-m-X'!$A$2:$I$1000,3,FALSE)</f>
        <v>0.52400000000000002</v>
      </c>
      <c r="H131" s="21">
        <f>VLOOKUP(A131,'[1]SLR-m-X'!$A$2:$I$1000,4,FALSE)</f>
        <v>0.63600000000000001</v>
      </c>
      <c r="I131" s="21">
        <f>VLOOKUP(A131,'[1]SLR-m-X'!$A$2:$I$1000,5,FALSE)</f>
        <v>0.74299999999999999</v>
      </c>
    </row>
    <row r="132" spans="1:9" x14ac:dyDescent="0.2">
      <c r="A132" s="11">
        <v>36</v>
      </c>
      <c r="B132" s="21">
        <v>1.18</v>
      </c>
      <c r="C132" s="21">
        <v>1.63</v>
      </c>
      <c r="D132" s="21">
        <v>3.39</v>
      </c>
      <c r="E132" s="21">
        <v>4.9400000000000004</v>
      </c>
      <c r="F132" s="21">
        <f>VLOOKUP(A132,'[1]SLR-m-X'!$A$2:$I$1000,2,FALSE)</f>
        <v>0.43099999999999999</v>
      </c>
      <c r="G132" s="21">
        <f>VLOOKUP(A132,'[1]SLR-m-X'!$A$2:$I$1000,3,FALSE)</f>
        <v>0.54949999999999999</v>
      </c>
      <c r="H132" s="21">
        <f>VLOOKUP(A132,'[1]SLR-m-X'!$A$2:$I$1000,4,FALSE)</f>
        <v>0.66999999999999993</v>
      </c>
      <c r="I132" s="21">
        <f>VLOOKUP(A132,'[1]SLR-m-X'!$A$2:$I$1000,5,FALSE)</f>
        <v>0.76800000000000002</v>
      </c>
    </row>
    <row r="133" spans="1:9" x14ac:dyDescent="0.2">
      <c r="A133" s="11">
        <v>37</v>
      </c>
      <c r="B133" s="21">
        <v>1.51</v>
      </c>
      <c r="C133" s="21">
        <v>2.44</v>
      </c>
      <c r="D133" s="21">
        <v>3.63</v>
      </c>
      <c r="E133" s="21">
        <v>5.7</v>
      </c>
      <c r="F133" s="21">
        <f>VLOOKUP(A133,'[1]SLR-m-X'!$A$2:$I$1000,2,FALSE)</f>
        <v>0.41099999999999998</v>
      </c>
      <c r="G133" s="21">
        <f>VLOOKUP(A133,'[1]SLR-m-X'!$A$2:$I$1000,3,FALSE)</f>
        <v>0.53100000000000003</v>
      </c>
      <c r="H133" s="21">
        <f>VLOOKUP(A133,'[1]SLR-m-X'!$A$2:$I$1000,4,FALSE)</f>
        <v>0.66200000000000003</v>
      </c>
      <c r="I133" s="21">
        <f>VLOOKUP(A133,'[1]SLR-m-X'!$A$2:$I$1000,5,FALSE)</f>
        <v>0.76600000000000001</v>
      </c>
    </row>
    <row r="134" spans="1:9" x14ac:dyDescent="0.2">
      <c r="A134" s="11">
        <v>39</v>
      </c>
      <c r="B134" s="21">
        <v>0.98</v>
      </c>
      <c r="C134" s="21">
        <v>2.08</v>
      </c>
      <c r="D134" s="21">
        <v>3.41</v>
      </c>
      <c r="E134" s="21">
        <v>4.59</v>
      </c>
      <c r="F134" s="21">
        <f>VLOOKUP(A134,'[1]SLR-m-X'!$A$2:$I$1000,2,FALSE)</f>
        <v>0.45700000000000002</v>
      </c>
      <c r="G134" s="21">
        <f>VLOOKUP(A134,'[1]SLR-m-X'!$A$2:$I$1000,3,FALSE)</f>
        <v>0.58299999999999996</v>
      </c>
      <c r="H134" s="21">
        <f>VLOOKUP(A134,'[1]SLR-m-X'!$A$2:$I$1000,4,FALSE)</f>
        <v>0.72299999999999998</v>
      </c>
      <c r="I134" s="21">
        <f>VLOOKUP(A134,'[1]SLR-m-X'!$A$2:$I$1000,5,FALSE)</f>
        <v>0.80400000000000005</v>
      </c>
    </row>
    <row r="135" spans="1:9" x14ac:dyDescent="0.2">
      <c r="A135" s="11">
        <v>43</v>
      </c>
      <c r="B135" s="21">
        <v>0.2742857142857143</v>
      </c>
      <c r="C135" s="21">
        <v>0.49857142857142861</v>
      </c>
      <c r="D135" s="21">
        <v>0.80714285714285716</v>
      </c>
      <c r="E135" s="21">
        <v>1.171428571428571</v>
      </c>
      <c r="F135" s="21"/>
      <c r="G135" s="21"/>
      <c r="H135" s="21"/>
      <c r="I135" s="21"/>
    </row>
    <row r="136" spans="1:9" x14ac:dyDescent="0.2">
      <c r="A136" s="11">
        <v>44</v>
      </c>
      <c r="B136" s="21">
        <v>1.206666666666667</v>
      </c>
      <c r="C136" s="21">
        <v>1.9833333333333329</v>
      </c>
      <c r="D136" s="21">
        <v>3.08</v>
      </c>
      <c r="E136" s="21">
        <v>4.4133333333333331</v>
      </c>
      <c r="F136" s="21">
        <f>VLOOKUP(A136,'[1]SLR-m-X'!$A$2:$I$1000,2,FALSE)</f>
        <v>0.48740000000000011</v>
      </c>
      <c r="G136" s="21">
        <f>VLOOKUP(A136,'[1]SLR-m-X'!$A$2:$I$1000,3,FALSE)</f>
        <v>0.60719999999999996</v>
      </c>
      <c r="H136" s="21">
        <f>VLOOKUP(A136,'[1]SLR-m-X'!$A$2:$I$1000,4,FALSE)</f>
        <v>0.74249999999999994</v>
      </c>
      <c r="I136" s="21">
        <f>VLOOKUP(A136,'[1]SLR-m-X'!$A$2:$I$1000,5,FALSE)</f>
        <v>0.82889999999999997</v>
      </c>
    </row>
    <row r="137" spans="1:9" x14ac:dyDescent="0.2">
      <c r="A137" s="11">
        <v>46</v>
      </c>
      <c r="B137" s="21">
        <v>1.1200000000000001</v>
      </c>
      <c r="C137" s="21">
        <v>1.7549999999999999</v>
      </c>
      <c r="D137" s="21">
        <v>3.14</v>
      </c>
      <c r="E137" s="21">
        <v>4.3049999999999997</v>
      </c>
      <c r="F137" s="21">
        <f>VLOOKUP(A137,'[1]SLR-m-X'!$A$2:$I$1000,2,FALSE)</f>
        <v>0.47699999999999998</v>
      </c>
      <c r="G137" s="21">
        <f>VLOOKUP(A137,'[1]SLR-m-X'!$A$2:$I$1000,3,FALSE)</f>
        <v>0.60549999999999993</v>
      </c>
      <c r="H137" s="21">
        <f>VLOOKUP(A137,'[1]SLR-m-X'!$A$2:$I$1000,4,FALSE)</f>
        <v>0.747</v>
      </c>
      <c r="I137" s="21">
        <f>VLOOKUP(A137,'[1]SLR-m-X'!$A$2:$I$1000,5,FALSE)</f>
        <v>0.82650000000000001</v>
      </c>
    </row>
    <row r="138" spans="1:9" x14ac:dyDescent="0.2">
      <c r="A138" s="11">
        <v>47</v>
      </c>
      <c r="B138" s="21">
        <v>1.29</v>
      </c>
      <c r="C138" s="21">
        <v>1.82</v>
      </c>
      <c r="D138" s="21">
        <v>3.14</v>
      </c>
      <c r="E138" s="21">
        <v>4.32</v>
      </c>
      <c r="F138" s="21"/>
      <c r="G138" s="21"/>
      <c r="H138" s="21"/>
      <c r="I138" s="21"/>
    </row>
    <row r="139" spans="1:9" x14ac:dyDescent="0.2">
      <c r="A139" s="11">
        <v>48</v>
      </c>
      <c r="B139" s="21">
        <v>2.39</v>
      </c>
      <c r="C139" s="21">
        <v>3.24</v>
      </c>
      <c r="D139" s="21">
        <v>4.4933333333333332</v>
      </c>
      <c r="E139" s="21">
        <v>6.8633333333333333</v>
      </c>
      <c r="F139" s="21">
        <f>VLOOKUP(A139,'[1]SLR-m-X'!$A$2:$I$1000,2,FALSE)</f>
        <v>0.4</v>
      </c>
      <c r="G139" s="21">
        <f>VLOOKUP(A139,'[1]SLR-m-X'!$A$2:$I$1000,3,FALSE)</f>
        <v>0.51949999999999996</v>
      </c>
      <c r="H139" s="21">
        <f>VLOOKUP(A139,'[1]SLR-m-X'!$A$2:$I$1000,4,FALSE)</f>
        <v>0.65249999999999997</v>
      </c>
      <c r="I139" s="21">
        <f>VLOOKUP(A139,'[1]SLR-m-X'!$A$2:$I$1000,5,FALSE)</f>
        <v>0.75</v>
      </c>
    </row>
    <row r="140" spans="1:9" x14ac:dyDescent="0.2">
      <c r="A140" s="11">
        <v>51</v>
      </c>
      <c r="B140" s="21">
        <v>2.14</v>
      </c>
      <c r="C140" s="21">
        <v>2.77</v>
      </c>
      <c r="D140" s="21">
        <v>4.7300000000000004</v>
      </c>
      <c r="E140" s="21">
        <v>6.93</v>
      </c>
      <c r="F140" s="21">
        <f>VLOOKUP(A140,'[1]SLR-m-X'!$A$2:$I$1000,2,FALSE)</f>
        <v>0.372</v>
      </c>
      <c r="G140" s="21">
        <f>VLOOKUP(A140,'[1]SLR-m-X'!$A$2:$I$1000,3,FALSE)</f>
        <v>0.498</v>
      </c>
      <c r="H140" s="21">
        <f>VLOOKUP(A140,'[1]SLR-m-X'!$A$2:$I$1000,4,FALSE)</f>
        <v>0.63500000000000001</v>
      </c>
      <c r="I140" s="21">
        <f>VLOOKUP(A140,'[1]SLR-m-X'!$A$2:$I$1000,5,FALSE)</f>
        <v>0.751</v>
      </c>
    </row>
    <row r="141" spans="1:9" x14ac:dyDescent="0.2">
      <c r="A141" s="11">
        <v>53</v>
      </c>
      <c r="B141" s="21">
        <v>1.46</v>
      </c>
      <c r="C141" s="21">
        <v>2.15</v>
      </c>
      <c r="D141" s="21">
        <v>3.7949999999999999</v>
      </c>
      <c r="E141" s="21">
        <v>5.44</v>
      </c>
      <c r="F141" s="21">
        <f>VLOOKUP(A141,'[1]SLR-m-X'!$A$2:$I$1000,2,FALSE)</f>
        <v>0.372</v>
      </c>
      <c r="G141" s="21">
        <f>VLOOKUP(A141,'[1]SLR-m-X'!$A$2:$I$1000,3,FALSE)</f>
        <v>0.497</v>
      </c>
      <c r="H141" s="21">
        <f>VLOOKUP(A141,'[1]SLR-m-X'!$A$2:$I$1000,4,FALSE)</f>
        <v>0.63400000000000001</v>
      </c>
      <c r="I141" s="21">
        <f>VLOOKUP(A141,'[1]SLR-m-X'!$A$2:$I$1000,5,FALSE)</f>
        <v>0.749</v>
      </c>
    </row>
    <row r="142" spans="1:9" x14ac:dyDescent="0.2">
      <c r="A142" s="11">
        <v>54</v>
      </c>
      <c r="B142" s="21">
        <v>1.835</v>
      </c>
      <c r="C142" s="21">
        <v>2.4249999999999998</v>
      </c>
      <c r="D142" s="21">
        <v>4.6349999999999998</v>
      </c>
      <c r="E142" s="21">
        <v>6.7349999999999994</v>
      </c>
      <c r="F142" s="21">
        <f>VLOOKUP(A142,'[1]SLR-m-X'!$A$2:$I$1000,2,FALSE)</f>
        <v>0.41649999999999998</v>
      </c>
      <c r="G142" s="21">
        <f>VLOOKUP(A142,'[1]SLR-m-X'!$A$2:$I$1000,3,FALSE)</f>
        <v>0.54699999999999993</v>
      </c>
      <c r="H142" s="21">
        <f>VLOOKUP(A142,'[1]SLR-m-X'!$A$2:$I$1000,4,FALSE)</f>
        <v>0.69500000000000006</v>
      </c>
      <c r="I142" s="21">
        <f>VLOOKUP(A142,'[1]SLR-m-X'!$A$2:$I$1000,5,FALSE)</f>
        <v>0.80699999999999994</v>
      </c>
    </row>
    <row r="143" spans="1:9" x14ac:dyDescent="0.2">
      <c r="A143" s="11">
        <v>55</v>
      </c>
      <c r="B143" s="21">
        <v>1.6020000000000001</v>
      </c>
      <c r="C143" s="21">
        <v>2.4079999999999999</v>
      </c>
      <c r="D143" s="21">
        <v>4.17</v>
      </c>
      <c r="E143" s="21">
        <v>6.2200000000000006</v>
      </c>
      <c r="F143" s="21">
        <f>VLOOKUP(A143,'[1]SLR-m-X'!$A$2:$I$1000,2,FALSE)</f>
        <v>0.38700000000000001</v>
      </c>
      <c r="G143" s="21">
        <f>VLOOKUP(A143,'[1]SLR-m-X'!$A$2:$I$1000,3,FALSE)</f>
        <v>0.51549999999999996</v>
      </c>
      <c r="H143" s="21">
        <f>VLOOKUP(A143,'[1]SLR-m-X'!$A$2:$I$1000,4,FALSE)</f>
        <v>0.65349999999999997</v>
      </c>
      <c r="I143" s="21">
        <f>VLOOKUP(A143,'[1]SLR-m-X'!$A$2:$I$1000,5,FALSE)</f>
        <v>0.76124999999999998</v>
      </c>
    </row>
    <row r="144" spans="1:9" x14ac:dyDescent="0.2">
      <c r="A144" s="11">
        <v>56</v>
      </c>
      <c r="B144" s="21">
        <v>1.84</v>
      </c>
      <c r="C144" s="21">
        <v>2.4500000000000002</v>
      </c>
      <c r="D144" s="21">
        <v>4</v>
      </c>
      <c r="E144" s="21">
        <v>6.5</v>
      </c>
      <c r="F144" s="21">
        <f>VLOOKUP(A144,'[1]SLR-m-X'!$A$2:$I$1000,2,FALSE)</f>
        <v>0.35599999999999998</v>
      </c>
      <c r="G144" s="21">
        <f>VLOOKUP(A144,'[1]SLR-m-X'!$A$2:$I$1000,3,FALSE)</f>
        <v>0.48</v>
      </c>
      <c r="H144" s="21">
        <f>VLOOKUP(A144,'[1]SLR-m-X'!$A$2:$I$1000,4,FALSE)</f>
        <v>0.61399999999999999</v>
      </c>
      <c r="I144" s="21">
        <f>VLOOKUP(A144,'[1]SLR-m-X'!$A$2:$I$1000,5,FALSE)</f>
        <v>0.72599999999999998</v>
      </c>
    </row>
    <row r="145" spans="1:9" x14ac:dyDescent="0.2">
      <c r="A145" s="11">
        <v>57</v>
      </c>
      <c r="B145" s="21">
        <v>1.5</v>
      </c>
      <c r="C145" s="21">
        <v>2.25</v>
      </c>
      <c r="D145" s="21">
        <v>3.66</v>
      </c>
      <c r="E145" s="21">
        <v>5.83</v>
      </c>
      <c r="F145" s="21">
        <f>VLOOKUP(A145,'[1]SLR-m-X'!$A$2:$I$1000,2,FALSE)</f>
        <v>0.35899999999999999</v>
      </c>
      <c r="G145" s="21">
        <f>VLOOKUP(A145,'[1]SLR-m-X'!$A$2:$I$1000,3,FALSE)</f>
        <v>0.48299999999999998</v>
      </c>
      <c r="H145" s="21">
        <f>VLOOKUP(A145,'[1]SLR-m-X'!$A$2:$I$1000,4,FALSE)</f>
        <v>0.61250000000000004</v>
      </c>
      <c r="I145" s="21">
        <f>VLOOKUP(A145,'[1]SLR-m-X'!$A$2:$I$1000,5,FALSE)</f>
        <v>0.72350000000000003</v>
      </c>
    </row>
    <row r="146" spans="1:9" x14ac:dyDescent="0.2">
      <c r="A146" s="11">
        <v>58</v>
      </c>
      <c r="B146" s="21">
        <v>1.36</v>
      </c>
      <c r="C146" s="21">
        <v>2.4</v>
      </c>
      <c r="D146" s="21">
        <v>3.94</v>
      </c>
      <c r="E146" s="21">
        <v>6.19</v>
      </c>
      <c r="F146" s="21">
        <f>VLOOKUP(A146,'[1]SLR-m-X'!$A$2:$I$1000,2,FALSE)</f>
        <v>0.378</v>
      </c>
      <c r="G146" s="21">
        <f>VLOOKUP(A146,'[1]SLR-m-X'!$A$2:$I$1000,3,FALSE)</f>
        <v>0.504</v>
      </c>
      <c r="H146" s="21">
        <f>VLOOKUP(A146,'[1]SLR-m-X'!$A$2:$I$1000,4,FALSE)</f>
        <v>0.63400000000000001</v>
      </c>
      <c r="I146" s="21">
        <f>VLOOKUP(A146,'[1]SLR-m-X'!$A$2:$I$1000,5,FALSE)</f>
        <v>0.746</v>
      </c>
    </row>
    <row r="147" spans="1:9" x14ac:dyDescent="0.2">
      <c r="A147" s="11">
        <v>62</v>
      </c>
      <c r="B147" s="21">
        <v>1.1000000000000001</v>
      </c>
      <c r="C147" s="21">
        <v>1.81</v>
      </c>
      <c r="D147" s="21">
        <v>2.16</v>
      </c>
      <c r="E147" s="21">
        <v>2.87</v>
      </c>
      <c r="F147" s="21"/>
      <c r="G147" s="21"/>
      <c r="H147" s="21"/>
      <c r="I147" s="21"/>
    </row>
    <row r="148" spans="1:9" x14ac:dyDescent="0.2">
      <c r="A148" s="11">
        <v>65</v>
      </c>
      <c r="B148" s="21">
        <v>1.1299999999999999</v>
      </c>
      <c r="C148" s="21">
        <v>1.84</v>
      </c>
      <c r="D148" s="21">
        <v>2.2000000000000002</v>
      </c>
      <c r="E148" s="21">
        <v>2.91</v>
      </c>
      <c r="F148" s="21">
        <f>VLOOKUP(A148,'[1]SLR-m-X'!$A$2:$I$1000,2,FALSE)</f>
        <v>0.52600000000000002</v>
      </c>
      <c r="G148" s="21">
        <f>VLOOKUP(A148,'[1]SLR-m-X'!$A$2:$I$1000,3,FALSE)</f>
        <v>0.67800000000000005</v>
      </c>
      <c r="H148" s="21">
        <f>VLOOKUP(A148,'[1]SLR-m-X'!$A$2:$I$1000,4,FALSE)</f>
        <v>0.84</v>
      </c>
      <c r="I148" s="21">
        <f>VLOOKUP(A148,'[1]SLR-m-X'!$A$2:$I$1000,5,FALSE)</f>
        <v>0.95</v>
      </c>
    </row>
    <row r="149" spans="1:9" x14ac:dyDescent="0.2">
      <c r="A149" s="11">
        <v>81</v>
      </c>
      <c r="B149" s="21">
        <v>0.97499999999999998</v>
      </c>
      <c r="C149" s="21">
        <v>2.64</v>
      </c>
      <c r="D149" s="21">
        <v>3.415</v>
      </c>
      <c r="E149" s="21">
        <v>4.4800000000000004</v>
      </c>
      <c r="F149" s="21">
        <f>VLOOKUP(A149,'[1]SLR-m-X'!$A$2:$I$1000,2,FALSE)</f>
        <v>0.45100000000000001</v>
      </c>
      <c r="G149" s="21">
        <f>VLOOKUP(A149,'[1]SLR-m-X'!$A$2:$I$1000,3,FALSE)</f>
        <v>0.57999999999999996</v>
      </c>
      <c r="H149" s="21">
        <f>VLOOKUP(A149,'[1]SLR-m-X'!$A$2:$I$1000,4,FALSE)</f>
        <v>0.71199999999999997</v>
      </c>
      <c r="I149" s="21">
        <f>VLOOKUP(A149,'[1]SLR-m-X'!$A$2:$I$1000,5,FALSE)</f>
        <v>0.81799999999999995</v>
      </c>
    </row>
    <row r="150" spans="1:9" x14ac:dyDescent="0.2">
      <c r="A150" s="11">
        <v>85</v>
      </c>
      <c r="B150" s="21">
        <v>2.06</v>
      </c>
      <c r="C150" s="21">
        <v>2.79</v>
      </c>
      <c r="D150" s="21">
        <v>3.93</v>
      </c>
      <c r="E150" s="21">
        <v>5.84</v>
      </c>
      <c r="F150" s="21">
        <f>VLOOKUP(A150,'[1]SLR-m-X'!$A$2:$I$1000,2,FALSE)</f>
        <v>0.38600000000000001</v>
      </c>
      <c r="G150" s="21">
        <f>VLOOKUP(A150,'[1]SLR-m-X'!$A$2:$I$1000,3,FALSE)</f>
        <v>0.48799999999999999</v>
      </c>
      <c r="H150" s="21">
        <f>VLOOKUP(A150,'[1]SLR-m-X'!$A$2:$I$1000,4,FALSE)</f>
        <v>0.6</v>
      </c>
      <c r="I150" s="21">
        <f>VLOOKUP(A150,'[1]SLR-m-X'!$A$2:$I$1000,5,FALSE)</f>
        <v>0.70799999999999996</v>
      </c>
    </row>
    <row r="151" spans="1:9" x14ac:dyDescent="0.2">
      <c r="A151" s="11">
        <v>88</v>
      </c>
      <c r="B151" s="21">
        <v>1.6</v>
      </c>
      <c r="C151" s="21">
        <v>3.03</v>
      </c>
      <c r="D151" s="21">
        <v>4.08</v>
      </c>
      <c r="E151" s="21">
        <v>6.14</v>
      </c>
      <c r="F151" s="21"/>
      <c r="G151" s="21"/>
      <c r="H151" s="21"/>
      <c r="I151" s="21"/>
    </row>
    <row r="152" spans="1:9" x14ac:dyDescent="0.2">
      <c r="A152" s="11">
        <v>89</v>
      </c>
      <c r="B152" s="21">
        <v>1.5449999999999999</v>
      </c>
      <c r="C152" s="21">
        <v>2.9249999999999998</v>
      </c>
      <c r="D152" s="21">
        <v>4.03</v>
      </c>
      <c r="E152" s="21">
        <v>5.83</v>
      </c>
      <c r="F152" s="21">
        <f>VLOOKUP(A152,'[1]SLR-m-X'!$A$2:$I$1000,2,FALSE)</f>
        <v>0.47049999999999997</v>
      </c>
      <c r="G152" s="21">
        <f>VLOOKUP(A152,'[1]SLR-m-X'!$A$2:$I$1000,3,FALSE)</f>
        <v>0.5665</v>
      </c>
      <c r="H152" s="21">
        <f>VLOOKUP(A152,'[1]SLR-m-X'!$A$2:$I$1000,4,FALSE)</f>
        <v>0.68150000000000011</v>
      </c>
      <c r="I152" s="21">
        <f>VLOOKUP(A152,'[1]SLR-m-X'!$A$2:$I$1000,5,FALSE)</f>
        <v>0.79050000000000009</v>
      </c>
    </row>
    <row r="153" spans="1:9" x14ac:dyDescent="0.2">
      <c r="A153" s="11">
        <v>95</v>
      </c>
      <c r="B153" s="21">
        <v>1.4</v>
      </c>
      <c r="C153" s="21">
        <v>2.48</v>
      </c>
      <c r="D153" s="21">
        <v>3.8</v>
      </c>
      <c r="E153" s="21">
        <v>4.8499999999999996</v>
      </c>
      <c r="F153" s="21">
        <f>VLOOKUP(A153,'[1]SLR-m-X'!$A$2:$I$1000,2,FALSE)</f>
        <v>0.436</v>
      </c>
      <c r="G153" s="21">
        <f>VLOOKUP(A153,'[1]SLR-m-X'!$A$2:$I$1000,3,FALSE)</f>
        <v>0.53600000000000003</v>
      </c>
      <c r="H153" s="21">
        <f>VLOOKUP(A153,'[1]SLR-m-X'!$A$2:$I$1000,4,FALSE)</f>
        <v>0.64500000000000002</v>
      </c>
      <c r="I153" s="21">
        <f>VLOOKUP(A153,'[1]SLR-m-X'!$A$2:$I$1000,5,FALSE)</f>
        <v>0.75600000000000001</v>
      </c>
    </row>
    <row r="154" spans="1:9" x14ac:dyDescent="0.2">
      <c r="A154" s="11">
        <v>97</v>
      </c>
      <c r="B154" s="21">
        <v>1.36</v>
      </c>
      <c r="C154" s="21">
        <v>2.605</v>
      </c>
      <c r="D154" s="21">
        <v>3.8849999999999998</v>
      </c>
      <c r="E154" s="21">
        <v>4.9800000000000004</v>
      </c>
      <c r="F154" s="21">
        <f>VLOOKUP(A154,'[1]SLR-m-X'!$A$2:$I$1000,2,FALSE)</f>
        <v>0.41399999999999998</v>
      </c>
      <c r="G154" s="21">
        <f>VLOOKUP(A154,'[1]SLR-m-X'!$A$2:$I$1000,3,FALSE)</f>
        <v>0.51</v>
      </c>
      <c r="H154" s="21">
        <f>VLOOKUP(A154,'[1]SLR-m-X'!$A$2:$I$1000,4,FALSE)</f>
        <v>0.61499999999999999</v>
      </c>
      <c r="I154" s="21">
        <f>VLOOKUP(A154,'[1]SLR-m-X'!$A$2:$I$1000,5,FALSE)</f>
        <v>0.72599999999999998</v>
      </c>
    </row>
    <row r="155" spans="1:9" x14ac:dyDescent="0.2">
      <c r="A155" s="11">
        <v>98</v>
      </c>
      <c r="B155" s="21">
        <v>1.1479999999999999</v>
      </c>
      <c r="C155" s="21">
        <v>2.35</v>
      </c>
      <c r="D155" s="21">
        <v>3.6880000000000002</v>
      </c>
      <c r="E155" s="21">
        <v>4.6500000000000004</v>
      </c>
      <c r="F155" s="21">
        <f>VLOOKUP(A155,'[1]SLR-m-X'!$A$2:$I$1000,2,FALSE)</f>
        <v>0.44866666666666671</v>
      </c>
      <c r="G155" s="21">
        <f>VLOOKUP(A155,'[1]SLR-m-X'!$A$2:$I$1000,3,FALSE)</f>
        <v>0.55733333333333335</v>
      </c>
      <c r="H155" s="21">
        <f>VLOOKUP(A155,'[1]SLR-m-X'!$A$2:$I$1000,4,FALSE)</f>
        <v>0.66833333333333333</v>
      </c>
      <c r="I155" s="21">
        <f>VLOOKUP(A155,'[1]SLR-m-X'!$A$2:$I$1000,5,FALSE)</f>
        <v>0.77400000000000002</v>
      </c>
    </row>
    <row r="156" spans="1:9" x14ac:dyDescent="0.2">
      <c r="A156" s="11">
        <v>99</v>
      </c>
      <c r="B156" s="21">
        <v>1.19</v>
      </c>
      <c r="C156" s="21">
        <v>2.29</v>
      </c>
      <c r="D156" s="21">
        <v>3.66</v>
      </c>
      <c r="E156" s="21">
        <v>4.72</v>
      </c>
      <c r="F156" s="21">
        <f>VLOOKUP(A156,'[1]SLR-m-X'!$A$2:$I$1000,2,FALSE)</f>
        <v>0.44724999999999998</v>
      </c>
      <c r="G156" s="21">
        <f>VLOOKUP(A156,'[1]SLR-m-X'!$A$2:$I$1000,3,FALSE)</f>
        <v>0.55900000000000005</v>
      </c>
      <c r="H156" s="21">
        <f>VLOOKUP(A156,'[1]SLR-m-X'!$A$2:$I$1000,4,FALSE)</f>
        <v>0.67200000000000004</v>
      </c>
      <c r="I156" s="21">
        <f>VLOOKUP(A156,'[1]SLR-m-X'!$A$2:$I$1000,5,FALSE)</f>
        <v>0.77524999999999999</v>
      </c>
    </row>
    <row r="157" spans="1:9" x14ac:dyDescent="0.2">
      <c r="A157" s="11">
        <v>100</v>
      </c>
      <c r="B157" s="21">
        <v>1.0866666666666669</v>
      </c>
      <c r="C157" s="21">
        <v>2.7233333333333332</v>
      </c>
      <c r="D157" s="21">
        <v>3.9833333333333329</v>
      </c>
      <c r="E157" s="21">
        <v>4.9366666666666674</v>
      </c>
      <c r="F157" s="21">
        <f>VLOOKUP(A157,'[1]SLR-m-X'!$A$2:$I$1000,2,FALSE)</f>
        <v>0.42149999999999999</v>
      </c>
      <c r="G157" s="21">
        <f>VLOOKUP(A157,'[1]SLR-m-X'!$A$2:$I$1000,3,FALSE)</f>
        <v>0.53725000000000001</v>
      </c>
      <c r="H157" s="21">
        <f>VLOOKUP(A157,'[1]SLR-m-X'!$A$2:$I$1000,4,FALSE)</f>
        <v>0.65400000000000003</v>
      </c>
      <c r="I157" s="21">
        <f>VLOOKUP(A157,'[1]SLR-m-X'!$A$2:$I$1000,5,FALSE)</f>
        <v>0.75675000000000003</v>
      </c>
    </row>
    <row r="158" spans="1:9" x14ac:dyDescent="0.2">
      <c r="A158" s="11">
        <v>103</v>
      </c>
      <c r="B158" s="21">
        <v>1.2</v>
      </c>
      <c r="C158" s="21">
        <v>2.35</v>
      </c>
      <c r="D158" s="21">
        <v>3.59</v>
      </c>
      <c r="E158" s="21">
        <v>4.62</v>
      </c>
      <c r="F158" s="21">
        <f>VLOOKUP(A158,'[1]SLR-m-X'!$A$2:$I$1000,2,FALSE)</f>
        <v>0.441</v>
      </c>
      <c r="G158" s="21">
        <f>VLOOKUP(A158,'[1]SLR-m-X'!$A$2:$I$1000,3,FALSE)</f>
        <v>0.56399999999999995</v>
      </c>
      <c r="H158" s="21">
        <f>VLOOKUP(A158,'[1]SLR-m-X'!$A$2:$I$1000,4,FALSE)</f>
        <v>0.68300000000000005</v>
      </c>
      <c r="I158" s="21">
        <f>VLOOKUP(A158,'[1]SLR-m-X'!$A$2:$I$1000,5,FALSE)</f>
        <v>0.78</v>
      </c>
    </row>
    <row r="159" spans="1:9" x14ac:dyDescent="0.2">
      <c r="A159" s="11">
        <v>104</v>
      </c>
      <c r="B159" s="21">
        <v>1.216666666666667</v>
      </c>
      <c r="C159" s="21">
        <v>2.3199999999999998</v>
      </c>
      <c r="D159" s="21">
        <v>3.63</v>
      </c>
      <c r="E159" s="21">
        <v>4.7466666666666661</v>
      </c>
      <c r="F159" s="21">
        <f>VLOOKUP(A159,'[1]SLR-m-X'!$A$2:$I$1000,2,FALSE)</f>
        <v>0.442</v>
      </c>
      <c r="G159" s="21">
        <f>VLOOKUP(A159,'[1]SLR-m-X'!$A$2:$I$1000,3,FALSE)</f>
        <v>0.56000000000000005</v>
      </c>
      <c r="H159" s="21">
        <f>VLOOKUP(A159,'[1]SLR-m-X'!$A$2:$I$1000,4,FALSE)</f>
        <v>0.68300000000000005</v>
      </c>
      <c r="I159" s="21">
        <f>VLOOKUP(A159,'[1]SLR-m-X'!$A$2:$I$1000,5,FALSE)</f>
        <v>0.78100000000000003</v>
      </c>
    </row>
    <row r="160" spans="1:9" x14ac:dyDescent="0.2">
      <c r="A160" s="11">
        <v>105</v>
      </c>
      <c r="B160" s="21">
        <v>0.77</v>
      </c>
      <c r="C160" s="21">
        <v>2.65</v>
      </c>
      <c r="D160" s="21">
        <v>3.06</v>
      </c>
      <c r="E160" s="21">
        <v>3.81</v>
      </c>
      <c r="F160" s="21">
        <f>VLOOKUP(A160,'[1]SLR-m-X'!$A$2:$I$1000,2,FALSE)</f>
        <v>0.44800000000000001</v>
      </c>
      <c r="G160" s="21">
        <f>VLOOKUP(A160,'[1]SLR-m-X'!$A$2:$I$1000,3,FALSE)</f>
        <v>0.56633333333333324</v>
      </c>
      <c r="H160" s="21">
        <f>VLOOKUP(A160,'[1]SLR-m-X'!$A$2:$I$1000,4,FALSE)</f>
        <v>0.68366666666666676</v>
      </c>
      <c r="I160" s="21">
        <f>VLOOKUP(A160,'[1]SLR-m-X'!$A$2:$I$1000,5,FALSE)</f>
        <v>0.78366666666666662</v>
      </c>
    </row>
    <row r="161" spans="1:9" x14ac:dyDescent="0.2">
      <c r="A161" s="11">
        <v>106</v>
      </c>
      <c r="B161" s="21">
        <v>1.52</v>
      </c>
      <c r="C161" s="21">
        <v>2.7833333333333341</v>
      </c>
      <c r="D161" s="21">
        <v>3.6933333333333329</v>
      </c>
      <c r="E161" s="21">
        <v>5.2133333333333338</v>
      </c>
      <c r="F161" s="21">
        <f>VLOOKUP(A161,'[1]SLR-m-X'!$A$2:$I$1000,2,FALSE)</f>
        <v>0.42199999999999999</v>
      </c>
      <c r="G161" s="21">
        <f>VLOOKUP(A161,'[1]SLR-m-X'!$A$2:$I$1000,3,FALSE)</f>
        <v>0.55600000000000005</v>
      </c>
      <c r="H161" s="21">
        <f>VLOOKUP(A161,'[1]SLR-m-X'!$A$2:$I$1000,4,FALSE)</f>
        <v>0.66600000000000004</v>
      </c>
      <c r="I161" s="21">
        <f>VLOOKUP(A161,'[1]SLR-m-X'!$A$2:$I$1000,5,FALSE)</f>
        <v>0.76400000000000001</v>
      </c>
    </row>
    <row r="162" spans="1:9" x14ac:dyDescent="0.2">
      <c r="A162" s="11">
        <v>107</v>
      </c>
      <c r="B162" s="21">
        <v>1.86</v>
      </c>
      <c r="C162" s="21">
        <v>2.895</v>
      </c>
      <c r="D162" s="21">
        <v>3.605</v>
      </c>
      <c r="E162" s="21">
        <v>5.5749999999999993</v>
      </c>
      <c r="F162" s="21">
        <f>VLOOKUP(A162,'[1]SLR-m-X'!$A$2:$I$1000,2,FALSE)</f>
        <v>0.42666666666666669</v>
      </c>
      <c r="G162" s="21">
        <f>VLOOKUP(A162,'[1]SLR-m-X'!$A$2:$I$1000,3,FALSE)</f>
        <v>0.55600000000000005</v>
      </c>
      <c r="H162" s="21">
        <f>VLOOKUP(A162,'[1]SLR-m-X'!$A$2:$I$1000,4,FALSE)</f>
        <v>0.66766666666666674</v>
      </c>
      <c r="I162" s="21">
        <f>VLOOKUP(A162,'[1]SLR-m-X'!$A$2:$I$1000,5,FALSE)</f>
        <v>0.76600000000000001</v>
      </c>
    </row>
    <row r="163" spans="1:9" x14ac:dyDescent="0.2">
      <c r="A163" s="11">
        <v>108</v>
      </c>
      <c r="B163" s="21">
        <v>0.71</v>
      </c>
      <c r="C163" s="21">
        <v>1.145</v>
      </c>
      <c r="D163" s="21">
        <v>1.65</v>
      </c>
      <c r="E163" s="21">
        <v>2.4449999999999998</v>
      </c>
      <c r="F163" s="21">
        <f>VLOOKUP(A163,'[1]SLR-m-X'!$A$2:$I$1000,2,FALSE)</f>
        <v>0.44124999999999998</v>
      </c>
      <c r="G163" s="21">
        <f>VLOOKUP(A163,'[1]SLR-m-X'!$A$2:$I$1000,3,FALSE)</f>
        <v>0.57250000000000001</v>
      </c>
      <c r="H163" s="21">
        <f>VLOOKUP(A163,'[1]SLR-m-X'!$A$2:$I$1000,4,FALSE)</f>
        <v>0.68399999999999994</v>
      </c>
      <c r="I163" s="21">
        <f>VLOOKUP(A163,'[1]SLR-m-X'!$A$2:$I$1000,5,FALSE)</f>
        <v>0.78400000000000003</v>
      </c>
    </row>
    <row r="164" spans="1:9" x14ac:dyDescent="0.2">
      <c r="A164" s="11">
        <v>109</v>
      </c>
      <c r="B164" s="21">
        <v>1.6274999999999999</v>
      </c>
      <c r="C164" s="21">
        <v>2.13</v>
      </c>
      <c r="D164" s="21">
        <v>2.855</v>
      </c>
      <c r="E164" s="21">
        <v>4.2774999999999999</v>
      </c>
      <c r="F164" s="21">
        <f>VLOOKUP(A164,'[1]SLR-m-X'!$A$2:$I$1000,2,FALSE)</f>
        <v>0.41849999999999998</v>
      </c>
      <c r="G164" s="21">
        <f>VLOOKUP(A164,'[1]SLR-m-X'!$A$2:$I$1000,3,FALSE)</f>
        <v>0.55049999999999999</v>
      </c>
      <c r="H164" s="21">
        <f>VLOOKUP(A164,'[1]SLR-m-X'!$A$2:$I$1000,4,FALSE)</f>
        <v>0.66549999999999998</v>
      </c>
      <c r="I164" s="21">
        <f>VLOOKUP(A164,'[1]SLR-m-X'!$A$2:$I$1000,5,FALSE)</f>
        <v>0.76900000000000002</v>
      </c>
    </row>
    <row r="165" spans="1:9" x14ac:dyDescent="0.2">
      <c r="A165" s="11">
        <v>112</v>
      </c>
      <c r="B165" s="21">
        <v>1.17</v>
      </c>
      <c r="C165" s="21">
        <v>2.4</v>
      </c>
      <c r="D165" s="21">
        <v>3.48</v>
      </c>
      <c r="E165" s="21">
        <v>4.6399999999999997</v>
      </c>
      <c r="F165" s="21">
        <f>VLOOKUP(A165,'[1]SLR-m-X'!$A$2:$I$1000,2,FALSE)</f>
        <v>0.44700000000000001</v>
      </c>
      <c r="G165" s="21">
        <f>VLOOKUP(A165,'[1]SLR-m-X'!$A$2:$I$1000,3,FALSE)</f>
        <v>0.55900000000000005</v>
      </c>
      <c r="H165" s="21">
        <f>VLOOKUP(A165,'[1]SLR-m-X'!$A$2:$I$1000,4,FALSE)</f>
        <v>0.67800000000000005</v>
      </c>
      <c r="I165" s="21">
        <f>VLOOKUP(A165,'[1]SLR-m-X'!$A$2:$I$1000,5,FALSE)</f>
        <v>0.78</v>
      </c>
    </row>
    <row r="166" spans="1:9" x14ac:dyDescent="0.2">
      <c r="A166" s="11">
        <v>113</v>
      </c>
      <c r="B166" s="21">
        <v>1.32</v>
      </c>
      <c r="C166" s="21">
        <v>1.583333333333333</v>
      </c>
      <c r="D166" s="21">
        <v>2.38</v>
      </c>
      <c r="E166" s="21">
        <v>2.976666666666667</v>
      </c>
      <c r="F166" s="21">
        <f>VLOOKUP(A166,'[1]SLR-m-X'!$A$2:$I$1000,2,FALSE)</f>
        <v>0.41499999999999998</v>
      </c>
      <c r="G166" s="21">
        <f>VLOOKUP(A166,'[1]SLR-m-X'!$A$2:$I$1000,3,FALSE)</f>
        <v>0.55200000000000005</v>
      </c>
      <c r="H166" s="21">
        <f>VLOOKUP(A166,'[1]SLR-m-X'!$A$2:$I$1000,4,FALSE)</f>
        <v>0.66800000000000004</v>
      </c>
      <c r="I166" s="21">
        <f>VLOOKUP(A166,'[1]SLR-m-X'!$A$2:$I$1000,5,FALSE)</f>
        <v>0.77</v>
      </c>
    </row>
    <row r="167" spans="1:9" x14ac:dyDescent="0.2">
      <c r="A167" s="11">
        <v>114</v>
      </c>
      <c r="B167" s="21">
        <v>1.0649999999999999</v>
      </c>
      <c r="C167" s="21">
        <v>1.425</v>
      </c>
      <c r="D167" s="21">
        <v>1.7849999999999999</v>
      </c>
      <c r="E167" s="21">
        <v>2.7</v>
      </c>
      <c r="F167" s="21">
        <f>VLOOKUP(A167,'[1]SLR-m-X'!$A$2:$I$1000,2,FALSE)</f>
        <v>0.44409375000000001</v>
      </c>
      <c r="G167" s="21">
        <f>VLOOKUP(A167,'[1]SLR-m-X'!$A$2:$I$1000,3,FALSE)</f>
        <v>0.56237499999999996</v>
      </c>
      <c r="H167" s="21">
        <f>VLOOKUP(A167,'[1]SLR-m-X'!$A$2:$I$1000,4,FALSE)</f>
        <v>0.67453125000000003</v>
      </c>
      <c r="I167" s="21">
        <f>VLOOKUP(A167,'[1]SLR-m-X'!$A$2:$I$1000,5,FALSE)</f>
        <v>0.7734375</v>
      </c>
    </row>
    <row r="168" spans="1:9" x14ac:dyDescent="0.2">
      <c r="A168" s="11">
        <v>115</v>
      </c>
      <c r="B168" s="21">
        <v>0.91</v>
      </c>
      <c r="C168" s="21">
        <v>1.17</v>
      </c>
      <c r="D168" s="21">
        <v>1.6950000000000001</v>
      </c>
      <c r="E168" s="21">
        <v>2.1850000000000001</v>
      </c>
      <c r="F168" s="21">
        <f>VLOOKUP(A168,'[1]SLR-m-X'!$A$2:$I$1000,2,FALSE)</f>
        <v>0.439</v>
      </c>
      <c r="G168" s="21">
        <f>VLOOKUP(A168,'[1]SLR-m-X'!$A$2:$I$1000,3,FALSE)</f>
        <v>0.57699999999999996</v>
      </c>
      <c r="H168" s="21">
        <f>VLOOKUP(A168,'[1]SLR-m-X'!$A$2:$I$1000,4,FALSE)</f>
        <v>0.69550000000000001</v>
      </c>
      <c r="I168" s="21">
        <f>VLOOKUP(A168,'[1]SLR-m-X'!$A$2:$I$1000,5,FALSE)</f>
        <v>0.79749999999999999</v>
      </c>
    </row>
    <row r="169" spans="1:9" x14ac:dyDescent="0.2">
      <c r="A169" s="11">
        <v>117</v>
      </c>
      <c r="B169" s="21">
        <v>1.57</v>
      </c>
      <c r="C169" s="21">
        <v>2.15</v>
      </c>
      <c r="D169" s="21">
        <v>3</v>
      </c>
      <c r="E169" s="21">
        <v>4.83</v>
      </c>
      <c r="F169" s="21">
        <f>VLOOKUP(A169,'[1]SLR-m-X'!$A$2:$I$1000,2,FALSE)</f>
        <v>0.434</v>
      </c>
      <c r="G169" s="21">
        <f>VLOOKUP(A169,'[1]SLR-m-X'!$A$2:$I$1000,3,FALSE)</f>
        <v>0.57399999999999995</v>
      </c>
      <c r="H169" s="21">
        <f>VLOOKUP(A169,'[1]SLR-m-X'!$A$2:$I$1000,4,FALSE)</f>
        <v>0.69399999999999995</v>
      </c>
      <c r="I169" s="21">
        <f>VLOOKUP(A169,'[1]SLR-m-X'!$A$2:$I$1000,5,FALSE)</f>
        <v>0.79700000000000004</v>
      </c>
    </row>
    <row r="170" spans="1:9" x14ac:dyDescent="0.2">
      <c r="A170" s="11">
        <v>119</v>
      </c>
      <c r="B170" s="21">
        <v>1.504</v>
      </c>
      <c r="C170" s="21">
        <v>2.3620000000000001</v>
      </c>
      <c r="D170" s="21">
        <v>3.27</v>
      </c>
      <c r="E170" s="21">
        <v>4.4659999999999993</v>
      </c>
      <c r="F170" s="21">
        <f>VLOOKUP(A170,'[1]SLR-m-X'!$A$2:$I$1000,2,FALSE)</f>
        <v>0.38500000000000001</v>
      </c>
      <c r="G170" s="21">
        <f>VLOOKUP(A170,'[1]SLR-m-X'!$A$2:$I$1000,3,FALSE)</f>
        <v>0.51200000000000001</v>
      </c>
      <c r="H170" s="21">
        <f>VLOOKUP(A170,'[1]SLR-m-X'!$A$2:$I$1000,4,FALSE)</f>
        <v>0.66200000000000003</v>
      </c>
      <c r="I170" s="21">
        <f>VLOOKUP(A170,'[1]SLR-m-X'!$A$2:$I$1000,5,FALSE)</f>
        <v>0.77900000000000003</v>
      </c>
    </row>
    <row r="171" spans="1:9" x14ac:dyDescent="0.2">
      <c r="A171" s="11">
        <v>120</v>
      </c>
      <c r="B171" s="21">
        <v>2.9474999999999998</v>
      </c>
      <c r="C171" s="21">
        <v>3.45</v>
      </c>
      <c r="D171" s="21">
        <v>5.2074999999999996</v>
      </c>
      <c r="E171" s="21">
        <v>7.6074999999999999</v>
      </c>
      <c r="F171" s="21">
        <f>VLOOKUP(A171,'[1]SLR-m-X'!$A$2:$I$1000,2,FALSE)</f>
        <v>0.45550000000000002</v>
      </c>
      <c r="G171" s="21">
        <f>VLOOKUP(A171,'[1]SLR-m-X'!$A$2:$I$1000,3,FALSE)</f>
        <v>0.57150000000000001</v>
      </c>
      <c r="H171" s="21">
        <f>VLOOKUP(A171,'[1]SLR-m-X'!$A$2:$I$1000,4,FALSE)</f>
        <v>0.6925</v>
      </c>
      <c r="I171" s="21">
        <f>VLOOKUP(A171,'[1]SLR-m-X'!$A$2:$I$1000,5,FALSE)</f>
        <v>0.79025000000000001</v>
      </c>
    </row>
    <row r="172" spans="1:9" x14ac:dyDescent="0.2">
      <c r="A172" s="11">
        <v>121</v>
      </c>
      <c r="B172" s="21">
        <v>1.993333333333333</v>
      </c>
      <c r="C172" s="21">
        <v>3.0366666666666671</v>
      </c>
      <c r="D172" s="21">
        <v>4.09</v>
      </c>
      <c r="E172" s="21">
        <v>5.7277777777777779</v>
      </c>
      <c r="F172" s="21">
        <f>VLOOKUP(A172,'[1]SLR-m-X'!$A$2:$I$1000,2,FALSE)</f>
        <v>0.43149999999999999</v>
      </c>
      <c r="G172" s="21">
        <f>VLOOKUP(A172,'[1]SLR-m-X'!$A$2:$I$1000,3,FALSE)</f>
        <v>0.55225000000000002</v>
      </c>
      <c r="H172" s="21">
        <f>VLOOKUP(A172,'[1]SLR-m-X'!$A$2:$I$1000,4,FALSE)</f>
        <v>0.6905</v>
      </c>
      <c r="I172" s="21">
        <f>VLOOKUP(A172,'[1]SLR-m-X'!$A$2:$I$1000,5,FALSE)</f>
        <v>0.79837500000000006</v>
      </c>
    </row>
    <row r="173" spans="1:9" x14ac:dyDescent="0.2">
      <c r="A173" s="11">
        <v>122</v>
      </c>
      <c r="B173" s="21">
        <v>1.425</v>
      </c>
      <c r="C173" s="21">
        <v>2.5950000000000002</v>
      </c>
      <c r="D173" s="21">
        <v>3.665</v>
      </c>
      <c r="E173" s="21">
        <v>4.8150000000000004</v>
      </c>
      <c r="F173" s="21">
        <f>VLOOKUP(A173,'[1]SLR-m-X'!$A$2:$I$1000,2,FALSE)</f>
        <v>0.47225000000000011</v>
      </c>
      <c r="G173" s="21">
        <f>VLOOKUP(A173,'[1]SLR-m-X'!$A$2:$I$1000,3,FALSE)</f>
        <v>0.58787500000000004</v>
      </c>
      <c r="H173" s="21">
        <f>VLOOKUP(A173,'[1]SLR-m-X'!$A$2:$I$1000,4,FALSE)</f>
        <v>0.71875</v>
      </c>
      <c r="I173" s="21">
        <f>VLOOKUP(A173,'[1]SLR-m-X'!$A$2:$I$1000,5,FALSE)</f>
        <v>0.81850000000000001</v>
      </c>
    </row>
    <row r="174" spans="1:9" x14ac:dyDescent="0.2">
      <c r="A174" s="11">
        <v>124</v>
      </c>
      <c r="B174" s="21">
        <v>0.94</v>
      </c>
      <c r="C174" s="21">
        <v>2.2799999999999998</v>
      </c>
      <c r="D174" s="21">
        <v>2.98</v>
      </c>
      <c r="E174" s="21">
        <v>3.9</v>
      </c>
      <c r="F174" s="21">
        <f>VLOOKUP(A174,'[1]SLR-m-X'!$A$2:$I$1000,2,FALSE)</f>
        <v>0.48299999999999998</v>
      </c>
      <c r="G174" s="21">
        <f>VLOOKUP(A174,'[1]SLR-m-X'!$A$2:$I$1000,3,FALSE)</f>
        <v>0.63749999999999996</v>
      </c>
      <c r="H174" s="21">
        <f>VLOOKUP(A174,'[1]SLR-m-X'!$A$2:$I$1000,4,FALSE)</f>
        <v>0.76349999999999996</v>
      </c>
      <c r="I174" s="21">
        <f>VLOOKUP(A174,'[1]SLR-m-X'!$A$2:$I$1000,5,FALSE)</f>
        <v>0.86599999999999999</v>
      </c>
    </row>
    <row r="175" spans="1:9" x14ac:dyDescent="0.2">
      <c r="A175" s="11">
        <v>125</v>
      </c>
      <c r="B175" s="21">
        <v>1.28</v>
      </c>
      <c r="C175" s="21">
        <v>2.7250000000000001</v>
      </c>
      <c r="D175" s="21">
        <v>3.7</v>
      </c>
      <c r="E175" s="21">
        <v>5.1349999999999998</v>
      </c>
      <c r="F175" s="21">
        <f>VLOOKUP(A175,'[1]SLR-m-X'!$A$2:$I$1000,2,FALSE)</f>
        <v>0.48499999999999999</v>
      </c>
      <c r="G175" s="21">
        <f>VLOOKUP(A175,'[1]SLR-m-X'!$A$2:$I$1000,3,FALSE)</f>
        <v>0.64200000000000002</v>
      </c>
      <c r="H175" s="21">
        <f>VLOOKUP(A175,'[1]SLR-m-X'!$A$2:$I$1000,4,FALSE)</f>
        <v>0.77600000000000002</v>
      </c>
      <c r="I175" s="21">
        <f>VLOOKUP(A175,'[1]SLR-m-X'!$A$2:$I$1000,5,FALSE)</f>
        <v>0.88</v>
      </c>
    </row>
    <row r="176" spans="1:9" x14ac:dyDescent="0.2">
      <c r="A176" s="11">
        <v>126</v>
      </c>
      <c r="B176" s="21">
        <v>1.6125</v>
      </c>
      <c r="C176" s="21">
        <v>3.1124999999999998</v>
      </c>
      <c r="D176" s="21">
        <v>4.4124999999999996</v>
      </c>
      <c r="E176" s="21">
        <v>6.4325000000000001</v>
      </c>
      <c r="F176" s="21">
        <f>VLOOKUP(A176,'[1]SLR-m-X'!$A$2:$I$1000,2,FALSE)</f>
        <v>0.51800000000000002</v>
      </c>
      <c r="G176" s="21">
        <f>VLOOKUP(A176,'[1]SLR-m-X'!$A$2:$I$1000,3,FALSE)</f>
        <v>0.64300000000000002</v>
      </c>
      <c r="H176" s="21">
        <f>VLOOKUP(A176,'[1]SLR-m-X'!$A$2:$I$1000,4,FALSE)</f>
        <v>0.79050000000000009</v>
      </c>
      <c r="I176" s="21">
        <f>VLOOKUP(A176,'[1]SLR-m-X'!$A$2:$I$1000,5,FALSE)</f>
        <v>0.90449999999999997</v>
      </c>
    </row>
    <row r="177" spans="1:9" x14ac:dyDescent="0.2">
      <c r="A177" s="11">
        <v>127</v>
      </c>
      <c r="B177" s="21">
        <v>1.25</v>
      </c>
      <c r="C177" s="21">
        <v>2.5449999999999999</v>
      </c>
      <c r="D177" s="21">
        <v>3.7174999999999998</v>
      </c>
      <c r="E177" s="21">
        <v>4.9124999999999996</v>
      </c>
      <c r="F177" s="21">
        <f>VLOOKUP(A177,'[1]SLR-m-X'!$A$2:$I$1000,2,FALSE)</f>
        <v>0.43874999999999997</v>
      </c>
      <c r="G177" s="21">
        <f>VLOOKUP(A177,'[1]SLR-m-X'!$A$2:$I$1000,3,FALSE)</f>
        <v>0.57325000000000004</v>
      </c>
      <c r="H177" s="21">
        <f>VLOOKUP(A177,'[1]SLR-m-X'!$A$2:$I$1000,4,FALSE)</f>
        <v>0.71599999999999997</v>
      </c>
      <c r="I177" s="21">
        <f>VLOOKUP(A177,'[1]SLR-m-X'!$A$2:$I$1000,5,FALSE)</f>
        <v>0.826125</v>
      </c>
    </row>
    <row r="178" spans="1:9" x14ac:dyDescent="0.2">
      <c r="A178" s="11">
        <v>128</v>
      </c>
      <c r="B178" s="21">
        <v>0.99</v>
      </c>
      <c r="C178" s="21">
        <v>2.86</v>
      </c>
      <c r="D178" s="21">
        <v>4.59</v>
      </c>
      <c r="E178" s="21">
        <v>5.81</v>
      </c>
      <c r="F178" s="21">
        <f>VLOOKUP(A178,'[1]SLR-m-X'!$A$2:$I$1000,2,FALSE)</f>
        <v>0.45222222222199998</v>
      </c>
      <c r="G178" s="21">
        <f>VLOOKUP(A178,'[1]SLR-m-X'!$A$2:$I$1000,3,FALSE)</f>
        <v>0.58250000000000002</v>
      </c>
      <c r="H178" s="21">
        <f>VLOOKUP(A178,'[1]SLR-m-X'!$A$2:$I$1000,4,FALSE)</f>
        <v>0.71022222222199993</v>
      </c>
      <c r="I178" s="21">
        <f>VLOOKUP(A178,'[1]SLR-m-X'!$A$2:$I$1000,5,FALSE)</f>
        <v>0.81644444444433339</v>
      </c>
    </row>
    <row r="179" spans="1:9" x14ac:dyDescent="0.2">
      <c r="A179" s="11">
        <v>130</v>
      </c>
      <c r="B179" s="21">
        <v>1.1975</v>
      </c>
      <c r="C179" s="21">
        <v>2.5175000000000001</v>
      </c>
      <c r="D179" s="21">
        <v>3.6349999999999998</v>
      </c>
      <c r="E179" s="21">
        <v>5.1775000000000002</v>
      </c>
      <c r="F179" s="21">
        <f>VLOOKUP(A179,'[1]SLR-m-X'!$A$2:$I$1000,2,FALSE)</f>
        <v>0.48753571428550002</v>
      </c>
      <c r="G179" s="21">
        <f>VLOOKUP(A179,'[1]SLR-m-X'!$A$2:$I$1000,3,FALSE)</f>
        <v>0.62878571428550001</v>
      </c>
      <c r="H179" s="21">
        <f>VLOOKUP(A179,'[1]SLR-m-X'!$A$2:$I$1000,4,FALSE)</f>
        <v>0.77219642857174997</v>
      </c>
      <c r="I179" s="21">
        <f>VLOOKUP(A179,'[1]SLR-m-X'!$A$2:$I$1000,5,FALSE)</f>
        <v>0.89019642857174996</v>
      </c>
    </row>
    <row r="180" spans="1:9" x14ac:dyDescent="0.2">
      <c r="A180" s="11">
        <v>132</v>
      </c>
      <c r="B180" s="21">
        <v>0.64</v>
      </c>
      <c r="C180" s="21">
        <v>2.2833333333333332</v>
      </c>
      <c r="D180" s="21">
        <v>3.413333333333334</v>
      </c>
      <c r="E180" s="21">
        <v>4.6900000000000004</v>
      </c>
      <c r="F180" s="21">
        <f>VLOOKUP(A180,'[1]SLR-m-X'!$A$2:$I$1000,2,FALSE)</f>
        <v>0.47399999999999998</v>
      </c>
      <c r="G180" s="21">
        <f>VLOOKUP(A180,'[1]SLR-m-X'!$A$2:$I$1000,3,FALSE)</f>
        <v>0.58399999999999996</v>
      </c>
      <c r="H180" s="21">
        <f>VLOOKUP(A180,'[1]SLR-m-X'!$A$2:$I$1000,4,FALSE)</f>
        <v>0.69699999999999995</v>
      </c>
      <c r="I180" s="21">
        <f>VLOOKUP(A180,'[1]SLR-m-X'!$A$2:$I$1000,5,FALSE)</f>
        <v>0.80500000000000005</v>
      </c>
    </row>
    <row r="181" spans="1:9" x14ac:dyDescent="0.2">
      <c r="A181" s="11">
        <v>134</v>
      </c>
      <c r="B181" s="21">
        <v>1.1299999999999999</v>
      </c>
      <c r="C181" s="21">
        <v>2.5099999999999998</v>
      </c>
      <c r="D181" s="21">
        <v>3.47</v>
      </c>
      <c r="E181" s="21">
        <v>4.9800000000000004</v>
      </c>
      <c r="F181" s="21">
        <f>VLOOKUP(A181,'[1]SLR-m-X'!$A$2:$I$1000,2,FALSE)</f>
        <v>0.503</v>
      </c>
      <c r="G181" s="21">
        <f>VLOOKUP(A181,'[1]SLR-m-X'!$A$2:$I$1000,3,FALSE)</f>
        <v>0.60399999999999998</v>
      </c>
      <c r="H181" s="21">
        <f>VLOOKUP(A181,'[1]SLR-m-X'!$A$2:$I$1000,4,FALSE)</f>
        <v>0.72499999999999998</v>
      </c>
      <c r="I181" s="21">
        <f>VLOOKUP(A181,'[1]SLR-m-X'!$A$2:$I$1000,5,FALSE)</f>
        <v>0.82950000000000002</v>
      </c>
    </row>
    <row r="182" spans="1:9" x14ac:dyDescent="0.2">
      <c r="A182" s="11">
        <v>135</v>
      </c>
      <c r="B182" s="21">
        <v>1.25</v>
      </c>
      <c r="C182" s="21">
        <v>2.6</v>
      </c>
      <c r="D182" s="21">
        <v>3.52</v>
      </c>
      <c r="E182" s="21">
        <v>5.1849999999999996</v>
      </c>
      <c r="F182" s="21">
        <f>VLOOKUP(A182,'[1]SLR-m-X'!$A$2:$I$1000,2,FALSE)</f>
        <v>0.45400000000000001</v>
      </c>
      <c r="G182" s="21">
        <f>VLOOKUP(A182,'[1]SLR-m-X'!$A$2:$I$1000,3,FALSE)</f>
        <v>0.59199999999999997</v>
      </c>
      <c r="H182" s="21">
        <f>VLOOKUP(A182,'[1]SLR-m-X'!$A$2:$I$1000,4,FALSE)</f>
        <v>0.73699999999999999</v>
      </c>
      <c r="I182" s="21">
        <f>VLOOKUP(A182,'[1]SLR-m-X'!$A$2:$I$1000,5,FALSE)</f>
        <v>0.85</v>
      </c>
    </row>
    <row r="183" spans="1:9" x14ac:dyDescent="0.2">
      <c r="A183" s="11">
        <v>136</v>
      </c>
      <c r="B183" s="21">
        <v>0.98666666666666669</v>
      </c>
      <c r="C183" s="21">
        <v>2.6133333333333328</v>
      </c>
      <c r="D183" s="21">
        <v>3.916666666666667</v>
      </c>
      <c r="E183" s="21">
        <v>6.0100000000000007</v>
      </c>
      <c r="F183" s="21">
        <f>VLOOKUP(A183,'[1]SLR-m-X'!$A$2:$I$1000,2,FALSE)</f>
        <v>0.49287500000000001</v>
      </c>
      <c r="G183" s="21">
        <f>VLOOKUP(A183,'[1]SLR-m-X'!$A$2:$I$1000,3,FALSE)</f>
        <v>0.61525000000000007</v>
      </c>
      <c r="H183" s="21">
        <f>VLOOKUP(A183,'[1]SLR-m-X'!$A$2:$I$1000,4,FALSE)</f>
        <v>0.75624999999999998</v>
      </c>
      <c r="I183" s="21">
        <f>VLOOKUP(A183,'[1]SLR-m-X'!$A$2:$I$1000,5,FALSE)</f>
        <v>0.86012500000000003</v>
      </c>
    </row>
    <row r="184" spans="1:9" x14ac:dyDescent="0.2">
      <c r="A184" s="11">
        <v>137</v>
      </c>
      <c r="B184" s="21">
        <v>0.78</v>
      </c>
      <c r="C184" s="21">
        <v>2.17</v>
      </c>
      <c r="D184" s="21">
        <v>3.13</v>
      </c>
      <c r="E184" s="21">
        <v>4.0999999999999996</v>
      </c>
      <c r="F184" s="21">
        <f>VLOOKUP(A184,'[1]SLR-m-X'!$A$2:$I$1000,2,FALSE)</f>
        <v>0.32224999999999998</v>
      </c>
      <c r="G184" s="21">
        <f>VLOOKUP(A184,'[1]SLR-m-X'!$A$2:$I$1000,3,FALSE)</f>
        <v>0.44650000000000001</v>
      </c>
      <c r="H184" s="21">
        <f>VLOOKUP(A184,'[1]SLR-m-X'!$A$2:$I$1000,4,FALSE)</f>
        <v>0.59350000000000003</v>
      </c>
      <c r="I184" s="21">
        <f>VLOOKUP(A184,'[1]SLR-m-X'!$A$2:$I$1000,5,FALSE)</f>
        <v>0.70125000000000004</v>
      </c>
    </row>
    <row r="185" spans="1:9" x14ac:dyDescent="0.2">
      <c r="A185" s="11">
        <v>139</v>
      </c>
      <c r="B185" s="21">
        <v>1.2</v>
      </c>
      <c r="C185" s="21">
        <v>1.5349999999999999</v>
      </c>
      <c r="D185" s="21">
        <v>2.0449999999999999</v>
      </c>
      <c r="E185" s="21">
        <v>2.29</v>
      </c>
      <c r="F185" s="21">
        <f>VLOOKUP(A185,'[1]SLR-m-X'!$A$2:$I$1000,2,FALSE)</f>
        <v>0.497</v>
      </c>
      <c r="G185" s="21">
        <f>VLOOKUP(A185,'[1]SLR-m-X'!$A$2:$I$1000,3,FALSE)</f>
        <v>0.6</v>
      </c>
      <c r="H185" s="21">
        <f>VLOOKUP(A185,'[1]SLR-m-X'!$A$2:$I$1000,4,FALSE)</f>
        <v>0.70650000000000002</v>
      </c>
      <c r="I185" s="21">
        <f>VLOOKUP(A185,'[1]SLR-m-X'!$A$2:$I$1000,5,FALSE)</f>
        <v>0.77049999999999996</v>
      </c>
    </row>
    <row r="186" spans="1:9" x14ac:dyDescent="0.2">
      <c r="A186" s="11">
        <v>140</v>
      </c>
      <c r="B186" s="21">
        <v>1.326666666666666</v>
      </c>
      <c r="C186" s="21">
        <v>2.61</v>
      </c>
      <c r="D186" s="21">
        <v>3.4833333333333329</v>
      </c>
      <c r="E186" s="21">
        <v>4.6766666666666667</v>
      </c>
      <c r="F186" s="21">
        <f>VLOOKUP(A186,'[1]SLR-m-X'!$A$2:$I$1000,2,FALSE)</f>
        <v>0.42299999999999999</v>
      </c>
      <c r="G186" s="21">
        <f>VLOOKUP(A186,'[1]SLR-m-X'!$A$2:$I$1000,3,FALSE)</f>
        <v>0.55833333333299995</v>
      </c>
      <c r="H186" s="21">
        <f>VLOOKUP(A186,'[1]SLR-m-X'!$A$2:$I$1000,4,FALSE)</f>
        <v>0.72166666666699997</v>
      </c>
      <c r="I186" s="21">
        <f>VLOOKUP(A186,'[1]SLR-m-X'!$A$2:$I$1000,5,FALSE)</f>
        <v>0.83966666666699996</v>
      </c>
    </row>
    <row r="187" spans="1:9" x14ac:dyDescent="0.2">
      <c r="A187" s="11">
        <v>141</v>
      </c>
      <c r="B187" s="21">
        <v>1.19</v>
      </c>
      <c r="C187" s="21">
        <v>2.4325000000000001</v>
      </c>
      <c r="D187" s="21">
        <v>3.2075</v>
      </c>
      <c r="E187" s="21">
        <v>4.8449999999999998</v>
      </c>
      <c r="F187" s="21">
        <f>VLOOKUP(A187,'[1]SLR-m-X'!$A$2:$I$1000,2,FALSE)</f>
        <v>0.38733333333333331</v>
      </c>
      <c r="G187" s="21">
        <f>VLOOKUP(A187,'[1]SLR-m-X'!$A$2:$I$1000,3,FALSE)</f>
        <v>0.49266666666666681</v>
      </c>
      <c r="H187" s="21">
        <f>VLOOKUP(A187,'[1]SLR-m-X'!$A$2:$I$1000,4,FALSE)</f>
        <v>0.59766666666666668</v>
      </c>
      <c r="I187" s="21">
        <f>VLOOKUP(A187,'[1]SLR-m-X'!$A$2:$I$1000,5,FALSE)</f>
        <v>0.68533333333333335</v>
      </c>
    </row>
    <row r="188" spans="1:9" x14ac:dyDescent="0.2">
      <c r="A188" s="11">
        <v>142</v>
      </c>
      <c r="B188" s="21">
        <v>1.05</v>
      </c>
      <c r="C188" s="21">
        <v>1.87</v>
      </c>
      <c r="D188" s="21">
        <v>2.84</v>
      </c>
      <c r="E188" s="21">
        <v>5.52</v>
      </c>
      <c r="F188" s="21">
        <f>VLOOKUP(A188,'[1]SLR-m-X'!$A$2:$I$1000,2,FALSE)</f>
        <v>0.52516666666675005</v>
      </c>
      <c r="G188" s="21">
        <f>VLOOKUP(A188,'[1]SLR-m-X'!$A$2:$I$1000,3,FALSE)</f>
        <v>0.6441666666675</v>
      </c>
      <c r="H188" s="21">
        <f>VLOOKUP(A188,'[1]SLR-m-X'!$A$2:$I$1000,4,FALSE)</f>
        <v>0.79258333333249997</v>
      </c>
      <c r="I188" s="21">
        <f>VLOOKUP(A188,'[1]SLR-m-X'!$A$2:$I$1000,5,FALSE)</f>
        <v>0.90091666666749992</v>
      </c>
    </row>
    <row r="189" spans="1:9" x14ac:dyDescent="0.2">
      <c r="A189" s="11">
        <v>144</v>
      </c>
      <c r="B189" s="21">
        <v>1.7050000000000001</v>
      </c>
      <c r="C189" s="21">
        <v>2.7625000000000002</v>
      </c>
      <c r="D189" s="21">
        <v>3.4024999999999999</v>
      </c>
      <c r="E189" s="21">
        <v>5.2625000000000002</v>
      </c>
      <c r="F189" s="21">
        <f>VLOOKUP(A189,'[1]SLR-m-X'!$A$2:$I$1000,2,FALSE)</f>
        <v>0.42399999999999999</v>
      </c>
      <c r="G189" s="21">
        <f>VLOOKUP(A189,'[1]SLR-m-X'!$A$2:$I$1000,3,FALSE)</f>
        <v>0.53300000000000003</v>
      </c>
      <c r="H189" s="21">
        <f>VLOOKUP(A189,'[1]SLR-m-X'!$A$2:$I$1000,4,FALSE)</f>
        <v>0.65149999999999997</v>
      </c>
      <c r="I189" s="21">
        <f>VLOOKUP(A189,'[1]SLR-m-X'!$A$2:$I$1000,5,FALSE)</f>
        <v>0.74124999999999996</v>
      </c>
    </row>
    <row r="190" spans="1:9" x14ac:dyDescent="0.2">
      <c r="A190" s="11">
        <v>145</v>
      </c>
      <c r="B190" s="21">
        <v>1.4985714285714291</v>
      </c>
      <c r="C190" s="21">
        <v>2.64</v>
      </c>
      <c r="D190" s="21">
        <v>3.4128571428571428</v>
      </c>
      <c r="E190" s="21">
        <v>5.4928571428571429</v>
      </c>
      <c r="F190" s="21">
        <f>VLOOKUP(A190,'[1]SLR-m-X'!$A$2:$I$1000,2,FALSE)</f>
        <v>0.41875000000000001</v>
      </c>
      <c r="G190" s="21">
        <f>VLOOKUP(A190,'[1]SLR-m-X'!$A$2:$I$1000,3,FALSE)</f>
        <v>0.53281250000000002</v>
      </c>
      <c r="H190" s="21">
        <f>VLOOKUP(A190,'[1]SLR-m-X'!$A$2:$I$1000,4,FALSE)</f>
        <v>0.66574999999999995</v>
      </c>
      <c r="I190" s="21">
        <f>VLOOKUP(A190,'[1]SLR-m-X'!$A$2:$I$1000,5,FALSE)</f>
        <v>0.76200000000000001</v>
      </c>
    </row>
    <row r="191" spans="1:9" x14ac:dyDescent="0.2">
      <c r="A191" s="11">
        <v>146</v>
      </c>
      <c r="B191" s="21">
        <v>1.85</v>
      </c>
      <c r="C191" s="21">
        <v>3.3149999999999999</v>
      </c>
      <c r="D191" s="21">
        <v>3.3849999999999998</v>
      </c>
      <c r="E191" s="21">
        <v>4.38</v>
      </c>
      <c r="F191" s="21">
        <f>VLOOKUP(A191,'[1]SLR-m-X'!$A$2:$I$1000,2,FALSE)</f>
        <v>0.41549999999999998</v>
      </c>
      <c r="G191" s="21">
        <f>VLOOKUP(A191,'[1]SLR-m-X'!$A$2:$I$1000,3,FALSE)</f>
        <v>0.52999999999999992</v>
      </c>
      <c r="H191" s="21">
        <f>VLOOKUP(A191,'[1]SLR-m-X'!$A$2:$I$1000,4,FALSE)</f>
        <v>0.65899999999999992</v>
      </c>
      <c r="I191" s="21">
        <f>VLOOKUP(A191,'[1]SLR-m-X'!$A$2:$I$1000,5,FALSE)</f>
        <v>0.75150000000000006</v>
      </c>
    </row>
    <row r="192" spans="1:9" x14ac:dyDescent="0.2">
      <c r="A192" s="11">
        <v>147</v>
      </c>
      <c r="B192" s="21">
        <v>1.7450000000000001</v>
      </c>
      <c r="C192" s="21">
        <v>3.0625</v>
      </c>
      <c r="D192" s="21">
        <v>3.67</v>
      </c>
      <c r="E192" s="21">
        <v>4.7275</v>
      </c>
      <c r="F192" s="21">
        <f>VLOOKUP(A192,'[1]SLR-m-X'!$A$2:$I$1000,2,FALSE)</f>
        <v>0.47533333333299999</v>
      </c>
      <c r="G192" s="21">
        <f>VLOOKUP(A192,'[1]SLR-m-X'!$A$2:$I$1000,3,FALSE)</f>
        <v>0.59233333333299998</v>
      </c>
      <c r="H192" s="21">
        <f>VLOOKUP(A192,'[1]SLR-m-X'!$A$2:$I$1000,4,FALSE)</f>
        <v>0.73466666666699998</v>
      </c>
      <c r="I192" s="21">
        <f>VLOOKUP(A192,'[1]SLR-m-X'!$A$2:$I$1000,5,FALSE)</f>
        <v>0.83799999999999997</v>
      </c>
    </row>
    <row r="193" spans="1:9" x14ac:dyDescent="0.2">
      <c r="A193" s="11">
        <v>148</v>
      </c>
      <c r="B193" s="21">
        <v>1.575</v>
      </c>
      <c r="C193" s="21">
        <v>2.9075000000000002</v>
      </c>
      <c r="D193" s="21">
        <v>3.335</v>
      </c>
      <c r="E193" s="21">
        <v>4.2949999999999999</v>
      </c>
      <c r="F193" s="21">
        <f>VLOOKUP(A193,'[1]SLR-m-X'!$A$2:$I$1000,2,FALSE)</f>
        <v>0.38833333333333342</v>
      </c>
      <c r="G193" s="21">
        <f>VLOOKUP(A193,'[1]SLR-m-X'!$A$2:$I$1000,3,FALSE)</f>
        <v>0.51949999999999996</v>
      </c>
      <c r="H193" s="21">
        <f>VLOOKUP(A193,'[1]SLR-m-X'!$A$2:$I$1000,4,FALSE)</f>
        <v>0.66466666666666663</v>
      </c>
      <c r="I193" s="21">
        <f>VLOOKUP(A193,'[1]SLR-m-X'!$A$2:$I$1000,5,FALSE)</f>
        <v>0.75858333333333328</v>
      </c>
    </row>
    <row r="194" spans="1:9" x14ac:dyDescent="0.2">
      <c r="A194" s="11">
        <v>150</v>
      </c>
      <c r="B194" s="21">
        <v>0.94</v>
      </c>
      <c r="C194" s="21">
        <v>2.0299999999999998</v>
      </c>
      <c r="D194" s="21">
        <v>3.55</v>
      </c>
      <c r="E194" s="21">
        <v>4.43</v>
      </c>
      <c r="F194" s="21"/>
      <c r="G194" s="21"/>
      <c r="H194" s="21"/>
      <c r="I194" s="21"/>
    </row>
    <row r="195" spans="1:9" x14ac:dyDescent="0.2">
      <c r="A195" s="11">
        <v>151</v>
      </c>
      <c r="B195" s="21">
        <v>0</v>
      </c>
      <c r="C195" s="21">
        <v>0</v>
      </c>
      <c r="D195" s="21">
        <v>0</v>
      </c>
      <c r="E195" s="21">
        <v>0</v>
      </c>
      <c r="F195" s="21">
        <f>VLOOKUP(A195,'[1]SLR-m-X'!$A$2:$I$1000,2,FALSE)</f>
        <v>0.49199999999999999</v>
      </c>
      <c r="G195" s="21">
        <f>VLOOKUP(A195,'[1]SLR-m-X'!$A$2:$I$1000,3,FALSE)</f>
        <v>0.61299999999999999</v>
      </c>
      <c r="H195" s="21">
        <f>VLOOKUP(A195,'[1]SLR-m-X'!$A$2:$I$1000,4,FALSE)</f>
        <v>0.75600000000000001</v>
      </c>
      <c r="I195" s="21">
        <f>VLOOKUP(A195,'[1]SLR-m-X'!$A$2:$I$1000,5,FALSE)</f>
        <v>0.85499999999999998</v>
      </c>
    </row>
    <row r="196" spans="1:9" x14ac:dyDescent="0.2">
      <c r="A196" s="11">
        <v>152</v>
      </c>
      <c r="B196" s="21">
        <v>1.53</v>
      </c>
      <c r="C196" s="21">
        <v>2.4700000000000002</v>
      </c>
      <c r="D196" s="21">
        <v>4.92</v>
      </c>
      <c r="E196" s="21">
        <v>5.8199999999999994</v>
      </c>
      <c r="F196" s="21">
        <f>VLOOKUP(A196,'[1]SLR-m-X'!$A$2:$I$1000,2,FALSE)</f>
        <v>0.4496</v>
      </c>
      <c r="G196" s="21">
        <f>VLOOKUP(A196,'[1]SLR-m-X'!$A$2:$I$1000,3,FALSE)</f>
        <v>0.58640000000000003</v>
      </c>
      <c r="H196" s="21">
        <f>VLOOKUP(A196,'[1]SLR-m-X'!$A$2:$I$1000,4,FALSE)</f>
        <v>0.73089999999999999</v>
      </c>
      <c r="I196" s="21">
        <f>VLOOKUP(A196,'[1]SLR-m-X'!$A$2:$I$1000,5,FALSE)</f>
        <v>0.83599999999999997</v>
      </c>
    </row>
    <row r="197" spans="1:9" x14ac:dyDescent="0.2">
      <c r="A197" s="11">
        <v>153</v>
      </c>
      <c r="B197" s="21">
        <v>1.56</v>
      </c>
      <c r="C197" s="21">
        <v>2.23</v>
      </c>
      <c r="D197" s="21">
        <v>4.585</v>
      </c>
      <c r="E197" s="21">
        <v>5.4550000000000001</v>
      </c>
      <c r="F197" s="21">
        <f>VLOOKUP(A197,'[1]SLR-m-X'!$A$2:$I$1000,2,FALSE)</f>
        <v>0.4269333333334</v>
      </c>
      <c r="G197" s="21">
        <f>VLOOKUP(A197,'[1]SLR-m-X'!$A$2:$I$1000,3,FALSE)</f>
        <v>0.54766666666660002</v>
      </c>
      <c r="H197" s="21">
        <f>VLOOKUP(A197,'[1]SLR-m-X'!$A$2:$I$1000,4,FALSE)</f>
        <v>0.69273333333340004</v>
      </c>
      <c r="I197" s="21">
        <f>VLOOKUP(A197,'[1]SLR-m-X'!$A$2:$I$1000,5,FALSE)</f>
        <v>0.78680000000000005</v>
      </c>
    </row>
    <row r="198" spans="1:9" x14ac:dyDescent="0.2">
      <c r="A198" s="11">
        <v>156</v>
      </c>
      <c r="B198" s="21">
        <v>1.44</v>
      </c>
      <c r="C198" s="21">
        <v>2.15</v>
      </c>
      <c r="D198" s="21">
        <v>4.76</v>
      </c>
      <c r="E198" s="21">
        <v>6.15</v>
      </c>
      <c r="F198" s="21">
        <f>VLOOKUP(A198,'[1]SLR-m-X'!$A$2:$I$1000,2,FALSE)</f>
        <v>0.39600000000000002</v>
      </c>
      <c r="G198" s="21">
        <f>VLOOKUP(A198,'[1]SLR-m-X'!$A$2:$I$1000,3,FALSE)</f>
        <v>0.502</v>
      </c>
      <c r="H198" s="21">
        <f>VLOOKUP(A198,'[1]SLR-m-X'!$A$2:$I$1000,4,FALSE)</f>
        <v>0.62</v>
      </c>
      <c r="I198" s="21">
        <f>VLOOKUP(A198,'[1]SLR-m-X'!$A$2:$I$1000,5,FALSE)</f>
        <v>0.71399999999999997</v>
      </c>
    </row>
    <row r="199" spans="1:9" x14ac:dyDescent="0.2">
      <c r="A199" s="11">
        <v>157</v>
      </c>
      <c r="B199" s="21">
        <v>1.59</v>
      </c>
      <c r="C199" s="21">
        <v>2.21</v>
      </c>
      <c r="D199" s="21">
        <v>5.29</v>
      </c>
      <c r="E199" s="21">
        <v>6.41</v>
      </c>
      <c r="F199" s="21">
        <f>VLOOKUP(A199,'[1]SLR-m-X'!$A$2:$I$1000,2,FALSE)</f>
        <v>0.40799999999999997</v>
      </c>
      <c r="G199" s="21">
        <f>VLOOKUP(A199,'[1]SLR-m-X'!$A$2:$I$1000,3,FALSE)</f>
        <v>0.51100000000000001</v>
      </c>
      <c r="H199" s="21">
        <f>VLOOKUP(A199,'[1]SLR-m-X'!$A$2:$I$1000,4,FALSE)</f>
        <v>0.63300000000000001</v>
      </c>
      <c r="I199" s="21">
        <f>VLOOKUP(A199,'[1]SLR-m-X'!$A$2:$I$1000,5,FALSE)</f>
        <v>0.72899999999999998</v>
      </c>
    </row>
    <row r="200" spans="1:9" x14ac:dyDescent="0.2">
      <c r="A200" s="11">
        <v>159</v>
      </c>
      <c r="B200" s="21">
        <v>1.55</v>
      </c>
      <c r="C200" s="21">
        <v>2.39</v>
      </c>
      <c r="D200" s="21">
        <v>3.88</v>
      </c>
      <c r="E200" s="21">
        <v>5.75</v>
      </c>
      <c r="F200" s="21">
        <f>VLOOKUP(A200,'[1]SLR-m-X'!$A$2:$I$1000,2,FALSE)</f>
        <v>0.36799999999999999</v>
      </c>
      <c r="G200" s="21">
        <f>VLOOKUP(A200,'[1]SLR-m-X'!$A$2:$I$1000,3,FALSE)</f>
        <v>0.47399999999999998</v>
      </c>
      <c r="H200" s="21">
        <f>VLOOKUP(A200,'[1]SLR-m-X'!$A$2:$I$1000,4,FALSE)</f>
        <v>0.58399999999999996</v>
      </c>
      <c r="I200" s="21">
        <f>VLOOKUP(A200,'[1]SLR-m-X'!$A$2:$I$1000,5,FALSE)</f>
        <v>0.68400000000000005</v>
      </c>
    </row>
    <row r="201" spans="1:9" x14ac:dyDescent="0.2">
      <c r="A201" s="11">
        <v>160</v>
      </c>
      <c r="B201" s="21">
        <v>1.1850000000000001</v>
      </c>
      <c r="C201" s="21">
        <v>2.19</v>
      </c>
      <c r="D201" s="21">
        <v>3.4950000000000001</v>
      </c>
      <c r="E201" s="21">
        <v>5.0599999999999996</v>
      </c>
      <c r="F201" s="21">
        <f>VLOOKUP(A201,'[1]SLR-m-X'!$A$2:$I$1000,2,FALSE)</f>
        <v>0.46600000000000003</v>
      </c>
      <c r="G201" s="21">
        <f>VLOOKUP(A201,'[1]SLR-m-X'!$A$2:$I$1000,3,FALSE)</f>
        <v>0.58199999999999996</v>
      </c>
      <c r="H201" s="21">
        <f>VLOOKUP(A201,'[1]SLR-m-X'!$A$2:$I$1000,4,FALSE)</f>
        <v>0.70299999999999996</v>
      </c>
      <c r="I201" s="21">
        <f>VLOOKUP(A201,'[1]SLR-m-X'!$A$2:$I$1000,5,FALSE)</f>
        <v>0.81399999999999995</v>
      </c>
    </row>
    <row r="202" spans="1:9" x14ac:dyDescent="0.2">
      <c r="A202" s="11">
        <v>164</v>
      </c>
      <c r="B202" s="21">
        <v>0.99499999999999988</v>
      </c>
      <c r="C202" s="21">
        <v>1.6950000000000001</v>
      </c>
      <c r="D202" s="21">
        <v>3.7549999999999999</v>
      </c>
      <c r="E202" s="21">
        <v>4.7249999999999996</v>
      </c>
      <c r="F202" s="21">
        <f>VLOOKUP(A202,'[1]SLR-m-X'!$A$2:$I$1000,2,FALSE)</f>
        <v>0.40600000000000003</v>
      </c>
      <c r="G202" s="21">
        <f>VLOOKUP(A202,'[1]SLR-m-X'!$A$2:$I$1000,3,FALSE)</f>
        <v>0.52800000000000002</v>
      </c>
      <c r="H202" s="21">
        <f>VLOOKUP(A202,'[1]SLR-m-X'!$A$2:$I$1000,4,FALSE)</f>
        <v>0.63800000000000001</v>
      </c>
      <c r="I202" s="21">
        <f>VLOOKUP(A202,'[1]SLR-m-X'!$A$2:$I$1000,5,FALSE)</f>
        <v>0.752</v>
      </c>
    </row>
    <row r="203" spans="1:9" x14ac:dyDescent="0.2">
      <c r="A203" s="11">
        <v>168</v>
      </c>
      <c r="B203" s="21">
        <v>1.17</v>
      </c>
      <c r="C203" s="21">
        <v>2.0499999999999998</v>
      </c>
      <c r="D203" s="21">
        <v>2.7149999999999999</v>
      </c>
      <c r="E203" s="21">
        <v>3.7949999999999999</v>
      </c>
      <c r="F203" s="21">
        <f>VLOOKUP(A203,'[1]SLR-m-X'!$A$2:$I$1000,2,FALSE)</f>
        <v>0.48</v>
      </c>
      <c r="G203" s="21">
        <f>VLOOKUP(A203,'[1]SLR-m-X'!$A$2:$I$1000,3,FALSE)</f>
        <v>0.59899999999999998</v>
      </c>
      <c r="H203" s="21">
        <f>VLOOKUP(A203,'[1]SLR-m-X'!$A$2:$I$1000,4,FALSE)</f>
        <v>0.73899999999999999</v>
      </c>
      <c r="I203" s="21">
        <f>VLOOKUP(A203,'[1]SLR-m-X'!$A$2:$I$1000,5,FALSE)</f>
        <v>0.83799999999999997</v>
      </c>
    </row>
    <row r="204" spans="1:9" x14ac:dyDescent="0.2">
      <c r="A204" s="11">
        <v>169</v>
      </c>
      <c r="B204" s="21">
        <v>1.19</v>
      </c>
      <c r="C204" s="21">
        <v>1.95</v>
      </c>
      <c r="D204" s="21">
        <v>3.09</v>
      </c>
      <c r="E204" s="21">
        <v>4.25</v>
      </c>
      <c r="F204" s="21">
        <f>VLOOKUP(A204,'[1]SLR-m-X'!$A$2:$I$1000,2,FALSE)</f>
        <v>0.53800000000000003</v>
      </c>
      <c r="G204" s="21">
        <f>VLOOKUP(A204,'[1]SLR-m-X'!$A$2:$I$1000,3,FALSE)</f>
        <v>0.64200000000000002</v>
      </c>
      <c r="H204" s="21">
        <f>VLOOKUP(A204,'[1]SLR-m-X'!$A$2:$I$1000,4,FALSE)</f>
        <v>0.76400000000000001</v>
      </c>
      <c r="I204" s="21">
        <f>VLOOKUP(A204,'[1]SLR-m-X'!$A$2:$I$1000,5,FALSE)</f>
        <v>0.86799999999999999</v>
      </c>
    </row>
    <row r="205" spans="1:9" x14ac:dyDescent="0.2">
      <c r="A205" s="11">
        <v>170</v>
      </c>
      <c r="B205" s="21">
        <v>1.21</v>
      </c>
      <c r="C205" s="21">
        <v>1.87</v>
      </c>
      <c r="D205" s="21">
        <v>2.48</v>
      </c>
      <c r="E205" s="21">
        <v>3.02</v>
      </c>
      <c r="F205" s="21">
        <f>VLOOKUP(A205,'[1]SLR-m-X'!$A$2:$I$1000,2,FALSE)</f>
        <v>0.41199999999999998</v>
      </c>
      <c r="G205" s="21">
        <f>VLOOKUP(A205,'[1]SLR-m-X'!$A$2:$I$1000,3,FALSE)</f>
        <v>0.55800000000000005</v>
      </c>
      <c r="H205" s="21">
        <f>VLOOKUP(A205,'[1]SLR-m-X'!$A$2:$I$1000,4,FALSE)</f>
        <v>0.71199999999999997</v>
      </c>
      <c r="I205" s="21">
        <f>VLOOKUP(A205,'[1]SLR-m-X'!$A$2:$I$1000,5,FALSE)</f>
        <v>0.79300000000000004</v>
      </c>
    </row>
    <row r="206" spans="1:9" x14ac:dyDescent="0.2">
      <c r="A206" s="11">
        <v>179</v>
      </c>
      <c r="B206" s="21"/>
      <c r="C206" s="21"/>
      <c r="D206" s="21"/>
      <c r="E206" s="21"/>
      <c r="F206" s="21">
        <f>VLOOKUP(A206,'[1]SLR-m-X'!$A$2:$I$1000,2,FALSE)</f>
        <v>0.47899999999999998</v>
      </c>
      <c r="G206" s="21">
        <f>VLOOKUP(A206,'[1]SLR-m-X'!$A$2:$I$1000,3,FALSE)</f>
        <v>0.60599999999999998</v>
      </c>
      <c r="H206" s="21">
        <f>VLOOKUP(A206,'[1]SLR-m-X'!$A$2:$I$1000,4,FALSE)</f>
        <v>0.73</v>
      </c>
      <c r="I206" s="21">
        <f>VLOOKUP(A206,'[1]SLR-m-X'!$A$2:$I$1000,5,FALSE)</f>
        <v>0.84</v>
      </c>
    </row>
    <row r="207" spans="1:9" x14ac:dyDescent="0.2">
      <c r="A207" s="11">
        <v>180</v>
      </c>
      <c r="B207" s="21"/>
      <c r="C207" s="21"/>
      <c r="D207" s="21"/>
      <c r="E207" s="21"/>
      <c r="F207" s="21"/>
      <c r="G207" s="21"/>
      <c r="H207" s="21"/>
      <c r="I207" s="21"/>
    </row>
  </sheetData>
  <mergeCells count="2">
    <mergeCell ref="B1:E1"/>
    <mergeCell ref="F1:I1"/>
  </mergeCells>
  <phoneticPr fontId="1" type="noConversion"/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4"/>
  <sheetViews>
    <sheetView topLeftCell="A19" zoomScaleNormal="100" workbookViewId="0">
      <selection activeCell="B1" sqref="B1:E1"/>
    </sheetView>
  </sheetViews>
  <sheetFormatPr defaultRowHeight="14.25" x14ac:dyDescent="0.2"/>
  <cols>
    <col min="1" max="1" width="9" style="8"/>
    <col min="2" max="9" width="15.625" style="5" customWidth="1"/>
  </cols>
  <sheetData>
    <row r="1" spans="1:9" x14ac:dyDescent="0.2">
      <c r="B1" s="75" t="s">
        <v>1526</v>
      </c>
      <c r="C1" s="75"/>
      <c r="D1" s="75"/>
      <c r="E1" s="75"/>
      <c r="F1" s="75" t="s">
        <v>1527</v>
      </c>
      <c r="G1" s="75"/>
      <c r="H1" s="75"/>
      <c r="I1" s="75"/>
    </row>
    <row r="2" spans="1:9" x14ac:dyDescent="0.2">
      <c r="A2" s="2"/>
      <c r="B2" s="20" t="s">
        <v>1528</v>
      </c>
      <c r="C2" s="20" t="s">
        <v>1529</v>
      </c>
      <c r="D2" s="20" t="s">
        <v>1530</v>
      </c>
      <c r="E2" s="20" t="s">
        <v>1531</v>
      </c>
      <c r="F2" s="20" t="s">
        <v>1528</v>
      </c>
      <c r="G2" s="20" t="s">
        <v>1529</v>
      </c>
      <c r="H2" s="20" t="s">
        <v>1530</v>
      </c>
      <c r="I2" s="20" t="s">
        <v>1531</v>
      </c>
    </row>
    <row r="3" spans="1:9" x14ac:dyDescent="0.2">
      <c r="A3" s="9">
        <v>-60</v>
      </c>
      <c r="B3" s="19"/>
      <c r="C3" s="19"/>
      <c r="D3" s="19"/>
      <c r="E3" s="19"/>
      <c r="F3" s="15"/>
      <c r="G3" s="15"/>
      <c r="H3" s="15"/>
      <c r="I3" s="15"/>
    </row>
    <row r="4" spans="1:9" x14ac:dyDescent="0.2">
      <c r="A4" s="9">
        <v>-59</v>
      </c>
      <c r="B4" s="19"/>
      <c r="C4" s="19"/>
      <c r="D4" s="19"/>
      <c r="E4" s="19"/>
      <c r="F4" s="15"/>
      <c r="G4" s="15"/>
      <c r="H4" s="15"/>
      <c r="I4" s="15"/>
    </row>
    <row r="5" spans="1:9" x14ac:dyDescent="0.2">
      <c r="A5" s="9">
        <v>-58</v>
      </c>
      <c r="B5" s="19"/>
      <c r="C5" s="19"/>
      <c r="D5" s="19"/>
      <c r="E5" s="19"/>
      <c r="F5" s="15"/>
      <c r="G5" s="15"/>
      <c r="H5" s="15"/>
      <c r="I5" s="15"/>
    </row>
    <row r="6" spans="1:9" x14ac:dyDescent="0.2">
      <c r="A6" s="9">
        <v>-57</v>
      </c>
      <c r="B6" s="19"/>
      <c r="C6" s="19"/>
      <c r="D6" s="19"/>
      <c r="E6" s="19"/>
      <c r="F6" s="15"/>
      <c r="G6" s="15"/>
      <c r="H6" s="15"/>
      <c r="I6" s="15"/>
    </row>
    <row r="7" spans="1:9" x14ac:dyDescent="0.2">
      <c r="A7" s="9">
        <v>-56</v>
      </c>
      <c r="B7" s="19"/>
      <c r="C7" s="19"/>
      <c r="D7" s="19"/>
      <c r="E7" s="19"/>
      <c r="F7" s="15"/>
      <c r="G7" s="15"/>
      <c r="H7" s="15"/>
      <c r="I7" s="15"/>
    </row>
    <row r="8" spans="1:9" x14ac:dyDescent="0.2">
      <c r="A8" s="9">
        <v>-55</v>
      </c>
      <c r="B8" s="15">
        <v>1.43</v>
      </c>
      <c r="C8" s="15">
        <v>2.87</v>
      </c>
      <c r="D8" s="15">
        <v>3.25</v>
      </c>
      <c r="E8" s="15">
        <v>4.1100000000000003</v>
      </c>
      <c r="F8" s="15">
        <f>VLOOKUP(A8,'[1]SLR-m-Y'!$A$2:$I$1000,2,FALSE)</f>
        <v>0.15</v>
      </c>
      <c r="G8" s="15">
        <f>VLOOKUP(A8,'[1]SLR-m-Y'!$A$2:$I$1000,3,FALSE)</f>
        <v>0.247</v>
      </c>
      <c r="H8" s="15">
        <f>VLOOKUP(A8,'[1]SLR-m-Y'!$A$2:$I$1000,4,FALSE)</f>
        <v>0.34599999999999997</v>
      </c>
      <c r="I8" s="15">
        <f>VLOOKUP(A8,'[1]SLR-m-Y'!$A$2:$I$1000,5,FALSE)</f>
        <v>0.41899999999999998</v>
      </c>
    </row>
    <row r="9" spans="1:9" x14ac:dyDescent="0.2">
      <c r="A9" s="9">
        <v>-53</v>
      </c>
      <c r="B9" s="15">
        <v>1.96</v>
      </c>
      <c r="C9" s="15">
        <v>3.59</v>
      </c>
      <c r="D9" s="15">
        <v>3.64</v>
      </c>
      <c r="E9" s="15">
        <v>4.87</v>
      </c>
      <c r="F9" s="15">
        <f>VLOOKUP(A9,'[1]SLR-m-Y'!$A$2:$I$1000,2,FALSE)</f>
        <v>0.17799999999999999</v>
      </c>
      <c r="G9" s="15">
        <f>VLOOKUP(A9,'[1]SLR-m-Y'!$A$2:$I$1000,3,FALSE)</f>
        <v>0.27700000000000002</v>
      </c>
      <c r="H9" s="15">
        <f>VLOOKUP(A9,'[1]SLR-m-Y'!$A$2:$I$1000,4,FALSE)</f>
        <v>0.376</v>
      </c>
      <c r="I9" s="15">
        <f>VLOOKUP(A9,'[1]SLR-m-Y'!$A$2:$I$1000,5,FALSE)</f>
        <v>0.44600000000000001</v>
      </c>
    </row>
    <row r="10" spans="1:9" x14ac:dyDescent="0.2">
      <c r="A10" s="9">
        <v>-52</v>
      </c>
      <c r="B10" s="15">
        <v>1.79</v>
      </c>
      <c r="C10" s="15">
        <v>3.21</v>
      </c>
      <c r="D10" s="15">
        <v>3.395</v>
      </c>
      <c r="E10" s="15">
        <v>4.5199999999999996</v>
      </c>
      <c r="F10" s="15">
        <f>VLOOKUP(A10,'[1]SLR-m-Y'!$A$2:$I$1000,2,FALSE)</f>
        <v>0.32424999999999998</v>
      </c>
      <c r="G10" s="15">
        <f>VLOOKUP(A10,'[1]SLR-m-Y'!$A$2:$I$1000,3,FALSE)</f>
        <v>0.434</v>
      </c>
      <c r="H10" s="15">
        <f>VLOOKUP(A10,'[1]SLR-m-Y'!$A$2:$I$1000,4,FALSE)</f>
        <v>0.54700000000000004</v>
      </c>
      <c r="I10" s="15">
        <f>VLOOKUP(A10,'[1]SLR-m-Y'!$A$2:$I$1000,5,FALSE)</f>
        <v>0.62575000000000003</v>
      </c>
    </row>
    <row r="11" spans="1:9" x14ac:dyDescent="0.2">
      <c r="A11" s="9">
        <v>-51</v>
      </c>
      <c r="B11" s="15">
        <v>1.65</v>
      </c>
      <c r="C11" s="15">
        <v>2.85</v>
      </c>
      <c r="D11" s="15">
        <v>3.2</v>
      </c>
      <c r="E11" s="15">
        <v>4.25</v>
      </c>
      <c r="F11" s="15"/>
      <c r="G11" s="15"/>
      <c r="H11" s="15"/>
      <c r="I11" s="15"/>
    </row>
    <row r="12" spans="1:9" x14ac:dyDescent="0.2">
      <c r="A12" s="9">
        <v>-50</v>
      </c>
      <c r="B12" s="15">
        <v>1.21</v>
      </c>
      <c r="C12" s="15">
        <v>1.87</v>
      </c>
      <c r="D12" s="15">
        <v>2.48</v>
      </c>
      <c r="E12" s="15">
        <v>3.02</v>
      </c>
      <c r="F12" s="15">
        <f>VLOOKUP(A12,'[1]SLR-m-Y'!$A$2:$I$1000,2,FALSE)</f>
        <v>0.41199999999999998</v>
      </c>
      <c r="G12" s="15">
        <f>VLOOKUP(A12,'[1]SLR-m-Y'!$A$2:$I$1000,3,FALSE)</f>
        <v>0.55800000000000005</v>
      </c>
      <c r="H12" s="15">
        <f>VLOOKUP(A12,'[1]SLR-m-Y'!$A$2:$I$1000,4,FALSE)</f>
        <v>0.71199999999999997</v>
      </c>
      <c r="I12" s="15">
        <f>VLOOKUP(A12,'[1]SLR-m-Y'!$A$2:$I$1000,5,FALSE)</f>
        <v>0.79300000000000004</v>
      </c>
    </row>
    <row r="13" spans="1:9" x14ac:dyDescent="0.2">
      <c r="A13" s="9">
        <v>-47</v>
      </c>
      <c r="B13" s="15">
        <v>1.1000000000000001</v>
      </c>
      <c r="C13" s="15">
        <v>1.81</v>
      </c>
      <c r="D13" s="15">
        <v>2.16</v>
      </c>
      <c r="E13" s="15">
        <v>2.87</v>
      </c>
      <c r="F13" s="15">
        <f>VLOOKUP(A13,'[1]SLR-m-Y'!$A$2:$I$1000,2,FALSE)</f>
        <v>0.29899999999999999</v>
      </c>
      <c r="G13" s="15">
        <f>VLOOKUP(A13,'[1]SLR-m-Y'!$A$2:$I$1000,3,FALSE)</f>
        <v>0.39700000000000002</v>
      </c>
      <c r="H13" s="15">
        <f>VLOOKUP(A13,'[1]SLR-m-Y'!$A$2:$I$1000,4,FALSE)</f>
        <v>0.49099999999999999</v>
      </c>
      <c r="I13" s="15">
        <f>VLOOKUP(A13,'[1]SLR-m-Y'!$A$2:$I$1000,5,FALSE)</f>
        <v>0.55899999999999994</v>
      </c>
    </row>
    <row r="14" spans="1:9" x14ac:dyDescent="0.2">
      <c r="A14" s="9">
        <v>-46</v>
      </c>
      <c r="B14" s="15">
        <v>1.3149999999999999</v>
      </c>
      <c r="C14" s="15">
        <v>2.33</v>
      </c>
      <c r="D14" s="15">
        <v>2.5449999999999999</v>
      </c>
      <c r="E14" s="15">
        <v>3.47</v>
      </c>
      <c r="F14" s="15"/>
      <c r="G14" s="15"/>
      <c r="H14" s="15"/>
      <c r="I14" s="15"/>
    </row>
    <row r="15" spans="1:9" x14ac:dyDescent="0.2">
      <c r="A15" s="9">
        <v>-44</v>
      </c>
      <c r="B15" s="15">
        <v>1.58</v>
      </c>
      <c r="C15" s="15">
        <v>2.5</v>
      </c>
      <c r="D15" s="15">
        <v>2.9049999999999998</v>
      </c>
      <c r="E15" s="15">
        <v>3.875</v>
      </c>
      <c r="F15" s="15"/>
      <c r="G15" s="15"/>
      <c r="H15" s="15"/>
      <c r="I15" s="15"/>
    </row>
    <row r="16" spans="1:9" x14ac:dyDescent="0.2">
      <c r="A16" s="9">
        <v>-42</v>
      </c>
      <c r="B16" s="15">
        <v>2.06</v>
      </c>
      <c r="C16" s="15">
        <v>3.0316666666666658</v>
      </c>
      <c r="D16" s="15">
        <v>3.336666666666666</v>
      </c>
      <c r="E16" s="15">
        <v>4.37</v>
      </c>
      <c r="F16" s="15">
        <f>VLOOKUP(A16,'[1]SLR-m-Y'!$A$2:$I$1000,2,FALSE)</f>
        <v>0.39866666666666672</v>
      </c>
      <c r="G16" s="15">
        <f>VLOOKUP(A16,'[1]SLR-m-Y'!$A$2:$I$1000,3,FALSE)</f>
        <v>0.51933333333333331</v>
      </c>
      <c r="H16" s="15">
        <f>VLOOKUP(A16,'[1]SLR-m-Y'!$A$2:$I$1000,4,FALSE)</f>
        <v>0.64699999999999991</v>
      </c>
      <c r="I16" s="15">
        <f>VLOOKUP(A16,'[1]SLR-m-Y'!$A$2:$I$1000,5,FALSE)</f>
        <v>0.72800000000000009</v>
      </c>
    </row>
    <row r="17" spans="1:9" x14ac:dyDescent="0.2">
      <c r="A17" s="9">
        <v>-41</v>
      </c>
      <c r="B17" s="15">
        <v>1.5</v>
      </c>
      <c r="C17" s="15">
        <v>2.75</v>
      </c>
      <c r="D17" s="15">
        <v>3.32</v>
      </c>
      <c r="E17" s="15">
        <v>4.3499999999999996</v>
      </c>
      <c r="F17" s="15">
        <f>VLOOKUP(A17,'[1]SLR-m-Y'!$A$2:$I$1000,2,FALSE)</f>
        <v>0.33300000000000002</v>
      </c>
      <c r="G17" s="15">
        <f>VLOOKUP(A17,'[1]SLR-m-Y'!$A$2:$I$1000,3,FALSE)</f>
        <v>0.44500000000000001</v>
      </c>
      <c r="H17" s="15">
        <f>VLOOKUP(A17,'[1]SLR-m-Y'!$A$2:$I$1000,4,FALSE)</f>
        <v>0.56800000000000006</v>
      </c>
      <c r="I17" s="15">
        <f>VLOOKUP(A17,'[1]SLR-m-Y'!$A$2:$I$1000,5,FALSE)</f>
        <v>0.64700000000000002</v>
      </c>
    </row>
    <row r="18" spans="1:9" x14ac:dyDescent="0.2">
      <c r="A18" s="9">
        <v>-40</v>
      </c>
      <c r="B18" s="15">
        <v>1.7766666666666671</v>
      </c>
      <c r="C18" s="15">
        <v>3.1566666666666672</v>
      </c>
      <c r="D18" s="15">
        <v>3.2633333333333332</v>
      </c>
      <c r="E18" s="15">
        <v>4.25</v>
      </c>
      <c r="F18" s="15">
        <f>VLOOKUP(A18,'[1]SLR-m-Y'!$A$2:$I$1000,2,FALSE)</f>
        <v>0.39266666666666672</v>
      </c>
      <c r="G18" s="15">
        <f>VLOOKUP(A18,'[1]SLR-m-Y'!$A$2:$I$1000,3,FALSE)</f>
        <v>0.50866666666666671</v>
      </c>
      <c r="H18" s="15">
        <f>VLOOKUP(A18,'[1]SLR-m-Y'!$A$2:$I$1000,4,FALSE)</f>
        <v>0.63300000000000001</v>
      </c>
      <c r="I18" s="15">
        <f>VLOOKUP(A18,'[1]SLR-m-Y'!$A$2:$I$1000,5,FALSE)</f>
        <v>0.72099999999999997</v>
      </c>
    </row>
    <row r="19" spans="1:9" x14ac:dyDescent="0.2">
      <c r="A19" s="9">
        <v>-39</v>
      </c>
      <c r="B19" s="15">
        <v>1.2649999999999999</v>
      </c>
      <c r="C19" s="15">
        <v>2.33</v>
      </c>
      <c r="D19" s="15">
        <v>2.81</v>
      </c>
      <c r="E19" s="15">
        <v>3.8450000000000002</v>
      </c>
      <c r="F19" s="15">
        <f>VLOOKUP(A19,'[1]SLR-m-Y'!$A$2:$I$1000,2,FALSE)</f>
        <v>0.42949999999999999</v>
      </c>
      <c r="G19" s="15">
        <f>VLOOKUP(A19,'[1]SLR-m-Y'!$A$2:$I$1000,3,FALSE)</f>
        <v>0.55449999999999999</v>
      </c>
      <c r="H19" s="15">
        <f>VLOOKUP(A19,'[1]SLR-m-Y'!$A$2:$I$1000,4,FALSE)</f>
        <v>0.70599999999999996</v>
      </c>
      <c r="I19" s="15">
        <f>VLOOKUP(A19,'[1]SLR-m-Y'!$A$2:$I$1000,5,FALSE)</f>
        <v>0.80249999999999999</v>
      </c>
    </row>
    <row r="20" spans="1:9" x14ac:dyDescent="0.2">
      <c r="A20" s="9">
        <v>-38</v>
      </c>
      <c r="B20" s="15">
        <v>2.1671428571428568</v>
      </c>
      <c r="C20" s="15">
        <v>3.511428571428572</v>
      </c>
      <c r="D20" s="15">
        <v>4.0414285714285727</v>
      </c>
      <c r="E20" s="15">
        <v>4.8757142857142863</v>
      </c>
      <c r="F20" s="15">
        <f>VLOOKUP(A20,'[1]SLR-m-Y'!$A$2:$I$1000,2,FALSE)</f>
        <v>0.39785714285714291</v>
      </c>
      <c r="G20" s="15">
        <f>VLOOKUP(A20,'[1]SLR-m-Y'!$A$2:$I$1000,3,FALSE)</f>
        <v>0.50735714285714284</v>
      </c>
      <c r="H20" s="15">
        <f>VLOOKUP(A20,'[1]SLR-m-Y'!$A$2:$I$1000,4,FALSE)</f>
        <v>0.61885714285714288</v>
      </c>
      <c r="I20" s="15">
        <f>VLOOKUP(A20,'[1]SLR-m-Y'!$A$2:$I$1000,5,FALSE)</f>
        <v>0.69885714285714295</v>
      </c>
    </row>
    <row r="21" spans="1:9" x14ac:dyDescent="0.2">
      <c r="A21" s="9">
        <v>-37</v>
      </c>
      <c r="B21" s="15">
        <v>1.93</v>
      </c>
      <c r="C21" s="15">
        <v>2.98</v>
      </c>
      <c r="D21" s="15">
        <v>3.29</v>
      </c>
      <c r="E21" s="15">
        <v>4.72</v>
      </c>
      <c r="F21" s="15"/>
      <c r="G21" s="15"/>
      <c r="H21" s="15"/>
      <c r="I21" s="15"/>
    </row>
    <row r="22" spans="1:9" x14ac:dyDescent="0.2">
      <c r="A22" s="9">
        <v>-36</v>
      </c>
      <c r="B22" s="15">
        <v>2.14</v>
      </c>
      <c r="C22" s="15">
        <v>2.68</v>
      </c>
      <c r="D22" s="15">
        <v>3.17</v>
      </c>
      <c r="E22" s="15">
        <v>4.82</v>
      </c>
      <c r="F22" s="15">
        <f>VLOOKUP(A22,'[1]SLR-m-Y'!$A$2:$I$1000,2,FALSE)</f>
        <v>0.43099999999999999</v>
      </c>
      <c r="G22" s="15">
        <f>VLOOKUP(A22,'[1]SLR-m-Y'!$A$2:$I$1000,3,FALSE)</f>
        <v>0.54400000000000004</v>
      </c>
      <c r="H22" s="15">
        <f>VLOOKUP(A22,'[1]SLR-m-Y'!$A$2:$I$1000,4,FALSE)</f>
        <v>0.66325000000000001</v>
      </c>
      <c r="I22" s="15">
        <f>VLOOKUP(A22,'[1]SLR-m-Y'!$A$2:$I$1000,5,FALSE)</f>
        <v>0.73675000000000002</v>
      </c>
    </row>
    <row r="23" spans="1:9" x14ac:dyDescent="0.2">
      <c r="A23" s="9">
        <v>-35</v>
      </c>
      <c r="B23" s="15">
        <v>2.33</v>
      </c>
      <c r="C23" s="15">
        <v>2.82</v>
      </c>
      <c r="D23" s="15">
        <v>3.6749999999999998</v>
      </c>
      <c r="E23" s="15">
        <v>4.7650000000000006</v>
      </c>
      <c r="F23" s="15">
        <f>VLOOKUP(A23,'[1]SLR-m-Y'!$A$2:$I$1000,2,FALSE)</f>
        <v>0.40558333333324997</v>
      </c>
      <c r="G23" s="15">
        <f>VLOOKUP(A23,'[1]SLR-m-Y'!$A$2:$I$1000,3,FALSE)</f>
        <v>0.53183333333325</v>
      </c>
      <c r="H23" s="15">
        <f>VLOOKUP(A23,'[1]SLR-m-Y'!$A$2:$I$1000,4,FALSE)</f>
        <v>0.66274999999999995</v>
      </c>
      <c r="I23" s="15">
        <f>VLOOKUP(A23,'[1]SLR-m-Y'!$A$2:$I$1000,5,FALSE)</f>
        <v>0.74666666666674997</v>
      </c>
    </row>
    <row r="24" spans="1:9" x14ac:dyDescent="0.2">
      <c r="A24" s="9">
        <v>-34</v>
      </c>
      <c r="B24" s="15">
        <v>1.885</v>
      </c>
      <c r="C24" s="15">
        <v>2.4816666666666669</v>
      </c>
      <c r="D24" s="15">
        <v>3.59</v>
      </c>
      <c r="E24" s="15">
        <v>4.5566666666666666</v>
      </c>
      <c r="F24" s="15">
        <f>VLOOKUP(A24,'[1]SLR-m-Y'!$A$2:$I$1000,2,FALSE)</f>
        <v>0.42</v>
      </c>
      <c r="G24" s="15">
        <f>VLOOKUP(A24,'[1]SLR-m-Y'!$A$2:$I$1000,3,FALSE)</f>
        <v>0.53761111111111104</v>
      </c>
      <c r="H24" s="15">
        <f>VLOOKUP(A24,'[1]SLR-m-Y'!$A$2:$I$1000,4,FALSE)</f>
        <v>0.66244444444444439</v>
      </c>
      <c r="I24" s="15">
        <f>VLOOKUP(A24,'[1]SLR-m-Y'!$A$2:$I$1000,5,FALSE)</f>
        <v>0.74072222222222228</v>
      </c>
    </row>
    <row r="25" spans="1:9" x14ac:dyDescent="0.2">
      <c r="A25" s="9">
        <v>-33</v>
      </c>
      <c r="B25" s="15">
        <v>1.981111111111111</v>
      </c>
      <c r="C25" s="15">
        <v>2.5388888888888892</v>
      </c>
      <c r="D25" s="15">
        <v>3.7955555555555551</v>
      </c>
      <c r="E25" s="15">
        <v>4.6211111111111114</v>
      </c>
      <c r="F25" s="15">
        <f>VLOOKUP(A25,'[1]SLR-m-Y'!$A$2:$I$1000,2,FALSE)</f>
        <v>0.4327833333333333</v>
      </c>
      <c r="G25" s="15">
        <f>VLOOKUP(A25,'[1]SLR-m-Y'!$A$2:$I$1000,3,FALSE)</f>
        <v>0.55654999999999999</v>
      </c>
      <c r="H25" s="15">
        <f>VLOOKUP(A25,'[1]SLR-m-Y'!$A$2:$I$1000,4,FALSE)</f>
        <v>0.68579999999999997</v>
      </c>
      <c r="I25" s="15">
        <f>VLOOKUP(A25,'[1]SLR-m-Y'!$A$2:$I$1000,5,FALSE)</f>
        <v>0.77266666666666672</v>
      </c>
    </row>
    <row r="26" spans="1:9" x14ac:dyDescent="0.2">
      <c r="A26" s="9">
        <v>-32</v>
      </c>
      <c r="B26" s="15">
        <v>1.552</v>
      </c>
      <c r="C26" s="15">
        <v>2.0760000000000001</v>
      </c>
      <c r="D26" s="15">
        <v>3.49</v>
      </c>
      <c r="E26" s="15">
        <v>4.2879999999999994</v>
      </c>
      <c r="F26" s="15">
        <f>VLOOKUP(A26,'[1]SLR-m-Y'!$A$2:$I$1000,2,FALSE)</f>
        <v>-7.8925000000000001</v>
      </c>
      <c r="G26" s="15">
        <f>VLOOKUP(A26,'[1]SLR-m-Y'!$A$2:$I$1000,3,FALSE)</f>
        <v>-7.8010000000000002</v>
      </c>
      <c r="H26" s="15">
        <f>VLOOKUP(A26,'[1]SLR-m-Y'!$A$2:$I$1000,4,FALSE)</f>
        <v>-7.70275</v>
      </c>
      <c r="I26" s="15">
        <f>VLOOKUP(A26,'[1]SLR-m-Y'!$A$2:$I$1000,5,FALSE)</f>
        <v>-7.6375000000000002</v>
      </c>
    </row>
    <row r="27" spans="1:9" x14ac:dyDescent="0.2">
      <c r="A27" s="9">
        <v>-31</v>
      </c>
      <c r="B27" s="15">
        <v>2.19</v>
      </c>
      <c r="C27" s="15">
        <v>2.58</v>
      </c>
      <c r="D27" s="15">
        <v>4.1166666666666671</v>
      </c>
      <c r="E27" s="15">
        <v>4.8433333333333337</v>
      </c>
      <c r="F27" s="15">
        <f>VLOOKUP(A27,'[1]SLR-m-Y'!$A$2:$I$1000,2,FALSE)</f>
        <v>0.35899999999999999</v>
      </c>
      <c r="G27" s="15">
        <f>VLOOKUP(A27,'[1]SLR-m-Y'!$A$2:$I$1000,3,FALSE)</f>
        <v>0.48</v>
      </c>
      <c r="H27" s="15">
        <f>VLOOKUP(A27,'[1]SLR-m-Y'!$A$2:$I$1000,4,FALSE)</f>
        <v>0.6100000000000001</v>
      </c>
      <c r="I27" s="15">
        <f>VLOOKUP(A27,'[1]SLR-m-Y'!$A$2:$I$1000,5,FALSE)</f>
        <v>0.68700000000000006</v>
      </c>
    </row>
    <row r="28" spans="1:9" x14ac:dyDescent="0.2">
      <c r="A28" s="9">
        <v>-30</v>
      </c>
      <c r="B28" s="15">
        <v>1.31</v>
      </c>
      <c r="C28" s="15">
        <v>2.4300000000000002</v>
      </c>
      <c r="D28" s="15">
        <v>2.9</v>
      </c>
      <c r="E28" s="15">
        <v>3.62</v>
      </c>
      <c r="F28" s="15"/>
      <c r="G28" s="15"/>
      <c r="H28" s="15"/>
      <c r="I28" s="15"/>
    </row>
    <row r="29" spans="1:9" x14ac:dyDescent="0.2">
      <c r="A29" s="9">
        <v>-28</v>
      </c>
      <c r="B29" s="15">
        <v>1.8</v>
      </c>
      <c r="C29" s="15">
        <v>2.17</v>
      </c>
      <c r="D29" s="15">
        <v>3.69</v>
      </c>
      <c r="E29" s="15">
        <v>4.66</v>
      </c>
      <c r="F29" s="15">
        <f>VLOOKUP(A29,'[1]SLR-m-Y'!$A$2:$I$1000,2,FALSE)</f>
        <v>0.46400000000000002</v>
      </c>
      <c r="G29" s="15">
        <f>VLOOKUP(A29,'[1]SLR-m-Y'!$A$2:$I$1000,3,FALSE)</f>
        <v>0.59149999999999991</v>
      </c>
      <c r="H29" s="15">
        <f>VLOOKUP(A29,'[1]SLR-m-Y'!$A$2:$I$1000,4,FALSE)</f>
        <v>0.72750000000000004</v>
      </c>
      <c r="I29" s="15">
        <f>VLOOKUP(A29,'[1]SLR-m-Y'!$A$2:$I$1000,5,FALSE)</f>
        <v>0.8135</v>
      </c>
    </row>
    <row r="30" spans="1:9" x14ac:dyDescent="0.2">
      <c r="A30" s="9">
        <v>-27</v>
      </c>
      <c r="B30" s="15">
        <v>1.331666666666667</v>
      </c>
      <c r="C30" s="15">
        <v>2.123333333333334</v>
      </c>
      <c r="D30" s="15">
        <v>3.9916666666666671</v>
      </c>
      <c r="E30" s="15">
        <v>4.5716666666666672</v>
      </c>
      <c r="F30" s="15">
        <f>VLOOKUP(A30,'[1]SLR-m-Y'!$A$2:$I$1000,2,FALSE)</f>
        <v>0.45316666666674998</v>
      </c>
      <c r="G30" s="15">
        <f>VLOOKUP(A30,'[1]SLR-m-Y'!$A$2:$I$1000,3,FALSE)</f>
        <v>0.57933333333324999</v>
      </c>
      <c r="H30" s="15">
        <f>VLOOKUP(A30,'[1]SLR-m-Y'!$A$2:$I$1000,4,FALSE)</f>
        <v>0.71691666666675002</v>
      </c>
      <c r="I30" s="15">
        <f>VLOOKUP(A30,'[1]SLR-m-Y'!$A$2:$I$1000,5,FALSE)</f>
        <v>0.80449999999999999</v>
      </c>
    </row>
    <row r="31" spans="1:9" x14ac:dyDescent="0.2">
      <c r="A31" s="9">
        <v>-26</v>
      </c>
      <c r="B31" s="15">
        <v>1.61</v>
      </c>
      <c r="C31" s="15">
        <v>2.36</v>
      </c>
      <c r="D31" s="15">
        <v>5.03</v>
      </c>
      <c r="E31" s="15">
        <v>6.02</v>
      </c>
      <c r="F31" s="15">
        <f>VLOOKUP(A31,'[1]SLR-m-Y'!$A$2:$I$1000,2,FALSE)</f>
        <v>0.45700000000000002</v>
      </c>
      <c r="G31" s="15">
        <f>VLOOKUP(A31,'[1]SLR-m-Y'!$A$2:$I$1000,3,FALSE)</f>
        <v>0.57625000000000004</v>
      </c>
      <c r="H31" s="15">
        <f>VLOOKUP(A31,'[1]SLR-m-Y'!$A$2:$I$1000,4,FALSE)</f>
        <v>0.70874999999999999</v>
      </c>
      <c r="I31" s="15">
        <f>VLOOKUP(A31,'[1]SLR-m-Y'!$A$2:$I$1000,5,FALSE)</f>
        <v>0.79949999999999999</v>
      </c>
    </row>
    <row r="32" spans="1:9" x14ac:dyDescent="0.2">
      <c r="A32" s="9">
        <v>-25</v>
      </c>
      <c r="B32" s="15">
        <v>1.45</v>
      </c>
      <c r="C32" s="15">
        <v>2.4333333333333331</v>
      </c>
      <c r="D32" s="15">
        <v>4.0799999999999992</v>
      </c>
      <c r="E32" s="15">
        <v>4.9383333333333326</v>
      </c>
      <c r="F32" s="15">
        <f>VLOOKUP(A32,'[1]SLR-m-Y'!$A$2:$I$1000,2,FALSE)</f>
        <v>0.50075000000000003</v>
      </c>
      <c r="G32" s="15">
        <f>VLOOKUP(A32,'[1]SLR-m-Y'!$A$2:$I$1000,3,FALSE)</f>
        <v>0.63108333333333333</v>
      </c>
      <c r="H32" s="15">
        <f>VLOOKUP(A32,'[1]SLR-m-Y'!$A$2:$I$1000,4,FALSE)</f>
        <v>0.76816666666666666</v>
      </c>
      <c r="I32" s="15">
        <f>VLOOKUP(A32,'[1]SLR-m-Y'!$A$2:$I$1000,5,FALSE)</f>
        <v>0.85875000000000001</v>
      </c>
    </row>
    <row r="33" spans="1:9" x14ac:dyDescent="0.2">
      <c r="A33" s="9">
        <v>-24</v>
      </c>
      <c r="B33" s="15">
        <v>1.6733333333333329</v>
      </c>
      <c r="C33" s="15">
        <v>2.72</v>
      </c>
      <c r="D33" s="15">
        <v>3.8966666666666669</v>
      </c>
      <c r="E33" s="15">
        <v>4.8099999999999996</v>
      </c>
      <c r="F33" s="15">
        <f>VLOOKUP(A33,'[1]SLR-m-Y'!$A$2:$I$1000,2,FALSE)</f>
        <v>0.45800000000000002</v>
      </c>
      <c r="G33" s="15">
        <f>VLOOKUP(A33,'[1]SLR-m-Y'!$A$2:$I$1000,3,FALSE)</f>
        <v>0.57899999999999996</v>
      </c>
      <c r="H33" s="15">
        <f>VLOOKUP(A33,'[1]SLR-m-Y'!$A$2:$I$1000,4,FALSE)</f>
        <v>0.71799999999999997</v>
      </c>
      <c r="I33" s="15">
        <f>VLOOKUP(A33,'[1]SLR-m-Y'!$A$2:$I$1000,5,FALSE)</f>
        <v>0.79400000000000004</v>
      </c>
    </row>
    <row r="34" spans="1:9" x14ac:dyDescent="0.2">
      <c r="A34" s="9">
        <v>-23</v>
      </c>
      <c r="B34" s="15">
        <v>2.2333333333333329</v>
      </c>
      <c r="C34" s="15">
        <v>2.5933333333333328</v>
      </c>
      <c r="D34" s="15">
        <v>4.1766666666666667</v>
      </c>
      <c r="E34" s="15">
        <v>5.2766666666666664</v>
      </c>
      <c r="F34" s="15">
        <f>VLOOKUP(A34,'[1]SLR-m-Y'!$A$2:$I$1000,2,FALSE)</f>
        <v>0.45866666666666661</v>
      </c>
      <c r="G34" s="15">
        <f>VLOOKUP(A34,'[1]SLR-m-Y'!$A$2:$I$1000,3,FALSE)</f>
        <v>0.58099999999999996</v>
      </c>
      <c r="H34" s="15">
        <f>VLOOKUP(A34,'[1]SLR-m-Y'!$A$2:$I$1000,4,FALSE)</f>
        <v>0.71166666666666656</v>
      </c>
      <c r="I34" s="15">
        <f>VLOOKUP(A34,'[1]SLR-m-Y'!$A$2:$I$1000,5,FALSE)</f>
        <v>0.80866666666666676</v>
      </c>
    </row>
    <row r="35" spans="1:9" x14ac:dyDescent="0.2">
      <c r="A35" s="9">
        <v>-22</v>
      </c>
      <c r="B35" s="15">
        <v>1.4550000000000001</v>
      </c>
      <c r="C35" s="15">
        <v>2.2549999999999999</v>
      </c>
      <c r="D35" s="15">
        <v>3.585</v>
      </c>
      <c r="E35" s="15">
        <v>4.4349999999999996</v>
      </c>
      <c r="F35" s="15">
        <f>VLOOKUP(A35,'[1]SLR-m-Y'!$A$2:$I$1000,2,FALSE)</f>
        <v>0.49199999999999999</v>
      </c>
      <c r="G35" s="15">
        <f>VLOOKUP(A35,'[1]SLR-m-Y'!$A$2:$I$1000,3,FALSE)</f>
        <v>0.61299999999999999</v>
      </c>
      <c r="H35" s="15">
        <f>VLOOKUP(A35,'[1]SLR-m-Y'!$A$2:$I$1000,4,FALSE)</f>
        <v>0.75600000000000001</v>
      </c>
      <c r="I35" s="15">
        <f>VLOOKUP(A35,'[1]SLR-m-Y'!$A$2:$I$1000,5,FALSE)</f>
        <v>0.85499999999999998</v>
      </c>
    </row>
    <row r="36" spans="1:9" x14ac:dyDescent="0.2">
      <c r="A36" s="9">
        <v>-20</v>
      </c>
      <c r="B36" s="15">
        <v>0.93500000000000005</v>
      </c>
      <c r="C36" s="15">
        <v>1.835</v>
      </c>
      <c r="D36" s="15">
        <v>2.98</v>
      </c>
      <c r="E36" s="15">
        <v>3.9550000000000001</v>
      </c>
      <c r="F36" s="15">
        <f>VLOOKUP(A36,'[1]SLR-m-Y'!$A$2:$I$1000,2,FALSE)</f>
        <v>0.46266666666666673</v>
      </c>
      <c r="G36" s="15">
        <f>VLOOKUP(A36,'[1]SLR-m-Y'!$A$2:$I$1000,3,FALSE)</f>
        <v>0.57233333333333336</v>
      </c>
      <c r="H36" s="15">
        <f>VLOOKUP(A36,'[1]SLR-m-Y'!$A$2:$I$1000,4,FALSE)</f>
        <v>0.70666666666666667</v>
      </c>
      <c r="I36" s="15">
        <f>VLOOKUP(A36,'[1]SLR-m-Y'!$A$2:$I$1000,5,FALSE)</f>
        <v>0.79933333333333334</v>
      </c>
    </row>
    <row r="37" spans="1:9" x14ac:dyDescent="0.2">
      <c r="A37" s="9">
        <v>-19</v>
      </c>
      <c r="B37" s="15">
        <v>1.28</v>
      </c>
      <c r="C37" s="15">
        <v>2.126666666666666</v>
      </c>
      <c r="D37" s="15">
        <v>3.4533333333333331</v>
      </c>
      <c r="E37" s="15">
        <v>4.7300000000000004</v>
      </c>
      <c r="F37" s="15">
        <f>VLOOKUP(A37,'[1]SLR-m-Y'!$A$2:$I$1000,2,FALSE)</f>
        <v>0.47777777777766672</v>
      </c>
      <c r="G37" s="15">
        <f>VLOOKUP(A37,'[1]SLR-m-Y'!$A$2:$I$1000,3,FALSE)</f>
        <v>0.59544444444433331</v>
      </c>
      <c r="H37" s="15">
        <f>VLOOKUP(A37,'[1]SLR-m-Y'!$A$2:$I$1000,4,FALSE)</f>
        <v>0.73655555555566676</v>
      </c>
      <c r="I37" s="15">
        <f>VLOOKUP(A37,'[1]SLR-m-Y'!$A$2:$I$1000,5,FALSE)</f>
        <v>0.83199999999999996</v>
      </c>
    </row>
    <row r="38" spans="1:9" x14ac:dyDescent="0.2">
      <c r="A38" s="9">
        <v>-18</v>
      </c>
      <c r="B38" s="15">
        <v>1.054</v>
      </c>
      <c r="C38" s="15">
        <v>2.02</v>
      </c>
      <c r="D38" s="15">
        <v>3.2040000000000002</v>
      </c>
      <c r="E38" s="15">
        <v>4.4459999999999997</v>
      </c>
      <c r="F38" s="15">
        <f>VLOOKUP(A38,'[1]SLR-m-Y'!$A$2:$I$1000,2,FALSE)</f>
        <v>0.45340000000000003</v>
      </c>
      <c r="G38" s="15">
        <f>VLOOKUP(A38,'[1]SLR-m-Y'!$A$2:$I$1000,3,FALSE)</f>
        <v>0.57069999999999999</v>
      </c>
      <c r="H38" s="15">
        <f>VLOOKUP(A38,'[1]SLR-m-Y'!$A$2:$I$1000,4,FALSE)</f>
        <v>0.69569999999999999</v>
      </c>
      <c r="I38" s="15">
        <f>VLOOKUP(A38,'[1]SLR-m-Y'!$A$2:$I$1000,5,FALSE)</f>
        <v>0.78139999999999998</v>
      </c>
    </row>
    <row r="39" spans="1:9" x14ac:dyDescent="0.2">
      <c r="A39" s="9">
        <v>-17</v>
      </c>
      <c r="B39" s="15">
        <v>0.80750000000000011</v>
      </c>
      <c r="C39" s="15">
        <v>2.0125000000000002</v>
      </c>
      <c r="D39" s="15">
        <v>3.5024999999999999</v>
      </c>
      <c r="E39" s="15">
        <v>4.3949999999999996</v>
      </c>
      <c r="F39" s="15">
        <f>VLOOKUP(A39,'[1]SLR-m-Y'!$A$2:$I$1000,2,FALSE)</f>
        <v>0.40225</v>
      </c>
      <c r="G39" s="15">
        <f>VLOOKUP(A39,'[1]SLR-m-Y'!$A$2:$I$1000,3,FALSE)</f>
        <v>0.51349999999999996</v>
      </c>
      <c r="H39" s="15">
        <f>VLOOKUP(A39,'[1]SLR-m-Y'!$A$2:$I$1000,4,FALSE)</f>
        <v>0.65249999999999997</v>
      </c>
      <c r="I39" s="15">
        <f>VLOOKUP(A39,'[1]SLR-m-Y'!$A$2:$I$1000,5,FALSE)</f>
        <v>0.74275000000000002</v>
      </c>
    </row>
    <row r="40" spans="1:9" x14ac:dyDescent="0.2">
      <c r="A40" s="9">
        <v>-16</v>
      </c>
      <c r="B40" s="15"/>
      <c r="C40" s="15"/>
      <c r="D40" s="15"/>
      <c r="E40" s="15"/>
      <c r="F40" s="15">
        <f>VLOOKUP(A40,'[1]SLR-m-Y'!$A$2:$I$1000,2,FALSE)</f>
        <v>0.46700000000000003</v>
      </c>
      <c r="G40" s="15">
        <f>VLOOKUP(A40,'[1]SLR-m-Y'!$A$2:$I$1000,3,FALSE)</f>
        <v>0.58899999999999997</v>
      </c>
      <c r="H40" s="15">
        <f>VLOOKUP(A40,'[1]SLR-m-Y'!$A$2:$I$1000,4,FALSE)</f>
        <v>0.71699999999999997</v>
      </c>
      <c r="I40" s="15">
        <f>VLOOKUP(A40,'[1]SLR-m-Y'!$A$2:$I$1000,5,FALSE)</f>
        <v>0.81200000000000006</v>
      </c>
    </row>
    <row r="41" spans="1:9" x14ac:dyDescent="0.2">
      <c r="A41" s="9">
        <v>-15</v>
      </c>
      <c r="B41" s="15">
        <v>1.175</v>
      </c>
      <c r="C41" s="15">
        <v>2.23</v>
      </c>
      <c r="D41" s="15">
        <v>3.9</v>
      </c>
      <c r="E41" s="15">
        <v>5.085</v>
      </c>
      <c r="F41" s="15">
        <f>VLOOKUP(A41,'[1]SLR-m-Y'!$A$2:$I$1000,2,FALSE)</f>
        <v>0.47599999999999998</v>
      </c>
      <c r="G41" s="15">
        <f>VLOOKUP(A41,'[1]SLR-m-Y'!$A$2:$I$1000,3,FALSE)</f>
        <v>0.58650000000000002</v>
      </c>
      <c r="H41" s="15">
        <f>VLOOKUP(A41,'[1]SLR-m-Y'!$A$2:$I$1000,4,FALSE)</f>
        <v>0.69499999999999995</v>
      </c>
      <c r="I41" s="15">
        <f>VLOOKUP(A41,'[1]SLR-m-Y'!$A$2:$I$1000,5,FALSE)</f>
        <v>0.80200000000000005</v>
      </c>
    </row>
    <row r="42" spans="1:9" x14ac:dyDescent="0.2">
      <c r="A42" s="9">
        <v>-14</v>
      </c>
      <c r="B42" s="15">
        <v>0.70000000000000007</v>
      </c>
      <c r="C42" s="15">
        <v>1.7849999999999999</v>
      </c>
      <c r="D42" s="15">
        <v>3.33</v>
      </c>
      <c r="E42" s="15">
        <v>4.0150000000000006</v>
      </c>
      <c r="F42" s="15">
        <f>VLOOKUP(A42,'[1]SLR-m-Y'!$A$2:$I$1000,2,FALSE)</f>
        <v>0.41699999999999998</v>
      </c>
      <c r="G42" s="15">
        <f>VLOOKUP(A42,'[1]SLR-m-Y'!$A$2:$I$1000,3,FALSE)</f>
        <v>0.53099999999999992</v>
      </c>
      <c r="H42" s="15">
        <f>VLOOKUP(A42,'[1]SLR-m-Y'!$A$2:$I$1000,4,FALSE)</f>
        <v>0.66599999999999993</v>
      </c>
      <c r="I42" s="15">
        <f>VLOOKUP(A42,'[1]SLR-m-Y'!$A$2:$I$1000,5,FALSE)</f>
        <v>0.74</v>
      </c>
    </row>
    <row r="43" spans="1:9" x14ac:dyDescent="0.2">
      <c r="A43" s="9">
        <v>-13</v>
      </c>
      <c r="B43" s="15">
        <v>0.67500000000000004</v>
      </c>
      <c r="C43" s="15">
        <v>2.37</v>
      </c>
      <c r="D43" s="15">
        <v>3.51</v>
      </c>
      <c r="E43" s="15">
        <v>4.9849999999999994</v>
      </c>
      <c r="F43" s="15">
        <f>VLOOKUP(A43,'[1]SLR-m-Y'!$A$2:$I$1000,2,FALSE)</f>
        <v>0.45400000000000001</v>
      </c>
      <c r="G43" s="15">
        <f>VLOOKUP(A43,'[1]SLR-m-Y'!$A$2:$I$1000,3,FALSE)</f>
        <v>0.56200000000000006</v>
      </c>
      <c r="H43" s="15">
        <f>VLOOKUP(A43,'[1]SLR-m-Y'!$A$2:$I$1000,4,FALSE)</f>
        <v>0.67200000000000004</v>
      </c>
      <c r="I43" s="15">
        <f>VLOOKUP(A43,'[1]SLR-m-Y'!$A$2:$I$1000,5,FALSE)</f>
        <v>0.77900000000000003</v>
      </c>
    </row>
    <row r="44" spans="1:9" x14ac:dyDescent="0.2">
      <c r="A44" s="9">
        <v>-12</v>
      </c>
      <c r="B44" s="15"/>
      <c r="C44" s="15"/>
      <c r="D44" s="15"/>
      <c r="E44" s="15"/>
      <c r="F44" s="15">
        <f>VLOOKUP(A44,'[1]SLR-m-Y'!$A$2:$I$1000,2,FALSE)</f>
        <v>0.50266666666666671</v>
      </c>
      <c r="G44" s="15">
        <f>VLOOKUP(A44,'[1]SLR-m-Y'!$A$2:$I$1000,3,FALSE)</f>
        <v>0.62283333333333335</v>
      </c>
      <c r="H44" s="15">
        <f>VLOOKUP(A44,'[1]SLR-m-Y'!$A$2:$I$1000,4,FALSE)</f>
        <v>0.75383333333333324</v>
      </c>
      <c r="I44" s="15">
        <f>VLOOKUP(A44,'[1]SLR-m-Y'!$A$2:$I$1000,5,FALSE)</f>
        <v>0.85150000000000003</v>
      </c>
    </row>
    <row r="45" spans="1:9" x14ac:dyDescent="0.2">
      <c r="A45" s="9">
        <v>-11</v>
      </c>
      <c r="B45" s="15">
        <v>0.75</v>
      </c>
      <c r="C45" s="15">
        <v>2.0449999999999999</v>
      </c>
      <c r="D45" s="15">
        <v>3.085</v>
      </c>
      <c r="E45" s="15">
        <v>4.0650000000000004</v>
      </c>
      <c r="F45" s="15">
        <f>VLOOKUP(A45,'[1]SLR-m-Y'!$A$2:$I$1000,2,FALSE)</f>
        <v>0.47399999999999998</v>
      </c>
      <c r="G45" s="15">
        <f>VLOOKUP(A45,'[1]SLR-m-Y'!$A$2:$I$1000,3,FALSE)</f>
        <v>0.58399999999999996</v>
      </c>
      <c r="H45" s="15">
        <f>VLOOKUP(A45,'[1]SLR-m-Y'!$A$2:$I$1000,4,FALSE)</f>
        <v>0.69699999999999995</v>
      </c>
      <c r="I45" s="15">
        <f>VLOOKUP(A45,'[1]SLR-m-Y'!$A$2:$I$1000,5,FALSE)</f>
        <v>0.80500000000000005</v>
      </c>
    </row>
    <row r="46" spans="1:9" x14ac:dyDescent="0.2">
      <c r="A46" s="9">
        <v>-9</v>
      </c>
      <c r="B46" s="15">
        <v>0.88</v>
      </c>
      <c r="C46" s="15">
        <v>1.91</v>
      </c>
      <c r="D46" s="15">
        <v>3.07</v>
      </c>
      <c r="E46" s="15">
        <v>4.25</v>
      </c>
      <c r="F46" s="15">
        <f>VLOOKUP(A46,'[1]SLR-m-Y'!$A$2:$I$1000,2,FALSE)</f>
        <v>0.38479999999999998</v>
      </c>
      <c r="G46" s="15">
        <f>VLOOKUP(A46,'[1]SLR-m-Y'!$A$2:$I$1000,3,FALSE)</f>
        <v>0.50219999999999998</v>
      </c>
      <c r="H46" s="15">
        <f>VLOOKUP(A46,'[1]SLR-m-Y'!$A$2:$I$1000,4,FALSE)</f>
        <v>0.62779999999999991</v>
      </c>
      <c r="I46" s="15">
        <f>VLOOKUP(A46,'[1]SLR-m-Y'!$A$2:$I$1000,5,FALSE)</f>
        <v>0.72960000000000003</v>
      </c>
    </row>
    <row r="47" spans="1:9" x14ac:dyDescent="0.2">
      <c r="A47" s="9">
        <v>-8</v>
      </c>
      <c r="B47" s="15">
        <v>0.82799999999999996</v>
      </c>
      <c r="C47" s="15">
        <v>2.3319999999999999</v>
      </c>
      <c r="D47" s="15">
        <v>3.3660000000000001</v>
      </c>
      <c r="E47" s="15">
        <v>4.4880000000000004</v>
      </c>
      <c r="F47" s="15">
        <f>VLOOKUP(A47,'[1]SLR-m-Y'!$A$2:$I$1000,2,FALSE)</f>
        <v>0.45700000000000002</v>
      </c>
      <c r="G47" s="15">
        <f>VLOOKUP(A47,'[1]SLR-m-Y'!$A$2:$I$1000,3,FALSE)</f>
        <v>0.58299999999999996</v>
      </c>
      <c r="H47" s="15">
        <f>VLOOKUP(A47,'[1]SLR-m-Y'!$A$2:$I$1000,4,FALSE)</f>
        <v>0.72299999999999998</v>
      </c>
      <c r="I47" s="15">
        <f>VLOOKUP(A47,'[1]SLR-m-Y'!$A$2:$I$1000,5,FALSE)</f>
        <v>0.80400000000000005</v>
      </c>
    </row>
    <row r="48" spans="1:9" x14ac:dyDescent="0.2">
      <c r="A48" s="9">
        <v>-6</v>
      </c>
      <c r="B48" s="15">
        <v>0.77</v>
      </c>
      <c r="C48" s="15">
        <v>2.65</v>
      </c>
      <c r="D48" s="15">
        <v>3.06</v>
      </c>
      <c r="E48" s="15">
        <v>3.81</v>
      </c>
      <c r="F48" s="15">
        <f>VLOOKUP(A48,'[1]SLR-m-Y'!$A$2:$I$1000,2,FALSE)</f>
        <v>0.42499999999999999</v>
      </c>
      <c r="G48" s="15">
        <f>VLOOKUP(A48,'[1]SLR-m-Y'!$A$2:$I$1000,3,FALSE)</f>
        <v>0.53300000000000003</v>
      </c>
      <c r="H48" s="15">
        <f>VLOOKUP(A48,'[1]SLR-m-Y'!$A$2:$I$1000,4,FALSE)</f>
        <v>0.67800000000000005</v>
      </c>
      <c r="I48" s="15">
        <f>VLOOKUP(A48,'[1]SLR-m-Y'!$A$2:$I$1000,5,FALSE)</f>
        <v>0.752</v>
      </c>
    </row>
    <row r="49" spans="1:9" x14ac:dyDescent="0.2">
      <c r="A49" s="9">
        <v>-5</v>
      </c>
      <c r="B49" s="15">
        <v>0.32</v>
      </c>
      <c r="C49" s="15">
        <v>2.0099999999999998</v>
      </c>
      <c r="D49" s="15">
        <v>3.34</v>
      </c>
      <c r="E49" s="15">
        <v>3.83</v>
      </c>
      <c r="F49" s="15">
        <f>VLOOKUP(A49,'[1]SLR-m-Y'!$A$2:$I$1000,2,FALSE)</f>
        <v>0.47599999999999998</v>
      </c>
      <c r="G49" s="15">
        <f>VLOOKUP(A49,'[1]SLR-m-Y'!$A$2:$I$1000,3,FALSE)</f>
        <v>0.61349999999999993</v>
      </c>
      <c r="H49" s="15">
        <f>VLOOKUP(A49,'[1]SLR-m-Y'!$A$2:$I$1000,4,FALSE)</f>
        <v>0.76600000000000001</v>
      </c>
      <c r="I49" s="15">
        <f>VLOOKUP(A49,'[1]SLR-m-Y'!$A$2:$I$1000,5,FALSE)</f>
        <v>0.85799999999999998</v>
      </c>
    </row>
    <row r="50" spans="1:9" x14ac:dyDescent="0.2">
      <c r="A50" s="9">
        <v>-4</v>
      </c>
      <c r="B50" s="15">
        <v>1.1200000000000001</v>
      </c>
      <c r="C50" s="15">
        <v>2.2850000000000001</v>
      </c>
      <c r="D50" s="15">
        <v>3.5225</v>
      </c>
      <c r="E50" s="15">
        <v>4.7200000000000006</v>
      </c>
      <c r="F50" s="15">
        <f>VLOOKUP(A50,'[1]SLR-m-Y'!$A$2:$I$1000,2,FALSE)</f>
        <v>0.44900000000000001</v>
      </c>
      <c r="G50" s="15">
        <f>VLOOKUP(A50,'[1]SLR-m-Y'!$A$2:$I$1000,3,FALSE)</f>
        <v>0.57499999999999996</v>
      </c>
      <c r="H50" s="15">
        <f>VLOOKUP(A50,'[1]SLR-m-Y'!$A$2:$I$1000,4,FALSE)</f>
        <v>0.70550000000000002</v>
      </c>
      <c r="I50" s="15">
        <f>VLOOKUP(A50,'[1]SLR-m-Y'!$A$2:$I$1000,5,FALSE)</f>
        <v>0.80349999999999999</v>
      </c>
    </row>
    <row r="51" spans="1:9" x14ac:dyDescent="0.2">
      <c r="A51" s="9">
        <v>-3</v>
      </c>
      <c r="B51" s="15">
        <v>1.05</v>
      </c>
      <c r="C51" s="15">
        <v>2.1175000000000002</v>
      </c>
      <c r="D51" s="15">
        <v>3.3325</v>
      </c>
      <c r="E51" s="15">
        <v>4.4424999999999999</v>
      </c>
      <c r="F51" s="15">
        <f>VLOOKUP(A51,'[1]SLR-m-Y'!$A$2:$I$1000,2,FALSE)</f>
        <v>0.43233333333333329</v>
      </c>
      <c r="G51" s="15">
        <f>VLOOKUP(A51,'[1]SLR-m-Y'!$A$2:$I$1000,3,FALSE)</f>
        <v>0.55200000000000005</v>
      </c>
      <c r="H51" s="15">
        <f>VLOOKUP(A51,'[1]SLR-m-Y'!$A$2:$I$1000,4,FALSE)</f>
        <v>0.68966666666666665</v>
      </c>
      <c r="I51" s="15">
        <f>VLOOKUP(A51,'[1]SLR-m-Y'!$A$2:$I$1000,5,FALSE)</f>
        <v>0.78233333333333333</v>
      </c>
    </row>
    <row r="52" spans="1:9" x14ac:dyDescent="0.2">
      <c r="A52" s="9">
        <v>-2</v>
      </c>
      <c r="B52" s="15">
        <v>1.1933333333333329</v>
      </c>
      <c r="C52" s="15">
        <v>2.27</v>
      </c>
      <c r="D52" s="15">
        <v>3.6066666666666669</v>
      </c>
      <c r="E52" s="15">
        <v>4.72</v>
      </c>
      <c r="F52" s="15">
        <f>VLOOKUP(A52,'[1]SLR-m-Y'!$A$2:$I$1000,2,FALSE)</f>
        <v>0.4306666666666667</v>
      </c>
      <c r="G52" s="15">
        <f>VLOOKUP(A52,'[1]SLR-m-Y'!$A$2:$I$1000,3,FALSE)</f>
        <v>0.55599999999999994</v>
      </c>
      <c r="H52" s="15">
        <f>VLOOKUP(A52,'[1]SLR-m-Y'!$A$2:$I$1000,4,FALSE)</f>
        <v>0.69166666666666676</v>
      </c>
      <c r="I52" s="15">
        <f>VLOOKUP(A52,'[1]SLR-m-Y'!$A$2:$I$1000,5,FALSE)</f>
        <v>0.77899999999999991</v>
      </c>
    </row>
    <row r="53" spans="1:9" x14ac:dyDescent="0.2">
      <c r="A53" s="9">
        <v>-1</v>
      </c>
      <c r="B53" s="15">
        <v>1.1850000000000001</v>
      </c>
      <c r="C53" s="15">
        <v>2.355</v>
      </c>
      <c r="D53" s="15">
        <v>3.61</v>
      </c>
      <c r="E53" s="15">
        <v>4.9249999999999998</v>
      </c>
      <c r="F53" s="15">
        <f>VLOOKUP(A53,'[1]SLR-m-Y'!$A$2:$I$1000,2,FALSE)</f>
        <v>0.44537500000000002</v>
      </c>
      <c r="G53" s="15">
        <f>VLOOKUP(A53,'[1]SLR-m-Y'!$A$2:$I$1000,3,FALSE)</f>
        <v>0.56800000000000006</v>
      </c>
      <c r="H53" s="15">
        <f>VLOOKUP(A53,'[1]SLR-m-Y'!$A$2:$I$1000,4,FALSE)</f>
        <v>0.69087500000000002</v>
      </c>
      <c r="I53" s="15">
        <f>VLOOKUP(A53,'[1]SLR-m-Y'!$A$2:$I$1000,5,FALSE)</f>
        <v>0.78900000000000003</v>
      </c>
    </row>
    <row r="54" spans="1:9" x14ac:dyDescent="0.2">
      <c r="A54" s="9">
        <v>0</v>
      </c>
      <c r="B54" s="15">
        <v>0.9157142857142857</v>
      </c>
      <c r="C54" s="15">
        <v>2.2485714285714282</v>
      </c>
      <c r="D54" s="15">
        <v>3.4828571428571431</v>
      </c>
      <c r="E54" s="15">
        <v>4.572857142857143</v>
      </c>
      <c r="F54" s="15">
        <f>VLOOKUP(A54,'[1]SLR-m-Y'!$A$2:$I$1000,2,FALSE)</f>
        <v>0.46</v>
      </c>
      <c r="G54" s="15">
        <f>VLOOKUP(A54,'[1]SLR-m-Y'!$A$2:$I$1000,3,FALSE)</f>
        <v>0.58099999999999996</v>
      </c>
      <c r="H54" s="15">
        <f>VLOOKUP(A54,'[1]SLR-m-Y'!$A$2:$I$1000,4,FALSE)</f>
        <v>0.72950000000000004</v>
      </c>
      <c r="I54" s="15">
        <f>VLOOKUP(A54,'[1]SLR-m-Y'!$A$2:$I$1000,5,FALSE)</f>
        <v>0.8145</v>
      </c>
    </row>
    <row r="55" spans="1:9" x14ac:dyDescent="0.2">
      <c r="A55" s="9">
        <v>1</v>
      </c>
      <c r="B55" s="15">
        <v>1.32</v>
      </c>
      <c r="C55" s="15">
        <v>2.39</v>
      </c>
      <c r="D55" s="15">
        <v>3.77</v>
      </c>
      <c r="E55" s="15">
        <v>4.92</v>
      </c>
      <c r="F55" s="15">
        <f>VLOOKUP(A55,'[1]SLR-m-Y'!$A$2:$I$1000,2,FALSE)</f>
        <v>0.46</v>
      </c>
      <c r="G55" s="15">
        <f>VLOOKUP(A55,'[1]SLR-m-Y'!$A$2:$I$1000,3,FALSE)</f>
        <v>0.59299999999999997</v>
      </c>
      <c r="H55" s="15">
        <f>VLOOKUP(A55,'[1]SLR-m-Y'!$A$2:$I$1000,4,FALSE)</f>
        <v>0.73799999999999999</v>
      </c>
      <c r="I55" s="15">
        <f>VLOOKUP(A55,'[1]SLR-m-Y'!$A$2:$I$1000,5,FALSE)</f>
        <v>0.83699999999999997</v>
      </c>
    </row>
    <row r="56" spans="1:9" x14ac:dyDescent="0.2">
      <c r="A56" s="9">
        <v>2</v>
      </c>
      <c r="B56" s="15">
        <v>1.38</v>
      </c>
      <c r="C56" s="15">
        <v>2.36</v>
      </c>
      <c r="D56" s="15">
        <v>3.66</v>
      </c>
      <c r="E56" s="15">
        <v>4.7699999999999996</v>
      </c>
      <c r="F56" s="15">
        <f>VLOOKUP(A56,'[1]SLR-m-Y'!$A$2:$I$1000,2,FALSE)</f>
        <v>0.46</v>
      </c>
      <c r="G56" s="15">
        <f>VLOOKUP(A56,'[1]SLR-m-Y'!$A$2:$I$1000,3,FALSE)</f>
        <v>0.59299999999999997</v>
      </c>
      <c r="H56" s="15">
        <f>VLOOKUP(A56,'[1]SLR-m-Y'!$A$2:$I$1000,4,FALSE)</f>
        <v>0.73699999999999999</v>
      </c>
      <c r="I56" s="15">
        <f>VLOOKUP(A56,'[1]SLR-m-Y'!$A$2:$I$1000,5,FALSE)</f>
        <v>0.83599999999999997</v>
      </c>
    </row>
    <row r="57" spans="1:9" x14ac:dyDescent="0.2">
      <c r="A57" s="9">
        <v>3</v>
      </c>
      <c r="B57" s="15">
        <v>1.21</v>
      </c>
      <c r="C57" s="15">
        <v>2.4900000000000002</v>
      </c>
      <c r="D57" s="15">
        <v>3.71</v>
      </c>
      <c r="E57" s="15">
        <v>4.92</v>
      </c>
      <c r="F57" s="15"/>
      <c r="G57" s="15"/>
      <c r="H57" s="15"/>
      <c r="I57" s="15"/>
    </row>
    <row r="58" spans="1:9" x14ac:dyDescent="0.2">
      <c r="A58" s="9">
        <v>4</v>
      </c>
      <c r="B58" s="15">
        <v>1.1000000000000001</v>
      </c>
      <c r="C58" s="15">
        <v>2.2149999999999999</v>
      </c>
      <c r="D58" s="15">
        <v>3.5249999999999999</v>
      </c>
      <c r="E58" s="15">
        <v>4.835</v>
      </c>
      <c r="F58" s="15">
        <f>VLOOKUP(A58,'[1]SLR-m-Y'!$A$2:$I$1000,2,FALSE)</f>
        <v>0.443</v>
      </c>
      <c r="G58" s="15">
        <f>VLOOKUP(A58,'[1]SLR-m-Y'!$A$2:$I$1000,3,FALSE)</f>
        <v>0.55200000000000005</v>
      </c>
      <c r="H58" s="15">
        <f>VLOOKUP(A58,'[1]SLR-m-Y'!$A$2:$I$1000,4,FALSE)</f>
        <v>0.66</v>
      </c>
      <c r="I58" s="15">
        <f>VLOOKUP(A58,'[1]SLR-m-Y'!$A$2:$I$1000,5,FALSE)</f>
        <v>0.76400000000000001</v>
      </c>
    </row>
    <row r="59" spans="1:9" x14ac:dyDescent="0.2">
      <c r="A59" s="9">
        <v>5</v>
      </c>
      <c r="B59" s="15">
        <v>1.081428571428571</v>
      </c>
      <c r="C59" s="15">
        <v>2.1057142857142859</v>
      </c>
      <c r="D59" s="15">
        <v>3.39</v>
      </c>
      <c r="E59" s="15">
        <v>4.6114285714285712</v>
      </c>
      <c r="F59" s="15">
        <f>VLOOKUP(A59,'[1]SLR-m-Y'!$A$2:$I$1000,2,FALSE)</f>
        <v>0.46725</v>
      </c>
      <c r="G59" s="15">
        <f>VLOOKUP(A59,'[1]SLR-m-Y'!$A$2:$I$1000,3,FALSE)</f>
        <v>0.59749999999999992</v>
      </c>
      <c r="H59" s="15">
        <f>VLOOKUP(A59,'[1]SLR-m-Y'!$A$2:$I$1000,4,FALSE)</f>
        <v>0.71924999999999994</v>
      </c>
      <c r="I59" s="15">
        <f>VLOOKUP(A59,'[1]SLR-m-Y'!$A$2:$I$1000,5,FALSE)</f>
        <v>0.81374999999999997</v>
      </c>
    </row>
    <row r="60" spans="1:9" x14ac:dyDescent="0.2">
      <c r="A60" s="9">
        <v>6</v>
      </c>
      <c r="B60" s="15">
        <v>1.0466666666666671</v>
      </c>
      <c r="C60" s="15">
        <v>2.41</v>
      </c>
      <c r="D60" s="15">
        <v>3.3066666666666671</v>
      </c>
      <c r="E60" s="15">
        <v>4.4033333333333333</v>
      </c>
      <c r="F60" s="15">
        <f>VLOOKUP(A60,'[1]SLR-m-Y'!$A$2:$I$1000,2,FALSE)</f>
        <v>0.482875</v>
      </c>
      <c r="G60" s="15">
        <f>VLOOKUP(A60,'[1]SLR-m-Y'!$A$2:$I$1000,3,FALSE)</f>
        <v>0.60575000000000001</v>
      </c>
      <c r="H60" s="15">
        <f>VLOOKUP(A60,'[1]SLR-m-Y'!$A$2:$I$1000,4,FALSE)</f>
        <v>0.72950000000000004</v>
      </c>
      <c r="I60" s="15">
        <f>VLOOKUP(A60,'[1]SLR-m-Y'!$A$2:$I$1000,5,FALSE)</f>
        <v>0.83062499999999995</v>
      </c>
    </row>
    <row r="61" spans="1:9" x14ac:dyDescent="0.2">
      <c r="A61" s="9">
        <v>7</v>
      </c>
      <c r="B61" s="15">
        <v>0.77428571428571424</v>
      </c>
      <c r="C61" s="15">
        <v>2.0571428571428569</v>
      </c>
      <c r="D61" s="15">
        <v>3.4042857142857139</v>
      </c>
      <c r="E61" s="15">
        <v>4.32</v>
      </c>
      <c r="F61" s="15">
        <f>VLOOKUP(A61,'[1]SLR-m-Y'!$A$2:$I$1000,2,FALSE)</f>
        <v>0.47599999999999998</v>
      </c>
      <c r="G61" s="15">
        <f>VLOOKUP(A61,'[1]SLR-m-Y'!$A$2:$I$1000,3,FALSE)</f>
        <v>0.58099999999999996</v>
      </c>
      <c r="H61" s="15">
        <f>VLOOKUP(A61,'[1]SLR-m-Y'!$A$2:$I$1000,4,FALSE)</f>
        <v>0.69650000000000001</v>
      </c>
      <c r="I61" s="15">
        <f>VLOOKUP(A61,'[1]SLR-m-Y'!$A$2:$I$1000,5,FALSE)</f>
        <v>0.80075000000000007</v>
      </c>
    </row>
    <row r="62" spans="1:9" x14ac:dyDescent="0.2">
      <c r="A62" s="9">
        <v>8</v>
      </c>
      <c r="B62" s="15">
        <v>0.82571428571428562</v>
      </c>
      <c r="C62" s="15">
        <v>1.99</v>
      </c>
      <c r="D62" s="15">
        <v>3.2085714285714282</v>
      </c>
      <c r="E62" s="15">
        <v>4.218571428571428</v>
      </c>
      <c r="F62" s="15">
        <f>VLOOKUP(A62,'[1]SLR-m-Y'!$A$2:$I$1000,2,FALSE)</f>
        <v>0.47099999999999997</v>
      </c>
      <c r="G62" s="15">
        <f>VLOOKUP(A62,'[1]SLR-m-Y'!$A$2:$I$1000,3,FALSE)</f>
        <v>0.58174999999999999</v>
      </c>
      <c r="H62" s="15">
        <f>VLOOKUP(A62,'[1]SLR-m-Y'!$A$2:$I$1000,4,FALSE)</f>
        <v>0.70474999999999999</v>
      </c>
      <c r="I62" s="15">
        <f>VLOOKUP(A62,'[1]SLR-m-Y'!$A$2:$I$1000,5,FALSE)</f>
        <v>0.79200000000000004</v>
      </c>
    </row>
    <row r="63" spans="1:9" x14ac:dyDescent="0.2">
      <c r="A63" s="9">
        <v>9</v>
      </c>
      <c r="B63" s="15">
        <v>0.99</v>
      </c>
      <c r="C63" s="15">
        <v>2.1869999999999998</v>
      </c>
      <c r="D63" s="15">
        <v>3.4039999999999999</v>
      </c>
      <c r="E63" s="15">
        <v>4.4749999999999996</v>
      </c>
      <c r="F63" s="15">
        <f>VLOOKUP(A63,'[1]SLR-m-Y'!$A$2:$I$1000,2,FALSE)</f>
        <v>0.48388888888888881</v>
      </c>
      <c r="G63" s="15">
        <f>VLOOKUP(A63,'[1]SLR-m-Y'!$A$2:$I$1000,3,FALSE)</f>
        <v>0.60222222222222221</v>
      </c>
      <c r="H63" s="15">
        <f>VLOOKUP(A63,'[1]SLR-m-Y'!$A$2:$I$1000,4,FALSE)</f>
        <v>0.72755555555555551</v>
      </c>
      <c r="I63" s="15">
        <f>VLOOKUP(A63,'[1]SLR-m-Y'!$A$2:$I$1000,5,FALSE)</f>
        <v>0.81588888888888889</v>
      </c>
    </row>
    <row r="64" spans="1:9" x14ac:dyDescent="0.2">
      <c r="A64" s="9">
        <v>10</v>
      </c>
      <c r="B64" s="15">
        <v>0.71499999999999997</v>
      </c>
      <c r="C64" s="15">
        <v>2.026875</v>
      </c>
      <c r="D64" s="15">
        <v>3.2137500000000001</v>
      </c>
      <c r="E64" s="15">
        <v>4.2843749999999998</v>
      </c>
      <c r="F64" s="15">
        <f>VLOOKUP(A64,'[1]SLR-m-Y'!$A$2:$I$1000,2,FALSE)</f>
        <v>0.46899999999999997</v>
      </c>
      <c r="G64" s="15">
        <f>VLOOKUP(A64,'[1]SLR-m-Y'!$A$2:$I$1000,3,FALSE)</f>
        <v>0.58886363636363637</v>
      </c>
      <c r="H64" s="15">
        <f>VLOOKUP(A64,'[1]SLR-m-Y'!$A$2:$I$1000,4,FALSE)</f>
        <v>0.7070909090909091</v>
      </c>
      <c r="I64" s="15">
        <f>VLOOKUP(A64,'[1]SLR-m-Y'!$A$2:$I$1000,5,FALSE)</f>
        <v>0.80031818181818182</v>
      </c>
    </row>
    <row r="65" spans="1:9" x14ac:dyDescent="0.2">
      <c r="A65" s="9">
        <v>11</v>
      </c>
      <c r="B65" s="15">
        <v>0.94142857142857139</v>
      </c>
      <c r="C65" s="15">
        <v>1.994285714285714</v>
      </c>
      <c r="D65" s="15">
        <v>2.911428571428571</v>
      </c>
      <c r="E65" s="15">
        <v>4.0914285714285716</v>
      </c>
      <c r="F65" s="15">
        <f>VLOOKUP(A65,'[1]SLR-m-Y'!$A$2:$I$1000,2,FALSE)</f>
        <v>0.49099999999999999</v>
      </c>
      <c r="G65" s="15">
        <f>VLOOKUP(A65,'[1]SLR-m-Y'!$A$2:$I$1000,3,FALSE)</f>
        <v>0.61335714285714282</v>
      </c>
      <c r="H65" s="15">
        <f>VLOOKUP(A65,'[1]SLR-m-Y'!$A$2:$I$1000,4,FALSE)</f>
        <v>0.73457142857142865</v>
      </c>
      <c r="I65" s="15">
        <f>VLOOKUP(A65,'[1]SLR-m-Y'!$A$2:$I$1000,5,FALSE)</f>
        <v>0.8244285714285714</v>
      </c>
    </row>
    <row r="66" spans="1:9" x14ac:dyDescent="0.2">
      <c r="A66" s="9">
        <v>12</v>
      </c>
      <c r="B66" s="15">
        <v>0.92799999999999983</v>
      </c>
      <c r="C66" s="15">
        <v>1.956</v>
      </c>
      <c r="D66" s="15">
        <v>2.940666666666667</v>
      </c>
      <c r="E66" s="15">
        <v>4.2066666666666661</v>
      </c>
      <c r="F66" s="15">
        <f>VLOOKUP(A66,'[1]SLR-m-Y'!$A$2:$I$1000,2,FALSE)</f>
        <v>0.49512499999999998</v>
      </c>
      <c r="G66" s="15">
        <f>VLOOKUP(A66,'[1]SLR-m-Y'!$A$2:$I$1000,3,FALSE)</f>
        <v>0.62340625000000005</v>
      </c>
      <c r="H66" s="15">
        <f>VLOOKUP(A66,'[1]SLR-m-Y'!$A$2:$I$1000,4,FALSE)</f>
        <v>0.74331250000000004</v>
      </c>
      <c r="I66" s="15">
        <f>VLOOKUP(A66,'[1]SLR-m-Y'!$A$2:$I$1000,5,FALSE)</f>
        <v>0.83546874999999998</v>
      </c>
    </row>
    <row r="67" spans="1:9" x14ac:dyDescent="0.2">
      <c r="A67" s="9">
        <v>13</v>
      </c>
      <c r="B67" s="15">
        <v>1.041666666666667</v>
      </c>
      <c r="C67" s="15">
        <v>2.3033333333333328</v>
      </c>
      <c r="D67" s="15">
        <v>3.2475000000000001</v>
      </c>
      <c r="E67" s="15">
        <v>4.1133333333333333</v>
      </c>
      <c r="F67" s="15">
        <f>VLOOKUP(A67,'[1]SLR-m-Y'!$A$2:$I$1000,2,FALSE)</f>
        <v>0.47649999999999998</v>
      </c>
      <c r="G67" s="15">
        <f>VLOOKUP(A67,'[1]SLR-m-Y'!$A$2:$I$1000,3,FALSE)</f>
        <v>0.58824999999999994</v>
      </c>
      <c r="H67" s="15">
        <f>VLOOKUP(A67,'[1]SLR-m-Y'!$A$2:$I$1000,4,FALSE)</f>
        <v>0.71375</v>
      </c>
      <c r="I67" s="15">
        <f>VLOOKUP(A67,'[1]SLR-m-Y'!$A$2:$I$1000,5,FALSE)</f>
        <v>0.79637500000000006</v>
      </c>
    </row>
    <row r="68" spans="1:9" x14ac:dyDescent="0.2">
      <c r="A68" s="9">
        <v>14</v>
      </c>
      <c r="B68" s="15">
        <v>0.86666666666666659</v>
      </c>
      <c r="C68" s="15">
        <v>1.966666666666667</v>
      </c>
      <c r="D68" s="15">
        <v>2.8883333333333332</v>
      </c>
      <c r="E68" s="15">
        <v>3.7450000000000001</v>
      </c>
      <c r="F68" s="15">
        <f>VLOOKUP(A68,'[1]SLR-m-Y'!$A$2:$I$1000,2,FALSE)</f>
        <v>0.47131250000000002</v>
      </c>
      <c r="G68" s="15">
        <f>VLOOKUP(A68,'[1]SLR-m-Y'!$A$2:$I$1000,3,FALSE)</f>
        <v>0.59199999999999997</v>
      </c>
      <c r="H68" s="15">
        <f>VLOOKUP(A68,'[1]SLR-m-Y'!$A$2:$I$1000,4,FALSE)</f>
        <v>0.70874999999999999</v>
      </c>
      <c r="I68" s="15">
        <f>VLOOKUP(A68,'[1]SLR-m-Y'!$A$2:$I$1000,5,FALSE)</f>
        <v>0.79575000000000007</v>
      </c>
    </row>
    <row r="69" spans="1:9" x14ac:dyDescent="0.2">
      <c r="A69" s="9">
        <v>15</v>
      </c>
      <c r="B69" s="15">
        <v>0.81812499999999999</v>
      </c>
      <c r="C69" s="15">
        <v>1.931875</v>
      </c>
      <c r="D69" s="15">
        <v>3.0968749999999998</v>
      </c>
      <c r="E69" s="15">
        <v>4.1056249999999999</v>
      </c>
      <c r="F69" s="15">
        <f>VLOOKUP(A69,'[1]SLR-m-Y'!$A$2:$I$1000,2,FALSE)</f>
        <v>0.51293750000000005</v>
      </c>
      <c r="G69" s="15">
        <f>VLOOKUP(A69,'[1]SLR-m-Y'!$A$2:$I$1000,3,FALSE)</f>
        <v>0.63024999999999998</v>
      </c>
      <c r="H69" s="15">
        <f>VLOOKUP(A69,'[1]SLR-m-Y'!$A$2:$I$1000,4,FALSE)</f>
        <v>0.75137500000000002</v>
      </c>
      <c r="I69" s="15">
        <f>VLOOKUP(A69,'[1]SLR-m-Y'!$A$2:$I$1000,5,FALSE)</f>
        <v>0.83674999999999999</v>
      </c>
    </row>
    <row r="70" spans="1:9" x14ac:dyDescent="0.2">
      <c r="A70" s="9">
        <v>16</v>
      </c>
      <c r="B70" s="15">
        <v>0.90375000000000005</v>
      </c>
      <c r="C70" s="15">
        <v>1.85375</v>
      </c>
      <c r="D70" s="15">
        <v>2.5274999999999999</v>
      </c>
      <c r="E70" s="15">
        <v>3.6549999999999998</v>
      </c>
      <c r="F70" s="15">
        <f>VLOOKUP(A70,'[1]SLR-m-Y'!$A$2:$I$1000,2,FALSE)</f>
        <v>0.58102941176470591</v>
      </c>
      <c r="G70" s="15">
        <f>VLOOKUP(A70,'[1]SLR-m-Y'!$A$2:$I$1000,3,FALSE)</f>
        <v>0.69785294117647056</v>
      </c>
      <c r="H70" s="15">
        <f>VLOOKUP(A70,'[1]SLR-m-Y'!$A$2:$I$1000,4,FALSE)</f>
        <v>0.8165</v>
      </c>
      <c r="I70" s="15">
        <f>VLOOKUP(A70,'[1]SLR-m-Y'!$A$2:$I$1000,5,FALSE)</f>
        <v>0.90355882352941175</v>
      </c>
    </row>
    <row r="71" spans="1:9" x14ac:dyDescent="0.2">
      <c r="A71" s="9">
        <v>17</v>
      </c>
      <c r="B71" s="15">
        <v>1.0900000000000001</v>
      </c>
      <c r="C71" s="15">
        <v>2.0249999999999999</v>
      </c>
      <c r="D71" s="15">
        <v>3.254999999999999</v>
      </c>
      <c r="E71" s="15">
        <v>4.4916666666666663</v>
      </c>
      <c r="F71" s="15">
        <f>VLOOKUP(A71,'[1]SLR-m-Y'!$A$2:$I$1000,2,FALSE)</f>
        <v>0.54066666666666663</v>
      </c>
      <c r="G71" s="15">
        <f>VLOOKUP(A71,'[1]SLR-m-Y'!$A$2:$I$1000,3,FALSE)</f>
        <v>0.65666666666666673</v>
      </c>
      <c r="H71" s="15">
        <f>VLOOKUP(A71,'[1]SLR-m-Y'!$A$2:$I$1000,4,FALSE)</f>
        <v>0.76566666666666672</v>
      </c>
      <c r="I71" s="15">
        <f>VLOOKUP(A71,'[1]SLR-m-Y'!$A$2:$I$1000,5,FALSE)</f>
        <v>0.86266666666666669</v>
      </c>
    </row>
    <row r="72" spans="1:9" x14ac:dyDescent="0.2">
      <c r="A72" s="9">
        <v>18</v>
      </c>
      <c r="B72" s="15">
        <v>1.006428571428571</v>
      </c>
      <c r="C72" s="15">
        <v>1.895</v>
      </c>
      <c r="D72" s="15">
        <v>3.1314285714285721</v>
      </c>
      <c r="E72" s="15">
        <v>4.455000000000001</v>
      </c>
      <c r="F72" s="15">
        <f>VLOOKUP(A72,'[1]SLR-m-Y'!$A$2:$I$1000,2,FALSE)</f>
        <v>0.54999999999999993</v>
      </c>
      <c r="G72" s="15">
        <f>VLOOKUP(A72,'[1]SLR-m-Y'!$A$2:$I$1000,3,FALSE)</f>
        <v>0.67154545454545456</v>
      </c>
      <c r="H72" s="15">
        <f>VLOOKUP(A72,'[1]SLR-m-Y'!$A$2:$I$1000,4,FALSE)</f>
        <v>0.78454545454545443</v>
      </c>
      <c r="I72" s="15">
        <f>VLOOKUP(A72,'[1]SLR-m-Y'!$A$2:$I$1000,5,FALSE)</f>
        <v>0.87454545454545451</v>
      </c>
    </row>
    <row r="73" spans="1:9" x14ac:dyDescent="0.2">
      <c r="A73" s="9">
        <v>19</v>
      </c>
      <c r="B73" s="15">
        <v>1.009333333333333</v>
      </c>
      <c r="C73" s="15">
        <v>1.8166666666666671</v>
      </c>
      <c r="D73" s="15">
        <v>3.2313333333333341</v>
      </c>
      <c r="E73" s="15">
        <v>4.2206666666666672</v>
      </c>
      <c r="F73" s="15">
        <f>VLOOKUP(A73,'[1]SLR-m-Y'!$A$2:$I$1000,2,FALSE)</f>
        <v>0.59004166666666669</v>
      </c>
      <c r="G73" s="15">
        <f>VLOOKUP(A73,'[1]SLR-m-Y'!$A$2:$I$1000,3,FALSE)</f>
        <v>0.7034583333333333</v>
      </c>
      <c r="H73" s="15">
        <f>VLOOKUP(A73,'[1]SLR-m-Y'!$A$2:$I$1000,4,FALSE)</f>
        <v>0.82454166666666673</v>
      </c>
      <c r="I73" s="15">
        <f>VLOOKUP(A73,'[1]SLR-m-Y'!$A$2:$I$1000,5,FALSE)</f>
        <v>0.91145833333333337</v>
      </c>
    </row>
    <row r="74" spans="1:9" x14ac:dyDescent="0.2">
      <c r="A74" s="9">
        <v>20</v>
      </c>
      <c r="B74" s="15">
        <v>1.109375</v>
      </c>
      <c r="C74" s="15">
        <v>2.0706250000000002</v>
      </c>
      <c r="D74" s="15">
        <v>3.055625</v>
      </c>
      <c r="E74" s="15">
        <v>4.3537499999999998</v>
      </c>
      <c r="F74" s="15">
        <f>VLOOKUP(A74,'[1]SLR-m-Y'!$A$2:$I$1000,2,FALSE)</f>
        <v>0.53066666666666662</v>
      </c>
      <c r="G74" s="15">
        <f>VLOOKUP(A74,'[1]SLR-m-Y'!$A$2:$I$1000,3,FALSE)</f>
        <v>0.65046666666666664</v>
      </c>
      <c r="H74" s="15">
        <f>VLOOKUP(A74,'[1]SLR-m-Y'!$A$2:$I$1000,4,FALSE)</f>
        <v>0.76346666666666663</v>
      </c>
      <c r="I74" s="15">
        <f>VLOOKUP(A74,'[1]SLR-m-Y'!$A$2:$I$1000,5,FALSE)</f>
        <v>0.85399999999999998</v>
      </c>
    </row>
    <row r="75" spans="1:9" x14ac:dyDescent="0.2">
      <c r="A75" s="9">
        <v>21</v>
      </c>
      <c r="B75" s="15">
        <v>1.0528571428571429</v>
      </c>
      <c r="C75" s="15">
        <v>1.908571428571429</v>
      </c>
      <c r="D75" s="15">
        <v>3.0809523809523811</v>
      </c>
      <c r="E75" s="15">
        <v>4.1704761904761911</v>
      </c>
      <c r="F75" s="15">
        <f>VLOOKUP(A75,'[1]SLR-m-Y'!$A$2:$I$1000,2,FALSE)</f>
        <v>0.54780769230769233</v>
      </c>
      <c r="G75" s="15">
        <f>VLOOKUP(A75,'[1]SLR-m-Y'!$A$2:$I$1000,3,FALSE)</f>
        <v>0.67349999999999999</v>
      </c>
      <c r="H75" s="15">
        <f>VLOOKUP(A75,'[1]SLR-m-Y'!$A$2:$I$1000,4,FALSE)</f>
        <v>0.78826923076923083</v>
      </c>
      <c r="I75" s="15">
        <f>VLOOKUP(A75,'[1]SLR-m-Y'!$A$2:$I$1000,5,FALSE)</f>
        <v>0.88453846153846161</v>
      </c>
    </row>
    <row r="76" spans="1:9" x14ac:dyDescent="0.2">
      <c r="A76" s="9">
        <v>22</v>
      </c>
      <c r="B76" s="15">
        <v>0.92454545454545456</v>
      </c>
      <c r="C76" s="15">
        <v>1.7481818181818181</v>
      </c>
      <c r="D76" s="15">
        <v>2.92</v>
      </c>
      <c r="E76" s="15">
        <v>3.7454545454545451</v>
      </c>
      <c r="F76" s="15">
        <f>VLOOKUP(A76,'[1]SLR-m-Y'!$A$2:$I$1000,2,FALSE)</f>
        <v>0.5263355263157895</v>
      </c>
      <c r="G76" s="15">
        <f>VLOOKUP(A76,'[1]SLR-m-Y'!$A$2:$I$1000,3,FALSE)</f>
        <v>0.64384210526315788</v>
      </c>
      <c r="H76" s="15">
        <f>VLOOKUP(A76,'[1]SLR-m-Y'!$A$2:$I$1000,4,FALSE)</f>
        <v>0.75511184210526316</v>
      </c>
      <c r="I76" s="15">
        <f>VLOOKUP(A76,'[1]SLR-m-Y'!$A$2:$I$1000,5,FALSE)</f>
        <v>0.84798684210526321</v>
      </c>
    </row>
    <row r="77" spans="1:9" x14ac:dyDescent="0.2">
      <c r="A77" s="9">
        <v>23</v>
      </c>
      <c r="B77" s="15">
        <v>1.206666666666667</v>
      </c>
      <c r="C77" s="15">
        <v>1.7649999999999999</v>
      </c>
      <c r="D77" s="15">
        <v>2.8683333333333341</v>
      </c>
      <c r="E77" s="15">
        <v>4.2</v>
      </c>
      <c r="F77" s="15">
        <f>VLOOKUP(A77,'[1]SLR-m-Y'!$A$2:$I$1000,2,FALSE)</f>
        <v>0.46987499999999999</v>
      </c>
      <c r="G77" s="15">
        <f>VLOOKUP(A77,'[1]SLR-m-Y'!$A$2:$I$1000,3,FALSE)</f>
        <v>0.59187500000000004</v>
      </c>
      <c r="H77" s="15">
        <f>VLOOKUP(A77,'[1]SLR-m-Y'!$A$2:$I$1000,4,FALSE)</f>
        <v>0.70681249999999995</v>
      </c>
      <c r="I77" s="15">
        <f>VLOOKUP(A77,'[1]SLR-m-Y'!$A$2:$I$1000,5,FALSE)</f>
        <v>0.79656250000000006</v>
      </c>
    </row>
    <row r="78" spans="1:9" x14ac:dyDescent="0.2">
      <c r="A78" s="9">
        <v>24</v>
      </c>
      <c r="B78" s="15">
        <v>1.42</v>
      </c>
      <c r="C78" s="15">
        <v>2.2377777777777781</v>
      </c>
      <c r="D78" s="15">
        <v>3.6233333333333331</v>
      </c>
      <c r="E78" s="15">
        <v>5.0266666666666664</v>
      </c>
      <c r="F78" s="15">
        <f>VLOOKUP(A78,'[1]SLR-m-Y'!$A$2:$I$1000,2,FALSE)</f>
        <v>0.44900000000000001</v>
      </c>
      <c r="G78" s="15">
        <f>VLOOKUP(A78,'[1]SLR-m-Y'!$A$2:$I$1000,3,FALSE)</f>
        <v>0.56771428571428573</v>
      </c>
      <c r="H78" s="15">
        <f>VLOOKUP(A78,'[1]SLR-m-Y'!$A$2:$I$1000,4,FALSE)</f>
        <v>0.6925</v>
      </c>
      <c r="I78" s="15">
        <f>VLOOKUP(A78,'[1]SLR-m-Y'!$A$2:$I$1000,5,FALSE)</f>
        <v>0.78899999999999992</v>
      </c>
    </row>
    <row r="79" spans="1:9" x14ac:dyDescent="0.2">
      <c r="A79" s="9">
        <v>25</v>
      </c>
      <c r="B79" s="15">
        <v>1.3444444444444441</v>
      </c>
      <c r="C79" s="15">
        <v>2.2688888888888892</v>
      </c>
      <c r="D79" s="15">
        <v>3.8411111111111111</v>
      </c>
      <c r="E79" s="15">
        <v>5.2133333333333338</v>
      </c>
      <c r="F79" s="15">
        <f>VLOOKUP(A79,'[1]SLR-m-Y'!$A$2:$I$1000,2,FALSE)</f>
        <v>0.50409999999999999</v>
      </c>
      <c r="G79" s="15">
        <f>VLOOKUP(A79,'[1]SLR-m-Y'!$A$2:$I$1000,3,FALSE)</f>
        <v>0.62509999999999999</v>
      </c>
      <c r="H79" s="15">
        <f>VLOOKUP(A79,'[1]SLR-m-Y'!$A$2:$I$1000,4,FALSE)</f>
        <v>0.75029999999999997</v>
      </c>
      <c r="I79" s="15">
        <f>VLOOKUP(A79,'[1]SLR-m-Y'!$A$2:$I$1000,5,FALSE)</f>
        <v>0.84770000000000001</v>
      </c>
    </row>
    <row r="80" spans="1:9" x14ac:dyDescent="0.2">
      <c r="A80" s="9">
        <v>26</v>
      </c>
      <c r="B80" s="15">
        <v>1.377</v>
      </c>
      <c r="C80" s="15">
        <v>2.2850000000000001</v>
      </c>
      <c r="D80" s="15">
        <v>3.3849999999999998</v>
      </c>
      <c r="E80" s="15">
        <v>4.668000000000001</v>
      </c>
      <c r="F80" s="15">
        <f>VLOOKUP(A80,'[1]SLR-m-Y'!$A$2:$I$1000,2,FALSE)</f>
        <v>0.46670370370366671</v>
      </c>
      <c r="G80" s="15">
        <f>VLOOKUP(A80,'[1]SLR-m-Y'!$A$2:$I$1000,3,FALSE)</f>
        <v>0.58737037037033335</v>
      </c>
      <c r="H80" s="15">
        <f>VLOOKUP(A80,'[1]SLR-m-Y'!$A$2:$I$1000,4,FALSE)</f>
        <v>0.71059259259255558</v>
      </c>
      <c r="I80" s="15">
        <f>VLOOKUP(A80,'[1]SLR-m-Y'!$A$2:$I$1000,5,FALSE)</f>
        <v>0.80492592592588885</v>
      </c>
    </row>
    <row r="81" spans="1:9" x14ac:dyDescent="0.2">
      <c r="A81" s="9">
        <v>27</v>
      </c>
      <c r="B81" s="15">
        <v>1.480909090909091</v>
      </c>
      <c r="C81" s="15">
        <v>2.2536363636363639</v>
      </c>
      <c r="D81" s="15">
        <v>3.3254545454545461</v>
      </c>
      <c r="E81" s="15">
        <v>4.6009090909090906</v>
      </c>
      <c r="F81" s="15">
        <f>VLOOKUP(A81,'[1]SLR-m-Y'!$A$2:$I$1000,2,FALSE)</f>
        <v>0.44974999999999998</v>
      </c>
      <c r="G81" s="15">
        <f>VLOOKUP(A81,'[1]SLR-m-Y'!$A$2:$I$1000,3,FALSE)</f>
        <v>0.56374999999999997</v>
      </c>
      <c r="H81" s="15">
        <f>VLOOKUP(A81,'[1]SLR-m-Y'!$A$2:$I$1000,4,FALSE)</f>
        <v>0.68612499999999998</v>
      </c>
      <c r="I81" s="15">
        <f>VLOOKUP(A81,'[1]SLR-m-Y'!$A$2:$I$1000,5,FALSE)</f>
        <v>0.78412499999999996</v>
      </c>
    </row>
    <row r="82" spans="1:9" x14ac:dyDescent="0.2">
      <c r="A82" s="9">
        <v>28</v>
      </c>
      <c r="B82" s="15">
        <v>0.95750000000000002</v>
      </c>
      <c r="C82" s="15">
        <v>1.97</v>
      </c>
      <c r="D82" s="15">
        <v>2.69</v>
      </c>
      <c r="E82" s="15">
        <v>4.1774999999999993</v>
      </c>
      <c r="F82" s="15">
        <f>VLOOKUP(A82,'[1]SLR-m-Y'!$A$2:$I$1000,2,FALSE)</f>
        <v>0.51600000000000001</v>
      </c>
      <c r="G82" s="15">
        <f>VLOOKUP(A82,'[1]SLR-m-Y'!$A$2:$I$1000,3,FALSE)</f>
        <v>0.62</v>
      </c>
      <c r="H82" s="15">
        <f>VLOOKUP(A82,'[1]SLR-m-Y'!$A$2:$I$1000,4,FALSE)</f>
        <v>0.73242857142857143</v>
      </c>
      <c r="I82" s="15">
        <f>VLOOKUP(A82,'[1]SLR-m-Y'!$A$2:$I$1000,5,FALSE)</f>
        <v>0.81714285714285706</v>
      </c>
    </row>
    <row r="83" spans="1:9" x14ac:dyDescent="0.2">
      <c r="A83" s="9">
        <v>29</v>
      </c>
      <c r="B83" s="15">
        <v>2.145</v>
      </c>
      <c r="C83" s="15">
        <v>3.15</v>
      </c>
      <c r="D83" s="15">
        <v>4.2850000000000001</v>
      </c>
      <c r="E83" s="15">
        <v>6.4249999999999998</v>
      </c>
      <c r="F83" s="15">
        <f>VLOOKUP(A83,'[1]SLR-m-Y'!$A$2:$I$1000,2,FALSE)</f>
        <v>0.50475000000000003</v>
      </c>
      <c r="G83" s="15">
        <f>VLOOKUP(A83,'[1]SLR-m-Y'!$A$2:$I$1000,3,FALSE)</f>
        <v>0.61</v>
      </c>
      <c r="H83" s="15">
        <f>VLOOKUP(A83,'[1]SLR-m-Y'!$A$2:$I$1000,4,FALSE)</f>
        <v>0.72</v>
      </c>
      <c r="I83" s="15">
        <f>VLOOKUP(A83,'[1]SLR-m-Y'!$A$2:$I$1000,5,FALSE)</f>
        <v>0.80649999999999999</v>
      </c>
    </row>
    <row r="84" spans="1:9" x14ac:dyDescent="0.2">
      <c r="A84" s="9">
        <v>30</v>
      </c>
      <c r="B84" s="15">
        <v>1.2649999999999999</v>
      </c>
      <c r="C84" s="15">
        <v>2.046666666666666</v>
      </c>
      <c r="D84" s="15">
        <v>2.8883333333333341</v>
      </c>
      <c r="E84" s="15">
        <v>4.3983333333333334</v>
      </c>
      <c r="F84" s="15">
        <f>VLOOKUP(A84,'[1]SLR-m-Y'!$A$2:$I$1000,2,FALSE)</f>
        <v>0.4371666666666667</v>
      </c>
      <c r="G84" s="15">
        <f>VLOOKUP(A84,'[1]SLR-m-Y'!$A$2:$I$1000,3,FALSE)</f>
        <v>0.56016666666666659</v>
      </c>
      <c r="H84" s="15">
        <f>VLOOKUP(A84,'[1]SLR-m-Y'!$A$2:$I$1000,4,FALSE)</f>
        <v>0.68658333333333343</v>
      </c>
      <c r="I84" s="15">
        <f>VLOOKUP(A84,'[1]SLR-m-Y'!$A$2:$I$1000,5,FALSE)</f>
        <v>0.79225000000000001</v>
      </c>
    </row>
    <row r="85" spans="1:9" x14ac:dyDescent="0.2">
      <c r="A85" s="9">
        <v>31</v>
      </c>
      <c r="B85" s="15">
        <v>1.91875</v>
      </c>
      <c r="C85" s="15">
        <v>3.0575000000000001</v>
      </c>
      <c r="D85" s="15">
        <v>4.4625000000000004</v>
      </c>
      <c r="E85" s="15">
        <v>5.9862500000000001</v>
      </c>
      <c r="F85" s="15">
        <f>VLOOKUP(A85,'[1]SLR-m-Y'!$A$2:$I$1000,2,FALSE)</f>
        <v>0.47599999999999998</v>
      </c>
      <c r="G85" s="15">
        <f>VLOOKUP(A85,'[1]SLR-m-Y'!$A$2:$I$1000,3,FALSE)</f>
        <v>0.58666666666666656</v>
      </c>
      <c r="H85" s="15">
        <f>VLOOKUP(A85,'[1]SLR-m-Y'!$A$2:$I$1000,4,FALSE)</f>
        <v>0.70233333333333325</v>
      </c>
      <c r="I85" s="15">
        <f>VLOOKUP(A85,'[1]SLR-m-Y'!$A$2:$I$1000,5,FALSE)</f>
        <v>0.79400000000000004</v>
      </c>
    </row>
    <row r="86" spans="1:9" x14ac:dyDescent="0.2">
      <c r="A86" s="9">
        <v>32</v>
      </c>
      <c r="B86" s="15">
        <v>0.64749999999999996</v>
      </c>
      <c r="C86" s="15">
        <v>1.395</v>
      </c>
      <c r="D86" s="15">
        <v>2.1875</v>
      </c>
      <c r="E86" s="15">
        <v>2.8925000000000001</v>
      </c>
      <c r="F86" s="15">
        <f>VLOOKUP(A86,'[1]SLR-m-Y'!$A$2:$I$1000,2,FALSE)</f>
        <v>0.46192857142857152</v>
      </c>
      <c r="G86" s="15">
        <f>VLOOKUP(A86,'[1]SLR-m-Y'!$A$2:$I$1000,3,FALSE)</f>
        <v>0.5645</v>
      </c>
      <c r="H86" s="15">
        <f>VLOOKUP(A86,'[1]SLR-m-Y'!$A$2:$I$1000,4,FALSE)</f>
        <v>0.67200000000000004</v>
      </c>
      <c r="I86" s="15">
        <f>VLOOKUP(A86,'[1]SLR-m-Y'!$A$2:$I$1000,5,FALSE)</f>
        <v>0.75871428571428567</v>
      </c>
    </row>
    <row r="87" spans="1:9" x14ac:dyDescent="0.2">
      <c r="A87" s="9">
        <v>33</v>
      </c>
      <c r="B87" s="15">
        <v>1.917692307692308</v>
      </c>
      <c r="C87" s="15">
        <v>3.08</v>
      </c>
      <c r="D87" s="15">
        <v>4.3376923076923077</v>
      </c>
      <c r="E87" s="15">
        <v>6.2676923076923083</v>
      </c>
      <c r="F87" s="15">
        <f>VLOOKUP(A87,'[1]SLR-m-Y'!$A$2:$I$1000,2,FALSE)</f>
        <v>0.46190476190466673</v>
      </c>
      <c r="G87" s="15">
        <f>VLOOKUP(A87,'[1]SLR-m-Y'!$A$2:$I$1000,3,FALSE)</f>
        <v>0.58962698412688885</v>
      </c>
      <c r="H87" s="15">
        <f>VLOOKUP(A87,'[1]SLR-m-Y'!$A$2:$I$1000,4,FALSE)</f>
        <v>0.72847619047633339</v>
      </c>
      <c r="I87" s="15">
        <f>VLOOKUP(A87,'[1]SLR-m-Y'!$A$2:$I$1000,5,FALSE)</f>
        <v>0.83886507936522225</v>
      </c>
    </row>
    <row r="88" spans="1:9" x14ac:dyDescent="0.2">
      <c r="A88" s="9">
        <v>34</v>
      </c>
      <c r="B88" s="15">
        <v>1.4215384615384621</v>
      </c>
      <c r="C88" s="15">
        <v>2.5215384615384622</v>
      </c>
      <c r="D88" s="15">
        <v>3.5815384615384618</v>
      </c>
      <c r="E88" s="15">
        <v>5.3261538461538454</v>
      </c>
      <c r="F88" s="15">
        <f>VLOOKUP(A88,'[1]SLR-m-Y'!$A$2:$I$1000,2,FALSE)</f>
        <v>0.43099999999999999</v>
      </c>
      <c r="G88" s="15">
        <f>VLOOKUP(A88,'[1]SLR-m-Y'!$A$2:$I$1000,3,FALSE)</f>
        <v>0.54912500000000009</v>
      </c>
      <c r="H88" s="15">
        <f>VLOOKUP(A88,'[1]SLR-m-Y'!$A$2:$I$1000,4,FALSE)</f>
        <v>0.65949999999999998</v>
      </c>
      <c r="I88" s="15">
        <f>VLOOKUP(A88,'[1]SLR-m-Y'!$A$2:$I$1000,5,FALSE)</f>
        <v>0.75837500000000002</v>
      </c>
    </row>
    <row r="89" spans="1:9" x14ac:dyDescent="0.2">
      <c r="A89" s="9">
        <v>35</v>
      </c>
      <c r="B89" s="15">
        <v>1.0791666666666671</v>
      </c>
      <c r="C89" s="15">
        <v>2.5225</v>
      </c>
      <c r="D89" s="15">
        <v>3.561666666666667</v>
      </c>
      <c r="E89" s="15">
        <v>5.3408333333333333</v>
      </c>
      <c r="F89" s="15">
        <f>VLOOKUP(A89,'[1]SLR-m-Y'!$A$2:$I$1000,2,FALSE)</f>
        <v>0.44823888888886659</v>
      </c>
      <c r="G89" s="15">
        <f>VLOOKUP(A89,'[1]SLR-m-Y'!$A$2:$I$1000,3,FALSE)</f>
        <v>0.57014444444446666</v>
      </c>
      <c r="H89" s="15">
        <f>VLOOKUP(A89,'[1]SLR-m-Y'!$A$2:$I$1000,4,FALSE)</f>
        <v>0.69828888888886664</v>
      </c>
      <c r="I89" s="15">
        <f>VLOOKUP(A89,'[1]SLR-m-Y'!$A$2:$I$1000,5,FALSE)</f>
        <v>0.80345</v>
      </c>
    </row>
    <row r="90" spans="1:9" x14ac:dyDescent="0.2">
      <c r="A90" s="9">
        <v>36</v>
      </c>
      <c r="B90" s="15">
        <v>1.306</v>
      </c>
      <c r="C90" s="15">
        <v>2.7675000000000001</v>
      </c>
      <c r="D90" s="15">
        <v>4.1130000000000013</v>
      </c>
      <c r="E90" s="15">
        <v>5.7555000000000014</v>
      </c>
      <c r="F90" s="15">
        <f>VLOOKUP(A90,'[1]SLR-m-Y'!$A$2:$I$1000,2,FALSE)</f>
        <v>0.45574999999999999</v>
      </c>
      <c r="G90" s="15">
        <f>VLOOKUP(A90,'[1]SLR-m-Y'!$A$2:$I$1000,3,FALSE)</f>
        <v>0.57947916666662502</v>
      </c>
      <c r="H90" s="15">
        <f>VLOOKUP(A90,'[1]SLR-m-Y'!$A$2:$I$1000,4,FALSE)</f>
        <v>0.705333333333375</v>
      </c>
      <c r="I90" s="15">
        <f>VLOOKUP(A90,'[1]SLR-m-Y'!$A$2:$I$1000,5,FALSE)</f>
        <v>0.80933333333337498</v>
      </c>
    </row>
    <row r="91" spans="1:9" x14ac:dyDescent="0.2">
      <c r="A91" s="9">
        <v>37</v>
      </c>
      <c r="B91" s="15">
        <v>0.77692307692307694</v>
      </c>
      <c r="C91" s="15">
        <v>2.2176923076923081</v>
      </c>
      <c r="D91" s="15">
        <v>3.3469230769230771</v>
      </c>
      <c r="E91" s="15">
        <v>4.8469230769230771</v>
      </c>
      <c r="F91" s="15">
        <f>VLOOKUP(A91,'[1]SLR-m-Y'!$A$2:$I$1000,2,FALSE)</f>
        <v>0.44635185185185189</v>
      </c>
      <c r="G91" s="15">
        <f>VLOOKUP(A91,'[1]SLR-m-Y'!$A$2:$I$1000,3,FALSE)</f>
        <v>0.5642962962962963</v>
      </c>
      <c r="H91" s="15">
        <f>VLOOKUP(A91,'[1]SLR-m-Y'!$A$2:$I$1000,4,FALSE)</f>
        <v>0.67544444444444451</v>
      </c>
      <c r="I91" s="15">
        <f>VLOOKUP(A91,'[1]SLR-m-Y'!$A$2:$I$1000,5,FALSE)</f>
        <v>0.77262962962962967</v>
      </c>
    </row>
    <row r="92" spans="1:9" x14ac:dyDescent="0.2">
      <c r="A92" s="9">
        <v>38</v>
      </c>
      <c r="B92" s="15">
        <v>0.78285714285714292</v>
      </c>
      <c r="C92" s="15">
        <v>1.975714285714286</v>
      </c>
      <c r="D92" s="15">
        <v>2.8864285714285711</v>
      </c>
      <c r="E92" s="15">
        <v>4.75</v>
      </c>
      <c r="F92" s="15">
        <f>VLOOKUP(A92,'[1]SLR-m-Y'!$A$2:$I$1000,2,FALSE)</f>
        <v>0.48655555555555552</v>
      </c>
      <c r="G92" s="15">
        <f>VLOOKUP(A92,'[1]SLR-m-Y'!$A$2:$I$1000,3,FALSE)</f>
        <v>0.60566666666666669</v>
      </c>
      <c r="H92" s="15">
        <f>VLOOKUP(A92,'[1]SLR-m-Y'!$A$2:$I$1000,4,FALSE)</f>
        <v>0.71977777777777774</v>
      </c>
      <c r="I92" s="15">
        <f>VLOOKUP(A92,'[1]SLR-m-Y'!$A$2:$I$1000,5,FALSE)</f>
        <v>0.81829629629666667</v>
      </c>
    </row>
    <row r="93" spans="1:9" x14ac:dyDescent="0.2">
      <c r="A93" s="9">
        <v>39</v>
      </c>
      <c r="B93" s="15">
        <v>1.173636363636364</v>
      </c>
      <c r="C93" s="15">
        <v>2.9027272727272728</v>
      </c>
      <c r="D93" s="15">
        <v>4.3445454545454547</v>
      </c>
      <c r="E93" s="15">
        <v>6.0145454545454546</v>
      </c>
      <c r="F93" s="15">
        <f>VLOOKUP(A93,'[1]SLR-m-Y'!$A$2:$I$1000,2,FALSE)</f>
        <v>0.50366666666669235</v>
      </c>
      <c r="G93" s="15">
        <f>VLOOKUP(A93,'[1]SLR-m-Y'!$A$2:$I$1000,3,FALSE)</f>
        <v>0.6255384615386923</v>
      </c>
      <c r="H93" s="15">
        <f>VLOOKUP(A93,'[1]SLR-m-Y'!$A$2:$I$1000,4,FALSE)</f>
        <v>0.74635897435869225</v>
      </c>
      <c r="I93" s="15">
        <f>VLOOKUP(A93,'[1]SLR-m-Y'!$A$2:$I$1000,5,FALSE)</f>
        <v>0.84917948717976921</v>
      </c>
    </row>
    <row r="94" spans="1:9" x14ac:dyDescent="0.2">
      <c r="A94" s="9">
        <v>40</v>
      </c>
      <c r="B94" s="15">
        <v>1.2337499999999999</v>
      </c>
      <c r="C94" s="15">
        <v>2.4587500000000002</v>
      </c>
      <c r="D94" s="15">
        <v>3.7512500000000002</v>
      </c>
      <c r="E94" s="15">
        <v>5.7925000000000004</v>
      </c>
      <c r="F94" s="15">
        <f>VLOOKUP(A94,'[1]SLR-m-Y'!$A$2:$I$1000,2,FALSE)</f>
        <v>0.49562499999999998</v>
      </c>
      <c r="G94" s="15">
        <f>VLOOKUP(A94,'[1]SLR-m-Y'!$A$2:$I$1000,3,FALSE)</f>
        <v>0.61712499999999992</v>
      </c>
      <c r="H94" s="15">
        <f>VLOOKUP(A94,'[1]SLR-m-Y'!$A$2:$I$1000,4,FALSE)</f>
        <v>0.72562499999999996</v>
      </c>
      <c r="I94" s="15">
        <f>VLOOKUP(A94,'[1]SLR-m-Y'!$A$2:$I$1000,5,FALSE)</f>
        <v>0.82493749999999999</v>
      </c>
    </row>
    <row r="95" spans="1:9" x14ac:dyDescent="0.2">
      <c r="A95" s="9">
        <v>41</v>
      </c>
      <c r="B95" s="15">
        <v>1.4824999999999999</v>
      </c>
      <c r="C95" s="15">
        <v>2.6150000000000002</v>
      </c>
      <c r="D95" s="15">
        <v>4.2649999999999997</v>
      </c>
      <c r="E95" s="15">
        <v>5.8824999999999994</v>
      </c>
      <c r="F95" s="15">
        <f>VLOOKUP(A95,'[1]SLR-m-Y'!$A$2:$I$1000,2,FALSE)</f>
        <v>0.39761111111111108</v>
      </c>
      <c r="G95" s="15">
        <f>VLOOKUP(A95,'[1]SLR-m-Y'!$A$2:$I$1000,3,FALSE)</f>
        <v>0.50249999999999995</v>
      </c>
      <c r="H95" s="15">
        <f>VLOOKUP(A95,'[1]SLR-m-Y'!$A$2:$I$1000,4,FALSE)</f>
        <v>0.6079444444444444</v>
      </c>
      <c r="I95" s="15">
        <f>VLOOKUP(A95,'[1]SLR-m-Y'!$A$2:$I$1000,5,FALSE)</f>
        <v>0.70250000000000001</v>
      </c>
    </row>
    <row r="96" spans="1:9" x14ac:dyDescent="0.2">
      <c r="A96" s="9">
        <v>42</v>
      </c>
      <c r="B96" s="15">
        <v>0.17333333333333331</v>
      </c>
      <c r="C96" s="15">
        <v>1.6733333333333329</v>
      </c>
      <c r="D96" s="15">
        <v>3.061666666666667</v>
      </c>
      <c r="E96" s="15">
        <v>4.621666666666667</v>
      </c>
      <c r="F96" s="15">
        <f>VLOOKUP(A96,'[1]SLR-m-Y'!$A$2:$I$1000,2,FALSE)</f>
        <v>0.44474999999999998</v>
      </c>
      <c r="G96" s="15">
        <f>VLOOKUP(A96,'[1]SLR-m-Y'!$A$2:$I$1000,3,FALSE)</f>
        <v>0.56254166666674998</v>
      </c>
      <c r="H96" s="15">
        <f>VLOOKUP(A96,'[1]SLR-m-Y'!$A$2:$I$1000,4,FALSE)</f>
        <v>0.66220833333325002</v>
      </c>
      <c r="I96" s="15">
        <f>VLOOKUP(A96,'[1]SLR-m-Y'!$A$2:$I$1000,5,FALSE)</f>
        <v>0.75829166666675007</v>
      </c>
    </row>
    <row r="97" spans="1:9" x14ac:dyDescent="0.2">
      <c r="A97" s="9">
        <v>43</v>
      </c>
      <c r="B97" s="15">
        <v>0.41</v>
      </c>
      <c r="C97" s="15">
        <v>1.8674999999999999</v>
      </c>
      <c r="D97" s="15">
        <v>3.1295000000000002</v>
      </c>
      <c r="E97" s="15">
        <v>4.9969999999999999</v>
      </c>
      <c r="F97" s="15">
        <f>VLOOKUP(A97,'[1]SLR-m-Y'!$A$2:$I$1000,2,FALSE)</f>
        <v>0.44790000000000002</v>
      </c>
      <c r="G97" s="15">
        <f>VLOOKUP(A97,'[1]SLR-m-Y'!$A$2:$I$1000,3,FALSE)</f>
        <v>0.56410000000000005</v>
      </c>
      <c r="H97" s="15">
        <f>VLOOKUP(A97,'[1]SLR-m-Y'!$A$2:$I$1000,4,FALSE)</f>
        <v>0.68369999999999997</v>
      </c>
      <c r="I97" s="15">
        <f>VLOOKUP(A97,'[1]SLR-m-Y'!$A$2:$I$1000,5,FALSE)</f>
        <v>0.78300000000000003</v>
      </c>
    </row>
    <row r="98" spans="1:9" x14ac:dyDescent="0.2">
      <c r="A98" s="9">
        <v>44</v>
      </c>
      <c r="B98" s="15">
        <v>0.56222222222222229</v>
      </c>
      <c r="C98" s="15">
        <v>2.2366666666666668</v>
      </c>
      <c r="D98" s="15">
        <v>4.0355555555555558</v>
      </c>
      <c r="E98" s="15">
        <v>5.5666666666666664</v>
      </c>
      <c r="F98" s="15">
        <f>VLOOKUP(A98,'[1]SLR-m-Y'!$A$2:$I$1000,2,FALSE)</f>
        <v>0.4294</v>
      </c>
      <c r="G98" s="15">
        <f>VLOOKUP(A98,'[1]SLR-m-Y'!$A$2:$I$1000,3,FALSE)</f>
        <v>0.54271111111113335</v>
      </c>
      <c r="H98" s="15">
        <f>VLOOKUP(A98,'[1]SLR-m-Y'!$A$2:$I$1000,4,FALSE)</f>
        <v>0.65008888888886662</v>
      </c>
      <c r="I98" s="15">
        <f>VLOOKUP(A98,'[1]SLR-m-Y'!$A$2:$I$1000,5,FALSE)</f>
        <v>0.74376666666666658</v>
      </c>
    </row>
    <row r="99" spans="1:9" x14ac:dyDescent="0.2">
      <c r="A99" s="9">
        <v>45</v>
      </c>
      <c r="B99" s="15">
        <v>0.92166666666666675</v>
      </c>
      <c r="C99" s="15">
        <v>2.539166666666667</v>
      </c>
      <c r="D99" s="15">
        <v>4.2124999999999986</v>
      </c>
      <c r="E99" s="15">
        <v>5.6066666666666656</v>
      </c>
      <c r="F99" s="15">
        <f>VLOOKUP(A99,'[1]SLR-m-Y'!$A$2:$I$1000,2,FALSE)</f>
        <v>0.49496153846153851</v>
      </c>
      <c r="G99" s="15">
        <f>VLOOKUP(A99,'[1]SLR-m-Y'!$A$2:$I$1000,3,FALSE)</f>
        <v>0.60615384615384615</v>
      </c>
      <c r="H99" s="15">
        <f>VLOOKUP(A99,'[1]SLR-m-Y'!$A$2:$I$1000,4,FALSE)</f>
        <v>0.71646153846153848</v>
      </c>
      <c r="I99" s="15">
        <f>VLOOKUP(A99,'[1]SLR-m-Y'!$A$2:$I$1000,5,FALSE)</f>
        <v>0.81396153846153851</v>
      </c>
    </row>
    <row r="100" spans="1:9" x14ac:dyDescent="0.2">
      <c r="A100" s="9">
        <v>46</v>
      </c>
      <c r="B100" s="15">
        <v>0.49249999999999999</v>
      </c>
      <c r="C100" s="15">
        <v>1.96</v>
      </c>
      <c r="D100" s="15">
        <v>3.4125000000000001</v>
      </c>
      <c r="E100" s="15">
        <v>4.6050000000000004</v>
      </c>
      <c r="F100" s="15">
        <f>VLOOKUP(A100,'[1]SLR-m-Y'!$A$2:$I$1000,2,FALSE)</f>
        <v>0.54276190476185715</v>
      </c>
      <c r="G100" s="15">
        <f>VLOOKUP(A100,'[1]SLR-m-Y'!$A$2:$I$1000,3,FALSE)</f>
        <v>0.66552380952385715</v>
      </c>
      <c r="H100" s="15">
        <f>VLOOKUP(A100,'[1]SLR-m-Y'!$A$2:$I$1000,4,FALSE)</f>
        <v>0.77028571428571435</v>
      </c>
      <c r="I100" s="15">
        <f>VLOOKUP(A100,'[1]SLR-m-Y'!$A$2:$I$1000,5,FALSE)</f>
        <v>0.87823809523814289</v>
      </c>
    </row>
    <row r="101" spans="1:9" x14ac:dyDescent="0.2">
      <c r="A101" s="9">
        <v>47</v>
      </c>
      <c r="B101" s="15">
        <v>0.94833333333333314</v>
      </c>
      <c r="C101" s="15">
        <v>2.0583333333333331</v>
      </c>
      <c r="D101" s="15">
        <v>3.8</v>
      </c>
      <c r="E101" s="15">
        <v>4.7516666666666669</v>
      </c>
      <c r="F101" s="15">
        <f>VLOOKUP(A101,'[1]SLR-m-Y'!$A$2:$I$1000,2,FALSE)</f>
        <v>0.4123</v>
      </c>
      <c r="G101" s="15">
        <f>VLOOKUP(A101,'[1]SLR-m-Y'!$A$2:$I$1000,3,FALSE)</f>
        <v>0.51270000000000004</v>
      </c>
      <c r="H101" s="15">
        <f>VLOOKUP(A101,'[1]SLR-m-Y'!$A$2:$I$1000,4,FALSE)</f>
        <v>0.59530000000000005</v>
      </c>
      <c r="I101" s="15">
        <f>VLOOKUP(A101,'[1]SLR-m-Y'!$A$2:$I$1000,5,FALSE)</f>
        <v>0.68140000000000001</v>
      </c>
    </row>
    <row r="102" spans="1:9" x14ac:dyDescent="0.2">
      <c r="A102" s="9">
        <v>48</v>
      </c>
      <c r="B102" s="15">
        <v>0.1066666666666666</v>
      </c>
      <c r="C102" s="15">
        <v>2.2200000000000002</v>
      </c>
      <c r="D102" s="15">
        <v>3.76</v>
      </c>
      <c r="E102" s="15">
        <v>4.8899999999999997</v>
      </c>
      <c r="F102" s="15">
        <f>VLOOKUP(A102,'[1]SLR-m-Y'!$A$2:$I$1000,2,FALSE)</f>
        <v>0.44323333333339998</v>
      </c>
      <c r="G102" s="15">
        <f>VLOOKUP(A102,'[1]SLR-m-Y'!$A$2:$I$1000,3,FALSE)</f>
        <v>0.56446666666659995</v>
      </c>
      <c r="H102" s="15">
        <f>VLOOKUP(A102,'[1]SLR-m-Y'!$A$2:$I$1000,4,FALSE)</f>
        <v>0.66446666666659993</v>
      </c>
      <c r="I102" s="15">
        <f>VLOOKUP(A102,'[1]SLR-m-Y'!$A$2:$I$1000,5,FALSE)</f>
        <v>0.7717333333334</v>
      </c>
    </row>
    <row r="103" spans="1:9" x14ac:dyDescent="0.2">
      <c r="A103" s="9">
        <v>49</v>
      </c>
      <c r="B103" s="15">
        <v>-0.1327272727272728</v>
      </c>
      <c r="C103" s="15">
        <v>1.1818181818181821</v>
      </c>
      <c r="D103" s="15">
        <v>2.7881818181818181</v>
      </c>
      <c r="E103" s="15">
        <v>4.0936363636363646</v>
      </c>
      <c r="F103" s="15">
        <f>VLOOKUP(A103,'[1]SLR-m-Y'!$A$2:$I$1000,2,FALSE)</f>
        <v>0.40231481481466669</v>
      </c>
      <c r="G103" s="15">
        <f>VLOOKUP(A103,'[1]SLR-m-Y'!$A$2:$I$1000,3,FALSE)</f>
        <v>0.5165185185186667</v>
      </c>
      <c r="H103" s="15">
        <f>VLOOKUP(A103,'[1]SLR-m-Y'!$A$2:$I$1000,4,FALSE)</f>
        <v>0.61048148148133341</v>
      </c>
      <c r="I103" s="15">
        <f>VLOOKUP(A103,'[1]SLR-m-Y'!$A$2:$I$1000,5,FALSE)</f>
        <v>0.70724691358022218</v>
      </c>
    </row>
    <row r="104" spans="1:9" x14ac:dyDescent="0.2">
      <c r="A104" s="9">
        <v>50</v>
      </c>
      <c r="B104" s="15">
        <v>-0.51583333333333337</v>
      </c>
      <c r="C104" s="15">
        <v>0.95333333333333325</v>
      </c>
      <c r="D104" s="15">
        <v>2.8824999999999998</v>
      </c>
      <c r="E104" s="15">
        <v>4.128333333333333</v>
      </c>
      <c r="F104" s="15">
        <f>VLOOKUP(A104,'[1]SLR-m-Y'!$A$2:$I$1000,2,FALSE)</f>
        <v>0.43637500000000001</v>
      </c>
      <c r="G104" s="15">
        <f>VLOOKUP(A104,'[1]SLR-m-Y'!$A$2:$I$1000,3,FALSE)</f>
        <v>0.56099999999999994</v>
      </c>
      <c r="H104" s="15">
        <f>VLOOKUP(A104,'[1]SLR-m-Y'!$A$2:$I$1000,4,FALSE)</f>
        <v>0.65587499999999999</v>
      </c>
      <c r="I104" s="15">
        <f>VLOOKUP(A104,'[1]SLR-m-Y'!$A$2:$I$1000,5,FALSE)</f>
        <v>0.76275000000000004</v>
      </c>
    </row>
    <row r="105" spans="1:9" x14ac:dyDescent="0.2">
      <c r="A105" s="9">
        <v>51</v>
      </c>
      <c r="B105" s="15">
        <v>-0.45129032258064522</v>
      </c>
      <c r="C105" s="15">
        <v>1.169032258064516</v>
      </c>
      <c r="D105" s="15">
        <v>3.225806451612903</v>
      </c>
      <c r="E105" s="15">
        <v>4.4641935483870956</v>
      </c>
      <c r="F105" s="15">
        <f>VLOOKUP(A105,'[1]SLR-m-Y'!$A$2:$I$1000,2,FALSE)</f>
        <v>0.41365151515145449</v>
      </c>
      <c r="G105" s="15">
        <f>VLOOKUP(A105,'[1]SLR-m-Y'!$A$2:$I$1000,3,FALSE)</f>
        <v>0.53691666666672733</v>
      </c>
      <c r="H105" s="15">
        <f>VLOOKUP(A105,'[1]SLR-m-Y'!$A$2:$I$1000,4,FALSE)</f>
        <v>0.62799242424236368</v>
      </c>
      <c r="I105" s="15">
        <f>VLOOKUP(A105,'[1]SLR-m-Y'!$A$2:$I$1000,5,FALSE)</f>
        <v>0.73570833333336372</v>
      </c>
    </row>
    <row r="106" spans="1:9" x14ac:dyDescent="0.2">
      <c r="A106" s="9">
        <v>52</v>
      </c>
      <c r="B106" s="15">
        <v>-0.35666666666666669</v>
      </c>
      <c r="C106" s="15">
        <v>1.0911111111111109</v>
      </c>
      <c r="D106" s="15">
        <v>2.8866666666666672</v>
      </c>
      <c r="E106" s="15">
        <v>4.0438888888888886</v>
      </c>
      <c r="F106" s="15">
        <f>VLOOKUP(A106,'[1]SLR-m-Y'!$A$2:$I$1000,2,FALSE)</f>
        <v>0.47062777777766668</v>
      </c>
      <c r="G106" s="15">
        <f>VLOOKUP(A106,'[1]SLR-m-Y'!$A$2:$I$1000,3,FALSE)</f>
        <v>0.59220555555566667</v>
      </c>
      <c r="H106" s="15">
        <f>VLOOKUP(A106,'[1]SLR-m-Y'!$A$2:$I$1000,4,FALSE)</f>
        <v>0.68042222222233328</v>
      </c>
      <c r="I106" s="15">
        <f>VLOOKUP(A106,'[1]SLR-m-Y'!$A$2:$I$1000,5,FALSE)</f>
        <v>0.79072222222233335</v>
      </c>
    </row>
    <row r="107" spans="1:9" x14ac:dyDescent="0.2">
      <c r="A107" s="9">
        <v>53</v>
      </c>
      <c r="B107" s="15">
        <v>-0.20178571428571429</v>
      </c>
      <c r="C107" s="15">
        <v>1.2357142857142851</v>
      </c>
      <c r="D107" s="15">
        <v>2.9874999999999998</v>
      </c>
      <c r="E107" s="15">
        <v>4.1792857142857143</v>
      </c>
      <c r="F107" s="15">
        <f>VLOOKUP(A107,'[1]SLR-m-Y'!$A$2:$I$1000,2,FALSE)</f>
        <v>0.44763043478260872</v>
      </c>
      <c r="G107" s="15">
        <f>VLOOKUP(A107,'[1]SLR-m-Y'!$A$2:$I$1000,3,FALSE)</f>
        <v>0.56778260869569563</v>
      </c>
      <c r="H107" s="15">
        <f>VLOOKUP(A107,'[1]SLR-m-Y'!$A$2:$I$1000,4,FALSE)</f>
        <v>0.65552173913047829</v>
      </c>
      <c r="I107" s="15">
        <f>VLOOKUP(A107,'[1]SLR-m-Y'!$A$2:$I$1000,5,FALSE)</f>
        <v>0.76321739130430433</v>
      </c>
    </row>
    <row r="108" spans="1:9" x14ac:dyDescent="0.2">
      <c r="A108" s="9">
        <v>54</v>
      </c>
      <c r="B108" s="15">
        <v>0.15413793103448281</v>
      </c>
      <c r="C108" s="15">
        <v>1.6582758620689659</v>
      </c>
      <c r="D108" s="15">
        <v>3.249310344827586</v>
      </c>
      <c r="E108" s="15">
        <v>4.4803448275862072</v>
      </c>
      <c r="F108" s="15">
        <f>VLOOKUP(A108,'[1]SLR-m-Y'!$A$2:$I$1000,2,FALSE)</f>
        <v>0.42298000000000002</v>
      </c>
      <c r="G108" s="15">
        <f>VLOOKUP(A108,'[1]SLR-m-Y'!$A$2:$I$1000,3,FALSE)</f>
        <v>0.54596</v>
      </c>
      <c r="H108" s="15">
        <f>VLOOKUP(A108,'[1]SLR-m-Y'!$A$2:$I$1000,4,FALSE)</f>
        <v>0.63178000000000001</v>
      </c>
      <c r="I108" s="15">
        <f>VLOOKUP(A108,'[1]SLR-m-Y'!$A$2:$I$1000,5,FALSE)</f>
        <v>0.73864000000000007</v>
      </c>
    </row>
    <row r="109" spans="1:9" x14ac:dyDescent="0.2">
      <c r="A109" s="9">
        <v>55</v>
      </c>
      <c r="B109" s="15">
        <v>0.2882608695652174</v>
      </c>
      <c r="C109" s="15">
        <v>1.7804347826086959</v>
      </c>
      <c r="D109" s="15">
        <v>3.6104347826086949</v>
      </c>
      <c r="E109" s="15">
        <v>4.7491304347826091</v>
      </c>
      <c r="F109" s="15">
        <f>VLOOKUP(A109,'[1]SLR-m-Y'!$A$2:$I$1000,2,FALSE)</f>
        <v>0.35457333333331997</v>
      </c>
      <c r="G109" s="15">
        <f>VLOOKUP(A109,'[1]SLR-m-Y'!$A$2:$I$1000,3,FALSE)</f>
        <v>0.48726333333332</v>
      </c>
      <c r="H109" s="15">
        <f>VLOOKUP(A109,'[1]SLR-m-Y'!$A$2:$I$1000,4,FALSE)</f>
        <v>0.56566333333331997</v>
      </c>
      <c r="I109" s="15">
        <f>VLOOKUP(A109,'[1]SLR-m-Y'!$A$2:$I$1000,5,FALSE)</f>
        <v>0.67686333333335991</v>
      </c>
    </row>
    <row r="110" spans="1:9" x14ac:dyDescent="0.2">
      <c r="A110" s="9">
        <v>56</v>
      </c>
      <c r="B110" s="15">
        <v>0.34749999999999998</v>
      </c>
      <c r="C110" s="15">
        <v>1.9275</v>
      </c>
      <c r="D110" s="15">
        <v>3.9087499999999999</v>
      </c>
      <c r="E110" s="15">
        <v>4.9731249999999996</v>
      </c>
      <c r="F110" s="15">
        <f>VLOOKUP(A110,'[1]SLR-m-Y'!$A$2:$I$1000,2,FALSE)</f>
        <v>0.37272833333330002</v>
      </c>
      <c r="G110" s="15">
        <f>VLOOKUP(A110,'[1]SLR-m-Y'!$A$2:$I$1000,3,FALSE)</f>
        <v>0.49717666666670002</v>
      </c>
      <c r="H110" s="15">
        <f>VLOOKUP(A110,'[1]SLR-m-Y'!$A$2:$I$1000,4,FALSE)</f>
        <v>0.5808916666667</v>
      </c>
      <c r="I110" s="15">
        <f>VLOOKUP(A110,'[1]SLR-m-Y'!$A$2:$I$1000,5,FALSE)</f>
        <v>0.69257833333329999</v>
      </c>
    </row>
    <row r="111" spans="1:9" x14ac:dyDescent="0.2">
      <c r="A111" s="9">
        <v>57</v>
      </c>
      <c r="B111" s="15">
        <v>0.36249999999999999</v>
      </c>
      <c r="C111" s="15">
        <v>1.9615</v>
      </c>
      <c r="D111" s="15">
        <v>3.7890000000000001</v>
      </c>
      <c r="E111" s="15">
        <v>4.8409999999999993</v>
      </c>
      <c r="F111" s="15">
        <f>VLOOKUP(A111,'[1]SLR-m-Y'!$A$2:$I$1000,2,FALSE)</f>
        <v>0.3308518518518333</v>
      </c>
      <c r="G111" s="15">
        <f>VLOOKUP(A111,'[1]SLR-m-Y'!$A$2:$I$1000,3,FALSE)</f>
        <v>0.45780555555550012</v>
      </c>
      <c r="H111" s="15">
        <f>VLOOKUP(A111,'[1]SLR-m-Y'!$A$2:$I$1000,4,FALSE)</f>
        <v>0.54261111111105553</v>
      </c>
      <c r="I111" s="15">
        <f>VLOOKUP(A111,'[1]SLR-m-Y'!$A$2:$I$1000,5,FALSE)</f>
        <v>0.65741666666666676</v>
      </c>
    </row>
    <row r="112" spans="1:9" x14ac:dyDescent="0.2">
      <c r="A112" s="9">
        <v>58</v>
      </c>
      <c r="B112" s="15">
        <v>0.54499999999999993</v>
      </c>
      <c r="C112" s="15">
        <v>2.65</v>
      </c>
      <c r="D112" s="15">
        <v>4.9980000000000002</v>
      </c>
      <c r="E112" s="15">
        <v>5.5039999999999996</v>
      </c>
      <c r="F112" s="15">
        <f>VLOOKUP(A112,'[1]SLR-m-Y'!$A$2:$I$1000,2,FALSE)</f>
        <v>0.32410714285714282</v>
      </c>
      <c r="G112" s="15">
        <f>VLOOKUP(A112,'[1]SLR-m-Y'!$A$2:$I$1000,3,FALSE)</f>
        <v>0.44107142857142861</v>
      </c>
      <c r="H112" s="15">
        <f>VLOOKUP(A112,'[1]SLR-m-Y'!$A$2:$I$1000,4,FALSE)</f>
        <v>0.51950000000000007</v>
      </c>
      <c r="I112" s="15">
        <f>VLOOKUP(A112,'[1]SLR-m-Y'!$A$2:$I$1000,5,FALSE)</f>
        <v>0.62914285714285711</v>
      </c>
    </row>
    <row r="113" spans="1:9" x14ac:dyDescent="0.2">
      <c r="A113" s="9">
        <v>59</v>
      </c>
      <c r="B113" s="15">
        <v>0.6885714285714285</v>
      </c>
      <c r="C113" s="15">
        <v>2.9314285714285711</v>
      </c>
      <c r="D113" s="15">
        <v>5.1057142857142859</v>
      </c>
      <c r="E113" s="15">
        <v>5.56</v>
      </c>
      <c r="F113" s="15">
        <f>VLOOKUP(A113,'[1]SLR-m-Y'!$A$2:$I$1000,2,FALSE)</f>
        <v>0.20895</v>
      </c>
      <c r="G113" s="15">
        <f>VLOOKUP(A113,'[1]SLR-m-Y'!$A$2:$I$1000,3,FALSE)</f>
        <v>0.3364166666667</v>
      </c>
      <c r="H113" s="15">
        <f>VLOOKUP(A113,'[1]SLR-m-Y'!$A$2:$I$1000,4,FALSE)</f>
        <v>0.42348333333330002</v>
      </c>
      <c r="I113" s="15">
        <f>VLOOKUP(A113,'[1]SLR-m-Y'!$A$2:$I$1000,5,FALSE)</f>
        <v>0.53903333333330006</v>
      </c>
    </row>
    <row r="114" spans="1:9" x14ac:dyDescent="0.2">
      <c r="A114" s="9">
        <v>60</v>
      </c>
      <c r="B114" s="15">
        <v>4.1100000000000003</v>
      </c>
      <c r="C114" s="15">
        <v>4.12</v>
      </c>
      <c r="D114" s="15">
        <v>6.39</v>
      </c>
      <c r="E114" s="15">
        <v>8.43</v>
      </c>
      <c r="F114" s="15">
        <f>VLOOKUP(A114,'[1]SLR-m-Y'!$A$2:$I$1000,2,FALSE)</f>
        <v>0.22866666666666671</v>
      </c>
      <c r="G114" s="15">
        <f>VLOOKUP(A114,'[1]SLR-m-Y'!$A$2:$I$1000,3,FALSE)</f>
        <v>0.38666666666666671</v>
      </c>
      <c r="H114" s="15">
        <f>VLOOKUP(A114,'[1]SLR-m-Y'!$A$2:$I$1000,4,FALSE)</f>
        <v>0.47466666666666663</v>
      </c>
      <c r="I114" s="15">
        <f>VLOOKUP(A114,'[1]SLR-m-Y'!$A$2:$I$1000,5,FALSE)</f>
        <v>0.58741666666666659</v>
      </c>
    </row>
  </sheetData>
  <mergeCells count="2">
    <mergeCell ref="B1:E1"/>
    <mergeCell ref="F1:I1"/>
  </mergeCells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note</vt:lpstr>
      <vt:lpstr>Area</vt:lpstr>
      <vt:lpstr>Longitude</vt:lpstr>
      <vt:lpstr>Latitude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zhang</dc:creator>
  <cp:lastModifiedBy>ting zhang</cp:lastModifiedBy>
  <dcterms:created xsi:type="dcterms:W3CDTF">2024-10-14T08:15:08Z</dcterms:created>
  <dcterms:modified xsi:type="dcterms:W3CDTF">2026-01-08T04:46:21Z</dcterms:modified>
</cp:coreProperties>
</file>